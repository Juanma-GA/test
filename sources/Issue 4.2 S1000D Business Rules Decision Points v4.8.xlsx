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altengroup.sharepoint.com/sites/SmartOperations2.0-04.TechnicalCluster/Documents partages/04. Technical Cluster/03. Cluster IPS/02. Formaciones/07. Normative/01. DITA basics/BRDPs for DITA/"/>
    </mc:Choice>
  </mc:AlternateContent>
  <xr:revisionPtr revIDLastSave="1325" documentId="8_{E9D42890-4102-4F62-A65E-F86E2020AB30}" xr6:coauthVersionLast="47" xr6:coauthVersionMax="47" xr10:uidLastSave="{31E1B48B-D1BB-465B-860C-5D2012A4BF0E}"/>
  <bookViews>
    <workbookView xWindow="-109" yWindow="-109" windowWidth="26301" windowHeight="15800" tabRatio="597" firstSheet="1" activeTab="1" xr2:uid="{00000000-000D-0000-FFFF-FFFF00000000}"/>
  </bookViews>
  <sheets>
    <sheet name="ATX Propasal S1000D 4.2 BRDP" sheetId="8" state="hidden" r:id="rId1"/>
    <sheet name="Hoja1" sheetId="14" r:id="rId2"/>
    <sheet name="ATX Propasal 1000BR 4.2 BRDP" sheetId="11" state="hidden" r:id="rId3"/>
    <sheet name="Dita BRDPs" sheetId="13" r:id="rId4"/>
    <sheet name="Sheet1" sheetId="9" state="hidden" r:id="rId5"/>
  </sheets>
  <definedNames>
    <definedName name="_xlnm._FilterDatabase" localSheetId="2" hidden="1">'ATX Propasal 1000BR 4.2 BRDP'!$A$1:$AA$428</definedName>
    <definedName name="_xlnm._FilterDatabase" localSheetId="0" hidden="1">'ATX Propasal S1000D 4.2 BRDP'!$B$1:$I$2779</definedName>
    <definedName name="_xlnm._FilterDatabase" localSheetId="3" hidden="1">'Dita BRDPs'!$A$1:$S$428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5" i="13" l="1"/>
  <c r="M29" i="13"/>
  <c r="M37" i="13"/>
  <c r="M44" i="13"/>
  <c r="M56" i="13"/>
  <c r="M67" i="13"/>
  <c r="M72" i="13"/>
  <c r="M77" i="13"/>
  <c r="M78" i="13"/>
  <c r="M84" i="13"/>
  <c r="M86" i="13"/>
  <c r="M88" i="13"/>
  <c r="M94" i="13"/>
  <c r="M103" i="13"/>
  <c r="M109" i="13"/>
  <c r="M119" i="13"/>
  <c r="M120" i="13"/>
  <c r="M122" i="13"/>
  <c r="M131" i="13"/>
  <c r="M132" i="13"/>
  <c r="M133" i="13"/>
  <c r="M140" i="13"/>
  <c r="M143" i="13"/>
  <c r="M145" i="13"/>
  <c r="M153" i="13"/>
  <c r="M158" i="13"/>
  <c r="M169" i="13"/>
  <c r="M170" i="13"/>
  <c r="M171" i="13"/>
  <c r="M175" i="13"/>
  <c r="M178" i="13"/>
  <c r="M180" i="13"/>
  <c r="M184" i="13"/>
  <c r="M193" i="13"/>
  <c r="M196" i="13"/>
  <c r="M201" i="13"/>
  <c r="M203" i="13"/>
  <c r="M208" i="13"/>
  <c r="M212" i="13"/>
  <c r="M215" i="13"/>
  <c r="M216" i="13"/>
  <c r="M218" i="13"/>
  <c r="M221" i="13"/>
  <c r="M222" i="13"/>
  <c r="M223" i="13"/>
  <c r="M225" i="13"/>
  <c r="M227" i="13"/>
  <c r="M228" i="13"/>
  <c r="M235" i="13"/>
  <c r="M251" i="13"/>
  <c r="M256" i="13"/>
  <c r="M257" i="13"/>
  <c r="M261" i="13"/>
  <c r="M263" i="13"/>
  <c r="M265" i="13"/>
  <c r="M272" i="13"/>
  <c r="M278" i="13"/>
  <c r="M281" i="13"/>
  <c r="M283" i="13"/>
  <c r="M285" i="13"/>
  <c r="M287" i="13"/>
  <c r="M294" i="13"/>
  <c r="M296" i="13"/>
  <c r="M298" i="13"/>
  <c r="M300" i="13"/>
  <c r="M303" i="13"/>
  <c r="M312" i="13"/>
  <c r="M313" i="13"/>
  <c r="M315" i="13"/>
  <c r="M336" i="13"/>
  <c r="M338" i="13"/>
  <c r="M343" i="13"/>
  <c r="M347" i="13"/>
  <c r="M350" i="13"/>
  <c r="M360" i="13"/>
  <c r="M365" i="13"/>
  <c r="M372" i="13"/>
  <c r="M376" i="13"/>
  <c r="M380" i="13"/>
  <c r="M382" i="13"/>
  <c r="M387" i="13"/>
  <c r="M389" i="13"/>
  <c r="M391" i="13"/>
  <c r="M393" i="13"/>
  <c r="M398" i="13"/>
  <c r="M402" i="13"/>
  <c r="M408" i="13"/>
  <c r="M409" i="13"/>
  <c r="M413" i="13"/>
  <c r="M415" i="13"/>
  <c r="M416" i="13"/>
  <c r="M419" i="13"/>
  <c r="M420" i="13"/>
  <c r="M424" i="13"/>
  <c r="M426" i="13"/>
  <c r="N430" i="13"/>
  <c r="M330" i="13"/>
  <c r="M329" i="13"/>
  <c r="M328" i="13"/>
  <c r="M327" i="13"/>
  <c r="M325" i="13"/>
  <c r="M319" i="13"/>
  <c r="M309" i="13"/>
  <c r="M308" i="13"/>
  <c r="M307" i="13"/>
  <c r="M292" i="13"/>
  <c r="M277" i="13"/>
  <c r="M270" i="13"/>
  <c r="M255" i="13"/>
  <c r="M249" i="13"/>
  <c r="M248" i="13"/>
  <c r="M206" i="13"/>
  <c r="M204" i="13"/>
  <c r="M182" i="13"/>
  <c r="M166" i="13"/>
  <c r="M163" i="13"/>
  <c r="M161" i="13"/>
  <c r="M160" i="13"/>
  <c r="M150" i="13"/>
  <c r="M149" i="13"/>
  <c r="M148" i="13"/>
  <c r="M147" i="13"/>
  <c r="M141" i="13"/>
  <c r="M137" i="13"/>
  <c r="M134" i="13"/>
  <c r="M90" i="13"/>
  <c r="M68" i="13"/>
  <c r="M54" i="13"/>
  <c r="M50" i="13"/>
  <c r="M48" i="13"/>
  <c r="S430" i="11"/>
  <c r="M279" i="13" l="1"/>
  <c r="M224" i="13"/>
  <c r="M267" i="13"/>
  <c r="M95" i="13"/>
  <c r="M202" i="13"/>
  <c r="M19" i="13"/>
  <c r="M280" i="13"/>
  <c r="M107" i="13"/>
  <c r="M138" i="13"/>
  <c r="M128" i="13"/>
  <c r="M174" i="13"/>
  <c r="M323" i="13"/>
  <c r="M274" i="13"/>
  <c r="M301" i="13"/>
  <c r="M62" i="13"/>
  <c r="M316" i="13"/>
  <c r="M31" i="13"/>
  <c r="M117" i="13"/>
  <c r="M200" i="13"/>
  <c r="M136" i="13"/>
  <c r="M112" i="13"/>
  <c r="M127" i="13"/>
  <c r="M374" i="13"/>
  <c r="M252" i="13"/>
  <c r="M118" i="13"/>
  <c r="M142" i="13"/>
  <c r="M181" i="13"/>
  <c r="M183" i="13"/>
  <c r="M154" i="13"/>
  <c r="M418" i="13"/>
  <c r="M230" i="13"/>
  <c r="M290" i="13"/>
  <c r="M236" i="13"/>
  <c r="M51" i="13"/>
  <c r="M105" i="13"/>
  <c r="M155" i="13"/>
  <c r="M246" i="13"/>
  <c r="M297" i="13"/>
  <c r="M302" i="13"/>
  <c r="M385" i="13"/>
  <c r="M40" i="13"/>
  <c r="M97" i="13"/>
  <c r="M113" i="13"/>
  <c r="M157" i="13"/>
  <c r="M177" i="13"/>
  <c r="M219" i="13"/>
  <c r="M299" i="13"/>
  <c r="M268" i="13"/>
  <c r="M66" i="13"/>
  <c r="M168" i="13"/>
  <c r="M87" i="13"/>
  <c r="M213" i="13"/>
  <c r="M32" i="13"/>
  <c r="M152" i="13"/>
  <c r="M194" i="13"/>
  <c r="M220" i="13"/>
  <c r="M422" i="13"/>
  <c r="M85" i="13"/>
  <c r="M106" i="13"/>
  <c r="M356" i="13"/>
  <c r="M190" i="13"/>
  <c r="M151" i="13"/>
  <c r="M162" i="13"/>
  <c r="M114" i="13"/>
  <c r="M345" i="13"/>
  <c r="M101" i="13"/>
  <c r="M244" i="13"/>
  <c r="M186" i="13"/>
  <c r="M146" i="13"/>
  <c r="M139" i="13"/>
  <c r="M276" i="13"/>
  <c r="M123" i="13"/>
  <c r="M92" i="13"/>
  <c r="M159" i="13"/>
  <c r="M245" i="13"/>
  <c r="M264" i="13"/>
  <c r="M55" i="13"/>
  <c r="M259" i="13"/>
  <c r="M198" i="13"/>
  <c r="M239" i="13"/>
  <c r="M427" i="13"/>
  <c r="M25" i="13"/>
  <c r="M273" i="13"/>
  <c r="M129" i="13"/>
  <c r="M321" i="13"/>
  <c r="M269" i="13"/>
  <c r="M39" i="13"/>
  <c r="M74" i="13"/>
  <c r="M288" i="13"/>
  <c r="M108" i="13"/>
  <c r="M179" i="13"/>
  <c r="M359" i="13"/>
  <c r="M33" i="13"/>
  <c r="M98" i="13"/>
  <c r="M130" i="13"/>
  <c r="M185" i="13"/>
  <c r="M384" i="13"/>
  <c r="M104" i="13"/>
  <c r="M289" i="13"/>
  <c r="M295" i="13"/>
  <c r="M16" i="13"/>
  <c r="M324" i="13"/>
  <c r="M392" i="13"/>
  <c r="M75" i="13"/>
  <c r="M331" i="13"/>
  <c r="M144" i="13"/>
  <c r="M242" i="13"/>
  <c r="M364" i="13"/>
  <c r="M262" i="13"/>
  <c r="M65" i="13"/>
  <c r="M30" i="13"/>
  <c r="M89" i="13"/>
  <c r="M116" i="13"/>
  <c r="M164" i="13"/>
  <c r="M320" i="13"/>
  <c r="M386" i="13"/>
  <c r="M165" i="13"/>
  <c r="M176" i="13"/>
  <c r="M53" i="13"/>
  <c r="M111" i="13"/>
  <c r="M247" i="13"/>
  <c r="M403" i="13"/>
  <c r="M423" i="13"/>
  <c r="M126" i="13"/>
  <c r="M405" i="13"/>
  <c r="M349" i="13"/>
  <c r="M275" i="13"/>
  <c r="M69" i="13"/>
  <c r="M260" i="13"/>
  <c r="M414" i="13"/>
  <c r="M34" i="13"/>
  <c r="M318" i="13"/>
  <c r="M58" i="13"/>
  <c r="M291" i="13"/>
  <c r="M250" i="13"/>
  <c r="M284" i="13"/>
  <c r="M226" i="13"/>
  <c r="M231" i="13"/>
  <c r="M314" i="13"/>
  <c r="M42" i="13"/>
  <c r="M135" i="13"/>
  <c r="M156" i="13"/>
  <c r="M293" i="13"/>
  <c r="M61" i="13"/>
  <c r="M102" i="13"/>
  <c r="M286" i="13"/>
  <c r="M342" i="13"/>
  <c r="M352" i="13"/>
  <c r="M210" i="13"/>
  <c r="M305" i="13"/>
  <c r="M334" i="13"/>
  <c r="M91" i="13"/>
  <c r="M322" i="13"/>
  <c r="M335" i="13"/>
  <c r="M361" i="13"/>
  <c r="M17" i="13"/>
  <c r="M49" i="13"/>
  <c r="M187" i="13"/>
  <c r="M253" i="13"/>
  <c r="M311" i="13"/>
  <c r="M407" i="13"/>
  <c r="M167" i="13"/>
  <c r="M254" i="13"/>
  <c r="M173" i="13"/>
  <c r="M258" i="13"/>
  <c r="M14" i="13"/>
  <c r="M59" i="13"/>
  <c r="M282" i="13"/>
  <c r="M390" i="13"/>
  <c r="M348" i="13"/>
  <c r="M96" i="13"/>
  <c r="M172" i="13"/>
  <c r="M400" i="13"/>
  <c r="M357" i="13"/>
  <c r="M401" i="13"/>
  <c r="M417" i="13"/>
  <c r="M351" i="13"/>
  <c r="M337" i="13"/>
  <c r="M394" i="13"/>
  <c r="M395" i="13"/>
  <c r="M373" i="13"/>
  <c r="M381" i="13"/>
  <c r="M207" i="13"/>
  <c r="M211" i="13"/>
  <c r="M396" i="13"/>
  <c r="M428" i="13"/>
  <c r="M383" i="13"/>
  <c r="M333" i="13"/>
  <c r="M355" i="13"/>
  <c r="M366" i="13"/>
  <c r="M377" i="13"/>
  <c r="M388" i="13"/>
  <c r="M399" i="13"/>
  <c r="M410" i="13"/>
  <c r="M421" i="13"/>
  <c r="M425" i="13"/>
  <c r="R307" i="11"/>
  <c r="Q307" i="11" s="1"/>
  <c r="P307" i="11" s="1"/>
  <c r="R308" i="11"/>
  <c r="Q308" i="11" s="1"/>
  <c r="P308" i="11" s="1"/>
  <c r="R309" i="11"/>
  <c r="Q309" i="11" s="1"/>
  <c r="P309" i="11" s="1"/>
  <c r="R325" i="11"/>
  <c r="Q325" i="11" s="1"/>
  <c r="P325" i="11" s="1"/>
  <c r="R326" i="11"/>
  <c r="Q326" i="11" s="1"/>
  <c r="P326" i="11" s="1"/>
  <c r="R327" i="11"/>
  <c r="Q327" i="11" s="1"/>
  <c r="P327" i="11" s="1"/>
  <c r="R328" i="11"/>
  <c r="Q328" i="11" s="1"/>
  <c r="P328" i="11" s="1"/>
  <c r="R329" i="11"/>
  <c r="Q329" i="11" s="1"/>
  <c r="P329" i="11" s="1"/>
  <c r="R330" i="11"/>
  <c r="Q330" i="11" s="1"/>
  <c r="P330" i="11" s="1"/>
  <c r="R147" i="11"/>
  <c r="Q147" i="11" s="1"/>
  <c r="P147" i="11" s="1"/>
  <c r="R148" i="11"/>
  <c r="Q148" i="11" s="1"/>
  <c r="P148" i="11" s="1"/>
  <c r="R149" i="11"/>
  <c r="Q149" i="11" s="1"/>
  <c r="P149" i="11" s="1"/>
  <c r="R150" i="11"/>
  <c r="Q150" i="11" s="1"/>
  <c r="P150" i="11" s="1"/>
  <c r="G428" i="11"/>
  <c r="R428" i="11" s="1"/>
  <c r="Q428" i="11" s="1"/>
  <c r="P428" i="11" s="1"/>
  <c r="I328" i="11"/>
  <c r="H325" i="11"/>
  <c r="G3" i="11"/>
  <c r="G4" i="11"/>
  <c r="R4" i="11" s="1"/>
  <c r="Q4" i="11" s="1"/>
  <c r="P4" i="11" s="1"/>
  <c r="G5" i="11"/>
  <c r="R5" i="11" s="1"/>
  <c r="Q5" i="11" s="1"/>
  <c r="P5" i="11" s="1"/>
  <c r="G6" i="11"/>
  <c r="I6" i="11" s="1"/>
  <c r="G7" i="11"/>
  <c r="R7" i="11" s="1"/>
  <c r="Q7" i="11" s="1"/>
  <c r="P7" i="11" s="1"/>
  <c r="G8" i="11"/>
  <c r="I8" i="11" s="1"/>
  <c r="G9" i="11"/>
  <c r="I9" i="11" s="1"/>
  <c r="G10" i="11"/>
  <c r="R10" i="11" s="1"/>
  <c r="Q10" i="11" s="1"/>
  <c r="P10" i="11" s="1"/>
  <c r="G11" i="11"/>
  <c r="H11" i="11" s="1"/>
  <c r="G12" i="11"/>
  <c r="I12" i="11" s="1"/>
  <c r="G13" i="11"/>
  <c r="I13" i="11" s="1"/>
  <c r="G14" i="11"/>
  <c r="H14" i="11" s="1"/>
  <c r="G15" i="11"/>
  <c r="R15" i="11" s="1"/>
  <c r="Q15" i="11" s="1"/>
  <c r="P15" i="11" s="1"/>
  <c r="G16" i="11"/>
  <c r="R16" i="11" s="1"/>
  <c r="Q16" i="11" s="1"/>
  <c r="P16" i="11" s="1"/>
  <c r="G17" i="11"/>
  <c r="I17" i="11" s="1"/>
  <c r="G18" i="11"/>
  <c r="R18" i="11" s="1"/>
  <c r="Q18" i="11" s="1"/>
  <c r="P18" i="11" s="1"/>
  <c r="G19" i="11"/>
  <c r="I19" i="11" s="1"/>
  <c r="G20" i="11"/>
  <c r="I20" i="11" s="1"/>
  <c r="G21" i="11"/>
  <c r="H21" i="11" s="1"/>
  <c r="G22" i="11"/>
  <c r="I22" i="11" s="1"/>
  <c r="G23" i="11"/>
  <c r="R23" i="11" s="1"/>
  <c r="Q23" i="11" s="1"/>
  <c r="P23" i="11" s="1"/>
  <c r="G24" i="11"/>
  <c r="I24" i="11" s="1"/>
  <c r="G25" i="11"/>
  <c r="R25" i="11" s="1"/>
  <c r="Q25" i="11" s="1"/>
  <c r="P25" i="11" s="1"/>
  <c r="G26" i="11"/>
  <c r="R26" i="11" s="1"/>
  <c r="Q26" i="11" s="1"/>
  <c r="P26" i="11" s="1"/>
  <c r="G27" i="11"/>
  <c r="H27" i="11" s="1"/>
  <c r="G28" i="11"/>
  <c r="I28" i="11" s="1"/>
  <c r="G29" i="11"/>
  <c r="I29" i="11" s="1"/>
  <c r="G30" i="11"/>
  <c r="I30" i="11" s="1"/>
  <c r="G31" i="11"/>
  <c r="R31" i="11" s="1"/>
  <c r="Q31" i="11" s="1"/>
  <c r="P31" i="11" s="1"/>
  <c r="G32" i="11"/>
  <c r="R32" i="11" s="1"/>
  <c r="Q32" i="11" s="1"/>
  <c r="P32" i="11" s="1"/>
  <c r="G33" i="11"/>
  <c r="I33" i="11" s="1"/>
  <c r="G34" i="11"/>
  <c r="H34" i="11" s="1"/>
  <c r="G35" i="11"/>
  <c r="I35" i="11" s="1"/>
  <c r="G36" i="11"/>
  <c r="R36" i="11" s="1"/>
  <c r="Q36" i="11" s="1"/>
  <c r="G37" i="11"/>
  <c r="H37" i="11" s="1"/>
  <c r="G38" i="11"/>
  <c r="I38" i="11" s="1"/>
  <c r="G39" i="11"/>
  <c r="R39" i="11" s="1"/>
  <c r="Q39" i="11" s="1"/>
  <c r="P39" i="11" s="1"/>
  <c r="G40" i="11"/>
  <c r="I40" i="11" s="1"/>
  <c r="G41" i="11"/>
  <c r="I41" i="11" s="1"/>
  <c r="G42" i="11"/>
  <c r="R42" i="11" s="1"/>
  <c r="Q42" i="11" s="1"/>
  <c r="P42" i="11" s="1"/>
  <c r="G43" i="11"/>
  <c r="R43" i="11" s="1"/>
  <c r="Q43" i="11" s="1"/>
  <c r="P43" i="11" s="1"/>
  <c r="G44" i="11"/>
  <c r="G45" i="11"/>
  <c r="I45" i="11" s="1"/>
  <c r="G46" i="11"/>
  <c r="H46" i="11" s="1"/>
  <c r="G47" i="11"/>
  <c r="R47" i="11" s="1"/>
  <c r="Q47" i="11" s="1"/>
  <c r="P47" i="11" s="1"/>
  <c r="G48" i="11"/>
  <c r="R48" i="11" s="1"/>
  <c r="Q48" i="11" s="1"/>
  <c r="P48" i="11" s="1"/>
  <c r="G49" i="11"/>
  <c r="I49" i="11" s="1"/>
  <c r="G50" i="11"/>
  <c r="H50" i="11" s="1"/>
  <c r="G51" i="11"/>
  <c r="I51" i="11" s="1"/>
  <c r="G52" i="11"/>
  <c r="I52" i="11" s="1"/>
  <c r="G53" i="11"/>
  <c r="H53" i="11" s="1"/>
  <c r="G54" i="11"/>
  <c r="I54" i="11" s="1"/>
  <c r="G55" i="11"/>
  <c r="R55" i="11" s="1"/>
  <c r="Q55" i="11" s="1"/>
  <c r="P55" i="11" s="1"/>
  <c r="G56" i="11"/>
  <c r="I56" i="11" s="1"/>
  <c r="G57" i="11"/>
  <c r="R57" i="11" s="1"/>
  <c r="Q57" i="11" s="1"/>
  <c r="P57" i="11" s="1"/>
  <c r="G58" i="11"/>
  <c r="R58" i="11" s="1"/>
  <c r="Q58" i="11" s="1"/>
  <c r="P58" i="11" s="1"/>
  <c r="G59" i="11"/>
  <c r="H59" i="11" s="1"/>
  <c r="G60" i="11"/>
  <c r="I60" i="11" s="1"/>
  <c r="G61" i="11"/>
  <c r="I61" i="11" s="1"/>
  <c r="G62" i="11"/>
  <c r="H62" i="11" s="1"/>
  <c r="G63" i="11"/>
  <c r="R63" i="11" s="1"/>
  <c r="Q63" i="11" s="1"/>
  <c r="P63" i="11" s="1"/>
  <c r="G64" i="11"/>
  <c r="H64" i="11" s="1"/>
  <c r="G65" i="11"/>
  <c r="I65" i="11" s="1"/>
  <c r="G66" i="11"/>
  <c r="R66" i="11" s="1"/>
  <c r="Q66" i="11" s="1"/>
  <c r="P66" i="11" s="1"/>
  <c r="G67" i="11"/>
  <c r="I67" i="11" s="1"/>
  <c r="G68" i="11"/>
  <c r="R68" i="11" s="1"/>
  <c r="Q68" i="11" s="1"/>
  <c r="P68" i="11" s="1"/>
  <c r="G69" i="11"/>
  <c r="R69" i="11" s="1"/>
  <c r="Q69" i="11" s="1"/>
  <c r="P69" i="11" s="1"/>
  <c r="G70" i="11"/>
  <c r="I70" i="11" s="1"/>
  <c r="G71" i="11"/>
  <c r="R71" i="11" s="1"/>
  <c r="Q71" i="11" s="1"/>
  <c r="P71" i="11" s="1"/>
  <c r="G72" i="11"/>
  <c r="I72" i="11" s="1"/>
  <c r="G73" i="11"/>
  <c r="I73" i="11" s="1"/>
  <c r="G74" i="11"/>
  <c r="R74" i="11" s="1"/>
  <c r="Q74" i="11" s="1"/>
  <c r="P74" i="11" s="1"/>
  <c r="G75" i="11"/>
  <c r="H75" i="11" s="1"/>
  <c r="G76" i="11"/>
  <c r="G77" i="11"/>
  <c r="I77" i="11" s="1"/>
  <c r="G78" i="11"/>
  <c r="R78" i="11" s="1"/>
  <c r="Q78" i="11" s="1"/>
  <c r="P78" i="11" s="1"/>
  <c r="G79" i="11"/>
  <c r="R79" i="11" s="1"/>
  <c r="Q79" i="11" s="1"/>
  <c r="P79" i="11" s="1"/>
  <c r="G80" i="11"/>
  <c r="H80" i="11" s="1"/>
  <c r="G81" i="11"/>
  <c r="I81" i="11" s="1"/>
  <c r="G82" i="11"/>
  <c r="R82" i="11" s="1"/>
  <c r="Q82" i="11" s="1"/>
  <c r="P82" i="11" s="1"/>
  <c r="G83" i="11"/>
  <c r="H83" i="11" s="1"/>
  <c r="G84" i="11"/>
  <c r="I84" i="11" s="1"/>
  <c r="G85" i="11"/>
  <c r="R85" i="11" s="1"/>
  <c r="Q85" i="11" s="1"/>
  <c r="P85" i="11" s="1"/>
  <c r="G86" i="11"/>
  <c r="H86" i="11" s="1"/>
  <c r="G87" i="11"/>
  <c r="R87" i="11" s="1"/>
  <c r="Q87" i="11" s="1"/>
  <c r="P87" i="11" s="1"/>
  <c r="G88" i="11"/>
  <c r="I88" i="11" s="1"/>
  <c r="G89" i="11"/>
  <c r="R89" i="11" s="1"/>
  <c r="Q89" i="11" s="1"/>
  <c r="P89" i="11" s="1"/>
  <c r="G90" i="11"/>
  <c r="R90" i="11" s="1"/>
  <c r="Q90" i="11" s="1"/>
  <c r="P90" i="11" s="1"/>
  <c r="G91" i="11"/>
  <c r="H91" i="11" s="1"/>
  <c r="G92" i="11"/>
  <c r="I92" i="11" s="1"/>
  <c r="G93" i="11"/>
  <c r="I93" i="11" s="1"/>
  <c r="G94" i="11"/>
  <c r="H94" i="11" s="1"/>
  <c r="G95" i="11"/>
  <c r="R95" i="11" s="1"/>
  <c r="Q95" i="11" s="1"/>
  <c r="P95" i="11" s="1"/>
  <c r="G96" i="11"/>
  <c r="H96" i="11" s="1"/>
  <c r="G97" i="11"/>
  <c r="I97" i="11" s="1"/>
  <c r="G98" i="11"/>
  <c r="R98" i="11" s="1"/>
  <c r="Q98" i="11" s="1"/>
  <c r="P98" i="11" s="1"/>
  <c r="G99" i="11"/>
  <c r="I99" i="11" s="1"/>
  <c r="G100" i="11"/>
  <c r="R100" i="11" s="1"/>
  <c r="Q100" i="11" s="1"/>
  <c r="P100" i="11" s="1"/>
  <c r="G101" i="11"/>
  <c r="R101" i="11" s="1"/>
  <c r="Q101" i="11" s="1"/>
  <c r="P101" i="11" s="1"/>
  <c r="G102" i="11"/>
  <c r="G103" i="11"/>
  <c r="R103" i="11" s="1"/>
  <c r="Q103" i="11" s="1"/>
  <c r="P103" i="11" s="1"/>
  <c r="G104" i="11"/>
  <c r="I104" i="11" s="1"/>
  <c r="G105" i="11"/>
  <c r="I105" i="11" s="1"/>
  <c r="G106" i="11"/>
  <c r="R106" i="11" s="1"/>
  <c r="Q106" i="11" s="1"/>
  <c r="P106" i="11" s="1"/>
  <c r="G107" i="11"/>
  <c r="H107" i="11" s="1"/>
  <c r="G108" i="11"/>
  <c r="I108" i="11" s="1"/>
  <c r="G109" i="11"/>
  <c r="I109" i="11" s="1"/>
  <c r="G110" i="11"/>
  <c r="R110" i="11" s="1"/>
  <c r="Q110" i="11" s="1"/>
  <c r="P110" i="11" s="1"/>
  <c r="G111" i="11"/>
  <c r="R111" i="11" s="1"/>
  <c r="Q111" i="11" s="1"/>
  <c r="P111" i="11" s="1"/>
  <c r="G112" i="11"/>
  <c r="H112" i="11" s="1"/>
  <c r="G113" i="11"/>
  <c r="I113" i="11" s="1"/>
  <c r="G114" i="11"/>
  <c r="R114" i="11" s="1"/>
  <c r="Q114" i="11" s="1"/>
  <c r="P114" i="11" s="1"/>
  <c r="G115" i="11"/>
  <c r="H115" i="11" s="1"/>
  <c r="G116" i="11"/>
  <c r="I116" i="11" s="1"/>
  <c r="G117" i="11"/>
  <c r="R117" i="11" s="1"/>
  <c r="Q117" i="11" s="1"/>
  <c r="P117" i="11" s="1"/>
  <c r="G118" i="11"/>
  <c r="H118" i="11" s="1"/>
  <c r="G119" i="11"/>
  <c r="R119" i="11" s="1"/>
  <c r="Q119" i="11" s="1"/>
  <c r="P119" i="11" s="1"/>
  <c r="G120" i="11"/>
  <c r="I120" i="11" s="1"/>
  <c r="G121" i="11"/>
  <c r="R121" i="11" s="1"/>
  <c r="Q121" i="11" s="1"/>
  <c r="P121" i="11" s="1"/>
  <c r="G122" i="11"/>
  <c r="R122" i="11" s="1"/>
  <c r="Q122" i="11" s="1"/>
  <c r="P122" i="11" s="1"/>
  <c r="G123" i="11"/>
  <c r="H123" i="11" s="1"/>
  <c r="G124" i="11"/>
  <c r="I124" i="11" s="1"/>
  <c r="G125" i="11"/>
  <c r="I125" i="11" s="1"/>
  <c r="G126" i="11"/>
  <c r="I126" i="11" s="1"/>
  <c r="G127" i="11"/>
  <c r="R127" i="11" s="1"/>
  <c r="Q127" i="11" s="1"/>
  <c r="P127" i="11" s="1"/>
  <c r="G128" i="11"/>
  <c r="H128" i="11" s="1"/>
  <c r="G129" i="11"/>
  <c r="I129" i="11" s="1"/>
  <c r="G130" i="11"/>
  <c r="R130" i="11" s="1"/>
  <c r="Q130" i="11" s="1"/>
  <c r="P130" i="11" s="1"/>
  <c r="G131" i="11"/>
  <c r="I131" i="11" s="1"/>
  <c r="G132" i="11"/>
  <c r="R132" i="11" s="1"/>
  <c r="Q132" i="11" s="1"/>
  <c r="P132" i="11" s="1"/>
  <c r="G133" i="11"/>
  <c r="R133" i="11" s="1"/>
  <c r="Q133" i="11" s="1"/>
  <c r="P133" i="11" s="1"/>
  <c r="G134" i="11"/>
  <c r="I134" i="11" s="1"/>
  <c r="G135" i="11"/>
  <c r="H135" i="11" s="1"/>
  <c r="G136" i="11"/>
  <c r="H136" i="11" s="1"/>
  <c r="G137" i="11"/>
  <c r="I137" i="11" s="1"/>
  <c r="G138" i="11"/>
  <c r="R138" i="11" s="1"/>
  <c r="Q138" i="11" s="1"/>
  <c r="P138" i="11" s="1"/>
  <c r="G139" i="11"/>
  <c r="H139" i="11" s="1"/>
  <c r="G140" i="11"/>
  <c r="I140" i="11" s="1"/>
  <c r="G141" i="11"/>
  <c r="H141" i="11" s="1"/>
  <c r="G142" i="11"/>
  <c r="R142" i="11" s="1"/>
  <c r="Q142" i="11" s="1"/>
  <c r="P142" i="11" s="1"/>
  <c r="G143" i="11"/>
  <c r="R143" i="11" s="1"/>
  <c r="Q143" i="11" s="1"/>
  <c r="P143" i="11" s="1"/>
  <c r="G144" i="11"/>
  <c r="H144" i="11" s="1"/>
  <c r="G145" i="11"/>
  <c r="I145" i="11" s="1"/>
  <c r="G146" i="11"/>
  <c r="H146" i="11" s="1"/>
  <c r="H147" i="11"/>
  <c r="I148" i="11"/>
  <c r="I150" i="11"/>
  <c r="G151" i="11"/>
  <c r="H151" i="11" s="1"/>
  <c r="G152" i="11"/>
  <c r="I152" i="11" s="1"/>
  <c r="G153" i="11"/>
  <c r="R153" i="11" s="1"/>
  <c r="Q153" i="11" s="1"/>
  <c r="P153" i="11" s="1"/>
  <c r="G154" i="11"/>
  <c r="R154" i="11" s="1"/>
  <c r="Q154" i="11" s="1"/>
  <c r="P154" i="11" s="1"/>
  <c r="G155" i="11"/>
  <c r="H155" i="11" s="1"/>
  <c r="G156" i="11"/>
  <c r="I156" i="11" s="1"/>
  <c r="G157" i="11"/>
  <c r="I157" i="11" s="1"/>
  <c r="G158" i="11"/>
  <c r="I158" i="11" s="1"/>
  <c r="G159" i="11"/>
  <c r="R159" i="11" s="1"/>
  <c r="Q159" i="11" s="1"/>
  <c r="P159" i="11" s="1"/>
  <c r="G160" i="11"/>
  <c r="H160" i="11" s="1"/>
  <c r="G161" i="11"/>
  <c r="I161" i="11" s="1"/>
  <c r="G162" i="11"/>
  <c r="H162" i="11" s="1"/>
  <c r="G163" i="11"/>
  <c r="I163" i="11" s="1"/>
  <c r="G164" i="11"/>
  <c r="R164" i="11" s="1"/>
  <c r="Q164" i="11" s="1"/>
  <c r="P164" i="11" s="1"/>
  <c r="G165" i="11"/>
  <c r="R165" i="11" s="1"/>
  <c r="Q165" i="11" s="1"/>
  <c r="P165" i="11" s="1"/>
  <c r="G166" i="11"/>
  <c r="I166" i="11" s="1"/>
  <c r="G167" i="11"/>
  <c r="H167" i="11" s="1"/>
  <c r="G168" i="11"/>
  <c r="H168" i="11" s="1"/>
  <c r="G169" i="11"/>
  <c r="I169" i="11" s="1"/>
  <c r="G170" i="11"/>
  <c r="R170" i="11" s="1"/>
  <c r="Q170" i="11" s="1"/>
  <c r="P170" i="11" s="1"/>
  <c r="G171" i="11"/>
  <c r="H171" i="11" s="1"/>
  <c r="G172" i="11"/>
  <c r="I172" i="11" s="1"/>
  <c r="G173" i="11"/>
  <c r="I173" i="11" s="1"/>
  <c r="G174" i="11"/>
  <c r="R174" i="11" s="1"/>
  <c r="Q174" i="11" s="1"/>
  <c r="P174" i="11" s="1"/>
  <c r="G175" i="11"/>
  <c r="R175" i="11" s="1"/>
  <c r="Q175" i="11" s="1"/>
  <c r="P175" i="11" s="1"/>
  <c r="G176" i="11"/>
  <c r="H176" i="11" s="1"/>
  <c r="G177" i="11"/>
  <c r="I177" i="11" s="1"/>
  <c r="G178" i="11"/>
  <c r="H178" i="11" s="1"/>
  <c r="G179" i="11"/>
  <c r="I179" i="11" s="1"/>
  <c r="G180" i="11"/>
  <c r="I180" i="11" s="1"/>
  <c r="G181" i="11"/>
  <c r="R181" i="11" s="1"/>
  <c r="Q181" i="11" s="1"/>
  <c r="P181" i="11" s="1"/>
  <c r="G182" i="11"/>
  <c r="I182" i="11" s="1"/>
  <c r="G183" i="11"/>
  <c r="H183" i="11" s="1"/>
  <c r="G184" i="11"/>
  <c r="I184" i="11" s="1"/>
  <c r="G185" i="11"/>
  <c r="R185" i="11" s="1"/>
  <c r="Q185" i="11" s="1"/>
  <c r="P185" i="11" s="1"/>
  <c r="G186" i="11"/>
  <c r="R186" i="11" s="1"/>
  <c r="Q186" i="11" s="1"/>
  <c r="P186" i="11" s="1"/>
  <c r="G187" i="11"/>
  <c r="H187" i="11" s="1"/>
  <c r="G188" i="11"/>
  <c r="I188" i="11" s="1"/>
  <c r="G189" i="11"/>
  <c r="I189" i="11" s="1"/>
  <c r="G190" i="11"/>
  <c r="I190" i="11" s="1"/>
  <c r="G191" i="11"/>
  <c r="R191" i="11" s="1"/>
  <c r="Q191" i="11" s="1"/>
  <c r="P191" i="11" s="1"/>
  <c r="G192" i="11"/>
  <c r="H192" i="11" s="1"/>
  <c r="G193" i="11"/>
  <c r="I193" i="11" s="1"/>
  <c r="G194" i="11"/>
  <c r="H194" i="11" s="1"/>
  <c r="G195" i="11"/>
  <c r="I195" i="11" s="1"/>
  <c r="G196" i="11"/>
  <c r="R196" i="11" s="1"/>
  <c r="Q196" i="11" s="1"/>
  <c r="P196" i="11" s="1"/>
  <c r="G197" i="11"/>
  <c r="R197" i="11" s="1"/>
  <c r="Q197" i="11" s="1"/>
  <c r="P197" i="11" s="1"/>
  <c r="G198" i="11"/>
  <c r="I198" i="11" s="1"/>
  <c r="G199" i="11"/>
  <c r="H199" i="11" s="1"/>
  <c r="G200" i="11"/>
  <c r="H200" i="11" s="1"/>
  <c r="G201" i="11"/>
  <c r="I201" i="11" s="1"/>
  <c r="G202" i="11"/>
  <c r="R202" i="11" s="1"/>
  <c r="Q202" i="11" s="1"/>
  <c r="P202" i="11" s="1"/>
  <c r="G203" i="11"/>
  <c r="H203" i="11" s="1"/>
  <c r="G204" i="11"/>
  <c r="R204" i="11" s="1"/>
  <c r="Q204" i="11" s="1"/>
  <c r="P204" i="11" s="1"/>
  <c r="G205" i="11"/>
  <c r="I205" i="11" s="1"/>
  <c r="G206" i="11"/>
  <c r="R206" i="11" s="1"/>
  <c r="Q206" i="11" s="1"/>
  <c r="P206" i="11" s="1"/>
  <c r="G207" i="11"/>
  <c r="R207" i="11" s="1"/>
  <c r="Q207" i="11" s="1"/>
  <c r="P207" i="11" s="1"/>
  <c r="G208" i="11"/>
  <c r="H208" i="11" s="1"/>
  <c r="G209" i="11"/>
  <c r="I209" i="11" s="1"/>
  <c r="G210" i="11"/>
  <c r="H210" i="11" s="1"/>
  <c r="G211" i="11"/>
  <c r="H211" i="11" s="1"/>
  <c r="G212" i="11"/>
  <c r="I212" i="11" s="1"/>
  <c r="G213" i="11"/>
  <c r="G214" i="11"/>
  <c r="I214" i="11" s="1"/>
  <c r="G215" i="11"/>
  <c r="H215" i="11" s="1"/>
  <c r="G216" i="11"/>
  <c r="I216" i="11" s="1"/>
  <c r="G217" i="11"/>
  <c r="R217" i="11" s="1"/>
  <c r="Q217" i="11" s="1"/>
  <c r="P217" i="11" s="1"/>
  <c r="G218" i="11"/>
  <c r="R218" i="11" s="1"/>
  <c r="Q218" i="11" s="1"/>
  <c r="P218" i="11" s="1"/>
  <c r="G219" i="11"/>
  <c r="H219" i="11" s="1"/>
  <c r="G220" i="11"/>
  <c r="I220" i="11" s="1"/>
  <c r="G221" i="11"/>
  <c r="I221" i="11" s="1"/>
  <c r="G222" i="11"/>
  <c r="I222" i="11" s="1"/>
  <c r="G223" i="11"/>
  <c r="H223" i="11" s="1"/>
  <c r="G224" i="11"/>
  <c r="H224" i="11" s="1"/>
  <c r="G225" i="11"/>
  <c r="I225" i="11" s="1"/>
  <c r="G226" i="11"/>
  <c r="H226" i="11" s="1"/>
  <c r="G227" i="11"/>
  <c r="I227" i="11" s="1"/>
  <c r="G228" i="11"/>
  <c r="R228" i="11" s="1"/>
  <c r="Q228" i="11" s="1"/>
  <c r="P228" i="11" s="1"/>
  <c r="G229" i="11"/>
  <c r="R229" i="11" s="1"/>
  <c r="Q229" i="11" s="1"/>
  <c r="P229" i="11" s="1"/>
  <c r="G230" i="11"/>
  <c r="H230" i="11" s="1"/>
  <c r="G231" i="11"/>
  <c r="H231" i="11" s="1"/>
  <c r="G232" i="11"/>
  <c r="H232" i="11" s="1"/>
  <c r="G233" i="11"/>
  <c r="I233" i="11" s="1"/>
  <c r="G234" i="11"/>
  <c r="R234" i="11" s="1"/>
  <c r="Q234" i="11" s="1"/>
  <c r="P234" i="11" s="1"/>
  <c r="G235" i="11"/>
  <c r="H235" i="11" s="1"/>
  <c r="G236" i="11"/>
  <c r="I236" i="11" s="1"/>
  <c r="G237" i="11"/>
  <c r="I237" i="11" s="1"/>
  <c r="G238" i="11"/>
  <c r="R238" i="11" s="1"/>
  <c r="Q238" i="11" s="1"/>
  <c r="P238" i="11" s="1"/>
  <c r="G239" i="11"/>
  <c r="R239" i="11" s="1"/>
  <c r="Q239" i="11" s="1"/>
  <c r="P239" i="11" s="1"/>
  <c r="G240" i="11"/>
  <c r="H240" i="11" s="1"/>
  <c r="G241" i="11"/>
  <c r="I241" i="11" s="1"/>
  <c r="G242" i="11"/>
  <c r="H242" i="11" s="1"/>
  <c r="G243" i="11"/>
  <c r="I243" i="11" s="1"/>
  <c r="G244" i="11"/>
  <c r="I244" i="11" s="1"/>
  <c r="G245" i="11"/>
  <c r="R245" i="11" s="1"/>
  <c r="Q245" i="11" s="1"/>
  <c r="P245" i="11" s="1"/>
  <c r="G246" i="11"/>
  <c r="I246" i="11" s="1"/>
  <c r="G247" i="11"/>
  <c r="H247" i="11" s="1"/>
  <c r="G248" i="11"/>
  <c r="I248" i="11" s="1"/>
  <c r="G249" i="11"/>
  <c r="R249" i="11" s="1"/>
  <c r="Q249" i="11" s="1"/>
  <c r="P249" i="11" s="1"/>
  <c r="G250" i="11"/>
  <c r="R250" i="11" s="1"/>
  <c r="Q250" i="11" s="1"/>
  <c r="P250" i="11" s="1"/>
  <c r="G251" i="11"/>
  <c r="H251" i="11" s="1"/>
  <c r="G252" i="11"/>
  <c r="I252" i="11" s="1"/>
  <c r="G253" i="11"/>
  <c r="I253" i="11" s="1"/>
  <c r="G254" i="11"/>
  <c r="I254" i="11" s="1"/>
  <c r="G255" i="11"/>
  <c r="R255" i="11" s="1"/>
  <c r="Q255" i="11" s="1"/>
  <c r="P255" i="11" s="1"/>
  <c r="G256" i="11"/>
  <c r="H256" i="11" s="1"/>
  <c r="G257" i="11"/>
  <c r="I257" i="11" s="1"/>
  <c r="G258" i="11"/>
  <c r="I258" i="11" s="1"/>
  <c r="G259" i="11"/>
  <c r="R259" i="11" s="1"/>
  <c r="Q259" i="11" s="1"/>
  <c r="P259" i="11" s="1"/>
  <c r="G260" i="11"/>
  <c r="R260" i="11" s="1"/>
  <c r="Q260" i="11" s="1"/>
  <c r="P260" i="11" s="1"/>
  <c r="G261" i="11"/>
  <c r="I261" i="11" s="1"/>
  <c r="G262" i="11"/>
  <c r="I262" i="11" s="1"/>
  <c r="G263" i="11"/>
  <c r="H263" i="11" s="1"/>
  <c r="G264" i="11"/>
  <c r="H264" i="11" s="1"/>
  <c r="G265" i="11"/>
  <c r="I265" i="11" s="1"/>
  <c r="G266" i="11"/>
  <c r="I266" i="11" s="1"/>
  <c r="G267" i="11"/>
  <c r="H267" i="11" s="1"/>
  <c r="G268" i="11"/>
  <c r="H268" i="11" s="1"/>
  <c r="G269" i="11"/>
  <c r="I269" i="11" s="1"/>
  <c r="G270" i="11"/>
  <c r="I270" i="11" s="1"/>
  <c r="G271" i="11"/>
  <c r="G272" i="11"/>
  <c r="H272" i="11" s="1"/>
  <c r="G273" i="11"/>
  <c r="I273" i="11" s="1"/>
  <c r="G274" i="11"/>
  <c r="I274" i="11" s="1"/>
  <c r="G275" i="11"/>
  <c r="H275" i="11" s="1"/>
  <c r="G276" i="11"/>
  <c r="R276" i="11" s="1"/>
  <c r="Q276" i="11" s="1"/>
  <c r="P276" i="11" s="1"/>
  <c r="G277" i="11"/>
  <c r="I277" i="11" s="1"/>
  <c r="G278" i="11"/>
  <c r="H278" i="11" s="1"/>
  <c r="G279" i="11"/>
  <c r="H279" i="11" s="1"/>
  <c r="G280" i="11"/>
  <c r="R280" i="11" s="1"/>
  <c r="Q280" i="11" s="1"/>
  <c r="P280" i="11" s="1"/>
  <c r="G281" i="11"/>
  <c r="I281" i="11" s="1"/>
  <c r="G282" i="11"/>
  <c r="I282" i="11" s="1"/>
  <c r="G283" i="11"/>
  <c r="H283" i="11" s="1"/>
  <c r="G284" i="11"/>
  <c r="R284" i="11" s="1"/>
  <c r="Q284" i="11" s="1"/>
  <c r="P284" i="11" s="1"/>
  <c r="G285" i="11"/>
  <c r="I285" i="11" s="1"/>
  <c r="G286" i="11"/>
  <c r="I286" i="11" s="1"/>
  <c r="G287" i="11"/>
  <c r="I287" i="11" s="1"/>
  <c r="G288" i="11"/>
  <c r="H288" i="11" s="1"/>
  <c r="G289" i="11"/>
  <c r="I289" i="11" s="1"/>
  <c r="G290" i="11"/>
  <c r="H290" i="11" s="1"/>
  <c r="G291" i="11"/>
  <c r="R291" i="11" s="1"/>
  <c r="Q291" i="11" s="1"/>
  <c r="P291" i="11" s="1"/>
  <c r="G292" i="11"/>
  <c r="R292" i="11" s="1"/>
  <c r="Q292" i="11" s="1"/>
  <c r="P292" i="11" s="1"/>
  <c r="G293" i="11"/>
  <c r="I293" i="11" s="1"/>
  <c r="G294" i="11"/>
  <c r="H294" i="11" s="1"/>
  <c r="G295" i="11"/>
  <c r="H295" i="11" s="1"/>
  <c r="G296" i="11"/>
  <c r="H296" i="11" s="1"/>
  <c r="G297" i="11"/>
  <c r="I297" i="11" s="1"/>
  <c r="G298" i="11"/>
  <c r="I298" i="11" s="1"/>
  <c r="G299" i="11"/>
  <c r="H299" i="11" s="1"/>
  <c r="G300" i="11"/>
  <c r="R300" i="11" s="1"/>
  <c r="Q300" i="11" s="1"/>
  <c r="P300" i="11" s="1"/>
  <c r="G301" i="11"/>
  <c r="I301" i="11" s="1"/>
  <c r="G302" i="11"/>
  <c r="I302" i="11" s="1"/>
  <c r="G303" i="11"/>
  <c r="I303" i="11" s="1"/>
  <c r="G304" i="11"/>
  <c r="H304" i="11" s="1"/>
  <c r="G305" i="11"/>
  <c r="I305" i="11" s="1"/>
  <c r="G306" i="11"/>
  <c r="I306" i="11" s="1"/>
  <c r="H307" i="11"/>
  <c r="I309" i="11"/>
  <c r="G310" i="11"/>
  <c r="I310" i="11" s="1"/>
  <c r="G311" i="11"/>
  <c r="H311" i="11" s="1"/>
  <c r="G312" i="11"/>
  <c r="R312" i="11" s="1"/>
  <c r="Q312" i="11" s="1"/>
  <c r="P312" i="11" s="1"/>
  <c r="G313" i="11"/>
  <c r="I313" i="11" s="1"/>
  <c r="G314" i="11"/>
  <c r="I314" i="11" s="1"/>
  <c r="G315" i="11"/>
  <c r="H315" i="11" s="1"/>
  <c r="G316" i="11"/>
  <c r="R316" i="11" s="1"/>
  <c r="Q316" i="11" s="1"/>
  <c r="P316" i="11" s="1"/>
  <c r="G317" i="11"/>
  <c r="I317" i="11" s="1"/>
  <c r="G318" i="11"/>
  <c r="I318" i="11" s="1"/>
  <c r="G319" i="11"/>
  <c r="I319" i="11" s="1"/>
  <c r="G320" i="11"/>
  <c r="H320" i="11" s="1"/>
  <c r="G321" i="11"/>
  <c r="I321" i="11" s="1"/>
  <c r="G322" i="11"/>
  <c r="I322" i="11" s="1"/>
  <c r="G323" i="11"/>
  <c r="I323" i="11" s="1"/>
  <c r="G324" i="11"/>
  <c r="R324" i="11" s="1"/>
  <c r="Q324" i="11" s="1"/>
  <c r="P324" i="11" s="1"/>
  <c r="I325" i="11"/>
  <c r="H326" i="11"/>
  <c r="H327" i="11"/>
  <c r="H328" i="11"/>
  <c r="I329" i="11"/>
  <c r="I330" i="11"/>
  <c r="G331" i="11"/>
  <c r="H331" i="11" s="1"/>
  <c r="G332" i="11"/>
  <c r="R332" i="11" s="1"/>
  <c r="Q332" i="11" s="1"/>
  <c r="P332" i="11" s="1"/>
  <c r="G333" i="11"/>
  <c r="I333" i="11" s="1"/>
  <c r="G334" i="11"/>
  <c r="I334" i="11" s="1"/>
  <c r="G335" i="11"/>
  <c r="I335" i="11" s="1"/>
  <c r="G336" i="11"/>
  <c r="H336" i="11" s="1"/>
  <c r="G337" i="11"/>
  <c r="I337" i="11" s="1"/>
  <c r="G338" i="11"/>
  <c r="H338" i="11" s="1"/>
  <c r="G339" i="11"/>
  <c r="H339" i="11" s="1"/>
  <c r="G340" i="11"/>
  <c r="R340" i="11" s="1"/>
  <c r="Q340" i="11" s="1"/>
  <c r="P340" i="11" s="1"/>
  <c r="G341" i="11"/>
  <c r="I341" i="11" s="1"/>
  <c r="G342" i="11"/>
  <c r="I342" i="11" s="1"/>
  <c r="G343" i="11"/>
  <c r="I343" i="11" s="1"/>
  <c r="G344" i="11"/>
  <c r="R344" i="11" s="1"/>
  <c r="Q344" i="11" s="1"/>
  <c r="P344" i="11" s="1"/>
  <c r="G345" i="11"/>
  <c r="I345" i="11" s="1"/>
  <c r="G346" i="11"/>
  <c r="I346" i="11" s="1"/>
  <c r="G347" i="11"/>
  <c r="H347" i="11" s="1"/>
  <c r="G348" i="11"/>
  <c r="R348" i="11" s="1"/>
  <c r="Q348" i="11" s="1"/>
  <c r="P348" i="11" s="1"/>
  <c r="G349" i="11"/>
  <c r="H349" i="11" s="1"/>
  <c r="G350" i="11"/>
  <c r="I350" i="11" s="1"/>
  <c r="G351" i="11"/>
  <c r="I351" i="11" s="1"/>
  <c r="G352" i="11"/>
  <c r="H352" i="11" s="1"/>
  <c r="G353" i="11"/>
  <c r="I353" i="11" s="1"/>
  <c r="G354" i="11"/>
  <c r="I354" i="11" s="1"/>
  <c r="G355" i="11"/>
  <c r="I355" i="11" s="1"/>
  <c r="G356" i="11"/>
  <c r="R356" i="11" s="1"/>
  <c r="Q356" i="11" s="1"/>
  <c r="P356" i="11" s="1"/>
  <c r="G357" i="11"/>
  <c r="I357" i="11" s="1"/>
  <c r="G358" i="11"/>
  <c r="H358" i="11" s="1"/>
  <c r="G359" i="11"/>
  <c r="H359" i="11" s="1"/>
  <c r="G360" i="11"/>
  <c r="H360" i="11" s="1"/>
  <c r="G361" i="11"/>
  <c r="I361" i="11" s="1"/>
  <c r="G362" i="11"/>
  <c r="I362" i="11" s="1"/>
  <c r="G363" i="11"/>
  <c r="I363" i="11" s="1"/>
  <c r="G364" i="11"/>
  <c r="R364" i="11" s="1"/>
  <c r="Q364" i="11" s="1"/>
  <c r="P364" i="11" s="1"/>
  <c r="G365" i="11"/>
  <c r="H365" i="11" s="1"/>
  <c r="G366" i="11"/>
  <c r="I366" i="11" s="1"/>
  <c r="G367" i="11"/>
  <c r="I367" i="11" s="1"/>
  <c r="G368" i="11"/>
  <c r="H368" i="11" s="1"/>
  <c r="G369" i="11"/>
  <c r="I369" i="11" s="1"/>
  <c r="G370" i="11"/>
  <c r="I370" i="11" s="1"/>
  <c r="G371" i="11"/>
  <c r="I371" i="11" s="1"/>
  <c r="G372" i="11"/>
  <c r="R372" i="11" s="1"/>
  <c r="Q372" i="11" s="1"/>
  <c r="P372" i="11" s="1"/>
  <c r="G373" i="11"/>
  <c r="I373" i="11" s="1"/>
  <c r="G374" i="11"/>
  <c r="I374" i="11" s="1"/>
  <c r="G375" i="11"/>
  <c r="I375" i="11" s="1"/>
  <c r="G376" i="11"/>
  <c r="R376" i="11" s="1"/>
  <c r="Q376" i="11" s="1"/>
  <c r="P376" i="11" s="1"/>
  <c r="G377" i="11"/>
  <c r="I377" i="11" s="1"/>
  <c r="G378" i="11"/>
  <c r="I378" i="11" s="1"/>
  <c r="G379" i="11"/>
  <c r="H379" i="11" s="1"/>
  <c r="G380" i="11"/>
  <c r="R380" i="11" s="1"/>
  <c r="Q380" i="11" s="1"/>
  <c r="P380" i="11" s="1"/>
  <c r="G381" i="11"/>
  <c r="H381" i="11" s="1"/>
  <c r="G382" i="11"/>
  <c r="H382" i="11" s="1"/>
  <c r="G383" i="11"/>
  <c r="I383" i="11" s="1"/>
  <c r="G384" i="11"/>
  <c r="H384" i="11" s="1"/>
  <c r="G385" i="11"/>
  <c r="I385" i="11" s="1"/>
  <c r="G386" i="11"/>
  <c r="I386" i="11" s="1"/>
  <c r="G387" i="11"/>
  <c r="I387" i="11" s="1"/>
  <c r="G388" i="11"/>
  <c r="R388" i="11" s="1"/>
  <c r="Q388" i="11" s="1"/>
  <c r="P388" i="11" s="1"/>
  <c r="G389" i="11"/>
  <c r="I389" i="11" s="1"/>
  <c r="G390" i="11"/>
  <c r="H390" i="11" s="1"/>
  <c r="G391" i="11"/>
  <c r="H391" i="11" s="1"/>
  <c r="G392" i="11"/>
  <c r="H392" i="11" s="1"/>
  <c r="G393" i="11"/>
  <c r="I393" i="11" s="1"/>
  <c r="G394" i="11"/>
  <c r="I394" i="11" s="1"/>
  <c r="G395" i="11"/>
  <c r="H395" i="11" s="1"/>
  <c r="G396" i="11"/>
  <c r="R396" i="11" s="1"/>
  <c r="Q396" i="11" s="1"/>
  <c r="P396" i="11" s="1"/>
  <c r="G397" i="11"/>
  <c r="H397" i="11" s="1"/>
  <c r="G398" i="11"/>
  <c r="I398" i="11" s="1"/>
  <c r="G399" i="11"/>
  <c r="I399" i="11" s="1"/>
  <c r="G400" i="11"/>
  <c r="H400" i="11" s="1"/>
  <c r="G401" i="11"/>
  <c r="I401" i="11" s="1"/>
  <c r="G402" i="11"/>
  <c r="I402" i="11" s="1"/>
  <c r="G403" i="11"/>
  <c r="I403" i="11" s="1"/>
  <c r="G404" i="11"/>
  <c r="R404" i="11" s="1"/>
  <c r="Q404" i="11" s="1"/>
  <c r="P404" i="11" s="1"/>
  <c r="G405" i="11"/>
  <c r="I405" i="11" s="1"/>
  <c r="G406" i="11"/>
  <c r="I406" i="11" s="1"/>
  <c r="G407" i="11"/>
  <c r="I407" i="11" s="1"/>
  <c r="G408" i="11"/>
  <c r="R408" i="11" s="1"/>
  <c r="Q408" i="11" s="1"/>
  <c r="P408" i="11" s="1"/>
  <c r="G409" i="11"/>
  <c r="I409" i="11" s="1"/>
  <c r="G410" i="11"/>
  <c r="I410" i="11" s="1"/>
  <c r="G411" i="11"/>
  <c r="H411" i="11" s="1"/>
  <c r="G412" i="11"/>
  <c r="R412" i="11" s="1"/>
  <c r="Q412" i="11" s="1"/>
  <c r="P412" i="11" s="1"/>
  <c r="G413" i="11"/>
  <c r="H413" i="11" s="1"/>
  <c r="G414" i="11"/>
  <c r="H414" i="11" s="1"/>
  <c r="G415" i="11"/>
  <c r="I415" i="11" s="1"/>
  <c r="G416" i="11"/>
  <c r="H416" i="11" s="1"/>
  <c r="G417" i="11"/>
  <c r="I417" i="11" s="1"/>
  <c r="G418" i="11"/>
  <c r="I418" i="11" s="1"/>
  <c r="G419" i="11"/>
  <c r="I419" i="11" s="1"/>
  <c r="G420" i="11"/>
  <c r="R420" i="11" s="1"/>
  <c r="Q420" i="11" s="1"/>
  <c r="P420" i="11" s="1"/>
  <c r="G421" i="11"/>
  <c r="I421" i="11" s="1"/>
  <c r="G422" i="11"/>
  <c r="H422" i="11" s="1"/>
  <c r="G423" i="11"/>
  <c r="H423" i="11" s="1"/>
  <c r="G424" i="11"/>
  <c r="H424" i="11" s="1"/>
  <c r="G425" i="11"/>
  <c r="I425" i="11" s="1"/>
  <c r="G426" i="11"/>
  <c r="I426" i="11" s="1"/>
  <c r="G427" i="11"/>
  <c r="I427" i="11" s="1"/>
  <c r="G2" i="11"/>
  <c r="I2" i="11" s="1"/>
  <c r="I102" i="11" l="1"/>
  <c r="H102" i="11"/>
  <c r="I271" i="11"/>
  <c r="H271" i="11"/>
  <c r="R213" i="11"/>
  <c r="Q213" i="11" s="1"/>
  <c r="P213" i="11" s="1"/>
  <c r="I213" i="11"/>
  <c r="I76" i="11"/>
  <c r="R76" i="11"/>
  <c r="Q76" i="11" s="1"/>
  <c r="P76" i="11" s="1"/>
  <c r="I3" i="11"/>
  <c r="I44" i="11"/>
  <c r="H44" i="11"/>
  <c r="H60" i="11"/>
  <c r="R158" i="11"/>
  <c r="Q158" i="11" s="1"/>
  <c r="P158" i="11" s="1"/>
  <c r="R193" i="11"/>
  <c r="Q193" i="11" s="1"/>
  <c r="P193" i="11" s="1"/>
  <c r="R46" i="11"/>
  <c r="Q46" i="11" s="1"/>
  <c r="P46" i="11" s="1"/>
  <c r="R199" i="11"/>
  <c r="Q199" i="11" s="1"/>
  <c r="P199" i="11" s="1"/>
  <c r="R102" i="11"/>
  <c r="Q102" i="11" s="1"/>
  <c r="P102" i="11" s="1"/>
  <c r="R88" i="11"/>
  <c r="Q88" i="11" s="1"/>
  <c r="P88" i="11" s="1"/>
  <c r="R215" i="11"/>
  <c r="Q215" i="11" s="1"/>
  <c r="P215" i="11" s="1"/>
  <c r="R299" i="11"/>
  <c r="Q299" i="11" s="1"/>
  <c r="P299" i="11" s="1"/>
  <c r="R267" i="11"/>
  <c r="Q267" i="11" s="1"/>
  <c r="P267" i="11" s="1"/>
  <c r="R22" i="11"/>
  <c r="Q22" i="11" s="1"/>
  <c r="P22" i="11" s="1"/>
  <c r="R123" i="11"/>
  <c r="Q123" i="11" s="1"/>
  <c r="P123" i="11" s="1"/>
  <c r="R214" i="11"/>
  <c r="Q214" i="11" s="1"/>
  <c r="P214" i="11" s="1"/>
  <c r="R28" i="11"/>
  <c r="Q28" i="11" s="1"/>
  <c r="P28" i="11" s="1"/>
  <c r="R125" i="11"/>
  <c r="Q125" i="11" s="1"/>
  <c r="P125" i="11" s="1"/>
  <c r="R182" i="11"/>
  <c r="Q182" i="11" s="1"/>
  <c r="P182" i="11" s="1"/>
  <c r="R131" i="11"/>
  <c r="Q131" i="11" s="1"/>
  <c r="P131" i="11" s="1"/>
  <c r="R146" i="11"/>
  <c r="Q146" i="11" s="1"/>
  <c r="P146" i="11" s="1"/>
  <c r="R252" i="11"/>
  <c r="Q252" i="11" s="1"/>
  <c r="P252" i="11" s="1"/>
  <c r="R251" i="11"/>
  <c r="Q251" i="11" s="1"/>
  <c r="P251" i="11" s="1"/>
  <c r="R283" i="11"/>
  <c r="Q283" i="11" s="1"/>
  <c r="P283" i="11" s="1"/>
  <c r="H92" i="11"/>
  <c r="R44" i="11"/>
  <c r="Q44" i="11" s="1"/>
  <c r="P44" i="11" s="1"/>
  <c r="R141" i="11"/>
  <c r="Q141" i="11" s="1"/>
  <c r="P141" i="11" s="1"/>
  <c r="R157" i="11"/>
  <c r="Q157" i="11" s="1"/>
  <c r="P157" i="11" s="1"/>
  <c r="R192" i="11"/>
  <c r="Q192" i="11" s="1"/>
  <c r="P192" i="11" s="1"/>
  <c r="R198" i="11"/>
  <c r="Q198" i="11" s="1"/>
  <c r="P198" i="11" s="1"/>
  <c r="R62" i="11"/>
  <c r="Q62" i="11" s="1"/>
  <c r="P62" i="11" s="1"/>
  <c r="R109" i="11"/>
  <c r="Q109" i="11" s="1"/>
  <c r="P109" i="11" s="1"/>
  <c r="R140" i="11"/>
  <c r="Q140" i="11" s="1"/>
  <c r="P140" i="11" s="1"/>
  <c r="R161" i="11"/>
  <c r="Q161" i="11" s="1"/>
  <c r="P161" i="11" s="1"/>
  <c r="R224" i="11"/>
  <c r="Q224" i="11" s="1"/>
  <c r="P224" i="11" s="1"/>
  <c r="I204" i="11"/>
  <c r="R275" i="11"/>
  <c r="Q275" i="11" s="1"/>
  <c r="P275" i="11" s="1"/>
  <c r="I288" i="11"/>
  <c r="R118" i="11"/>
  <c r="Q118" i="11" s="1"/>
  <c r="P118" i="11" s="1"/>
  <c r="R160" i="11"/>
  <c r="Q160" i="11" s="1"/>
  <c r="P160" i="11" s="1"/>
  <c r="R223" i="11"/>
  <c r="Q223" i="11" s="1"/>
  <c r="P223" i="11" s="1"/>
  <c r="R268" i="11"/>
  <c r="Q268" i="11" s="1"/>
  <c r="P268" i="11" s="1"/>
  <c r="R371" i="11"/>
  <c r="Q371" i="11" s="1"/>
  <c r="P371" i="11" s="1"/>
  <c r="R107" i="11"/>
  <c r="Q107" i="11" s="1"/>
  <c r="P107" i="11" s="1"/>
  <c r="R115" i="11"/>
  <c r="Q115" i="11" s="1"/>
  <c r="P115" i="11" s="1"/>
  <c r="R152" i="11"/>
  <c r="Q152" i="11" s="1"/>
  <c r="P152" i="11" s="1"/>
  <c r="R163" i="11"/>
  <c r="Q163" i="11" s="1"/>
  <c r="P163" i="11" s="1"/>
  <c r="R166" i="11"/>
  <c r="Q166" i="11" s="1"/>
  <c r="P166" i="11" s="1"/>
  <c r="R178" i="11"/>
  <c r="Q178" i="11" s="1"/>
  <c r="P178" i="11" s="1"/>
  <c r="R195" i="11"/>
  <c r="Q195" i="11" s="1"/>
  <c r="P195" i="11" s="1"/>
  <c r="R187" i="11"/>
  <c r="Q187" i="11" s="1"/>
  <c r="P187" i="11" s="1"/>
  <c r="R209" i="11"/>
  <c r="Q209" i="11" s="1"/>
  <c r="P209" i="11" s="1"/>
  <c r="R201" i="11"/>
  <c r="Q201" i="11" s="1"/>
  <c r="P201" i="11" s="1"/>
  <c r="R226" i="11"/>
  <c r="Q226" i="11" s="1"/>
  <c r="P226" i="11" s="1"/>
  <c r="R236" i="11"/>
  <c r="Q236" i="11" s="1"/>
  <c r="P236" i="11" s="1"/>
  <c r="R240" i="11"/>
  <c r="Q240" i="11" s="1"/>
  <c r="P240" i="11" s="1"/>
  <c r="R422" i="11"/>
  <c r="Q422" i="11" s="1"/>
  <c r="P422" i="11" s="1"/>
  <c r="R414" i="11"/>
  <c r="Q414" i="11" s="1"/>
  <c r="P414" i="11" s="1"/>
  <c r="R406" i="11"/>
  <c r="Q406" i="11" s="1"/>
  <c r="P406" i="11" s="1"/>
  <c r="R398" i="11"/>
  <c r="Q398" i="11" s="1"/>
  <c r="P398" i="11" s="1"/>
  <c r="R390" i="11"/>
  <c r="Q390" i="11" s="1"/>
  <c r="P390" i="11" s="1"/>
  <c r="R382" i="11"/>
  <c r="Q382" i="11" s="1"/>
  <c r="P382" i="11" s="1"/>
  <c r="R374" i="11"/>
  <c r="Q374" i="11" s="1"/>
  <c r="P374" i="11" s="1"/>
  <c r="R366" i="11"/>
  <c r="Q366" i="11" s="1"/>
  <c r="P366" i="11" s="1"/>
  <c r="R358" i="11"/>
  <c r="Q358" i="11" s="1"/>
  <c r="P358" i="11" s="1"/>
  <c r="R350" i="11"/>
  <c r="Q350" i="11" s="1"/>
  <c r="P350" i="11" s="1"/>
  <c r="R342" i="11"/>
  <c r="Q342" i="11" s="1"/>
  <c r="P342" i="11" s="1"/>
  <c r="R334" i="11"/>
  <c r="Q334" i="11" s="1"/>
  <c r="P334" i="11" s="1"/>
  <c r="R318" i="11"/>
  <c r="Q318" i="11" s="1"/>
  <c r="P318" i="11" s="1"/>
  <c r="R310" i="11"/>
  <c r="Q310" i="11" s="1"/>
  <c r="P310" i="11" s="1"/>
  <c r="R302" i="11"/>
  <c r="Q302" i="11" s="1"/>
  <c r="P302" i="11" s="1"/>
  <c r="R294" i="11"/>
  <c r="Q294" i="11" s="1"/>
  <c r="P294" i="11" s="1"/>
  <c r="R286" i="11"/>
  <c r="Q286" i="11" s="1"/>
  <c r="P286" i="11" s="1"/>
  <c r="R278" i="11"/>
  <c r="Q278" i="11" s="1"/>
  <c r="P278" i="11" s="1"/>
  <c r="R270" i="11"/>
  <c r="Q270" i="11" s="1"/>
  <c r="P270" i="11" s="1"/>
  <c r="R262" i="11"/>
  <c r="Q262" i="11" s="1"/>
  <c r="P262" i="11" s="1"/>
  <c r="R254" i="11"/>
  <c r="Q254" i="11" s="1"/>
  <c r="P254" i="11" s="1"/>
  <c r="R246" i="11"/>
  <c r="Q246" i="11" s="1"/>
  <c r="P246" i="11" s="1"/>
  <c r="R411" i="11"/>
  <c r="Q411" i="11" s="1"/>
  <c r="P411" i="11" s="1"/>
  <c r="R124" i="11"/>
  <c r="Q124" i="11" s="1"/>
  <c r="P124" i="11" s="1"/>
  <c r="R162" i="11"/>
  <c r="Q162" i="11" s="1"/>
  <c r="P162" i="11" s="1"/>
  <c r="R176" i="11"/>
  <c r="Q176" i="11" s="1"/>
  <c r="P176" i="11" s="1"/>
  <c r="R177" i="11"/>
  <c r="Q177" i="11" s="1"/>
  <c r="P177" i="11" s="1"/>
  <c r="R194" i="11"/>
  <c r="Q194" i="11" s="1"/>
  <c r="P194" i="11" s="1"/>
  <c r="R216" i="11"/>
  <c r="Q216" i="11" s="1"/>
  <c r="P216" i="11" s="1"/>
  <c r="R208" i="11"/>
  <c r="Q208" i="11" s="1"/>
  <c r="P208" i="11" s="1"/>
  <c r="R200" i="11"/>
  <c r="Q200" i="11" s="1"/>
  <c r="P200" i="11" s="1"/>
  <c r="R225" i="11"/>
  <c r="Q225" i="11" s="1"/>
  <c r="P225" i="11" s="1"/>
  <c r="R235" i="11"/>
  <c r="Q235" i="11" s="1"/>
  <c r="P235" i="11" s="1"/>
  <c r="R241" i="11"/>
  <c r="Q241" i="11" s="1"/>
  <c r="P241" i="11" s="1"/>
  <c r="R421" i="11"/>
  <c r="Q421" i="11" s="1"/>
  <c r="P421" i="11" s="1"/>
  <c r="R413" i="11"/>
  <c r="Q413" i="11" s="1"/>
  <c r="P413" i="11" s="1"/>
  <c r="R405" i="11"/>
  <c r="Q405" i="11" s="1"/>
  <c r="P405" i="11" s="1"/>
  <c r="R397" i="11"/>
  <c r="Q397" i="11" s="1"/>
  <c r="P397" i="11" s="1"/>
  <c r="R389" i="11"/>
  <c r="Q389" i="11" s="1"/>
  <c r="P389" i="11" s="1"/>
  <c r="R381" i="11"/>
  <c r="Q381" i="11" s="1"/>
  <c r="P381" i="11" s="1"/>
  <c r="R373" i="11"/>
  <c r="Q373" i="11" s="1"/>
  <c r="P373" i="11" s="1"/>
  <c r="R365" i="11"/>
  <c r="Q365" i="11" s="1"/>
  <c r="P365" i="11" s="1"/>
  <c r="R357" i="11"/>
  <c r="Q357" i="11" s="1"/>
  <c r="P357" i="11" s="1"/>
  <c r="R349" i="11"/>
  <c r="Q349" i="11" s="1"/>
  <c r="P349" i="11" s="1"/>
  <c r="R341" i="11"/>
  <c r="Q341" i="11" s="1"/>
  <c r="P341" i="11" s="1"/>
  <c r="R333" i="11"/>
  <c r="Q333" i="11" s="1"/>
  <c r="P333" i="11" s="1"/>
  <c r="R317" i="11"/>
  <c r="Q317" i="11" s="1"/>
  <c r="P317" i="11" s="1"/>
  <c r="R301" i="11"/>
  <c r="Q301" i="11" s="1"/>
  <c r="P301" i="11" s="1"/>
  <c r="R293" i="11"/>
  <c r="Q293" i="11" s="1"/>
  <c r="P293" i="11" s="1"/>
  <c r="R285" i="11"/>
  <c r="Q285" i="11" s="1"/>
  <c r="P285" i="11" s="1"/>
  <c r="R277" i="11"/>
  <c r="Q277" i="11" s="1"/>
  <c r="P277" i="11" s="1"/>
  <c r="R269" i="11"/>
  <c r="Q269" i="11" s="1"/>
  <c r="P269" i="11" s="1"/>
  <c r="R261" i="11"/>
  <c r="Q261" i="11" s="1"/>
  <c r="P261" i="11" s="1"/>
  <c r="R253" i="11"/>
  <c r="Q253" i="11" s="1"/>
  <c r="P253" i="11" s="1"/>
  <c r="R244" i="11"/>
  <c r="Q244" i="11" s="1"/>
  <c r="P244" i="11" s="1"/>
  <c r="R243" i="11"/>
  <c r="Q243" i="11" s="1"/>
  <c r="P243" i="11" s="1"/>
  <c r="R233" i="11"/>
  <c r="Q233" i="11" s="1"/>
  <c r="P233" i="11" s="1"/>
  <c r="R395" i="11"/>
  <c r="Q395" i="11" s="1"/>
  <c r="P395" i="11" s="1"/>
  <c r="R355" i="11"/>
  <c r="Q355" i="11" s="1"/>
  <c r="P355" i="11" s="1"/>
  <c r="R323" i="11"/>
  <c r="Q323" i="11" s="1"/>
  <c r="P323" i="11" s="1"/>
  <c r="R34" i="11"/>
  <c r="Q34" i="11" s="1"/>
  <c r="P34" i="11" s="1"/>
  <c r="R94" i="11"/>
  <c r="Q94" i="11" s="1"/>
  <c r="P94" i="11" s="1"/>
  <c r="R97" i="11"/>
  <c r="Q97" i="11" s="1"/>
  <c r="P97" i="11" s="1"/>
  <c r="R112" i="11"/>
  <c r="Q112" i="11" s="1"/>
  <c r="P112" i="11" s="1"/>
  <c r="R120" i="11"/>
  <c r="Q120" i="11" s="1"/>
  <c r="P120" i="11" s="1"/>
  <c r="R129" i="11"/>
  <c r="Q129" i="11" s="1"/>
  <c r="P129" i="11" s="1"/>
  <c r="R135" i="11"/>
  <c r="Q135" i="11" s="1"/>
  <c r="P135" i="11" s="1"/>
  <c r="R139" i="11"/>
  <c r="Q139" i="11" s="1"/>
  <c r="P139" i="11" s="1"/>
  <c r="R144" i="11"/>
  <c r="Q144" i="11" s="1"/>
  <c r="P144" i="11" s="1"/>
  <c r="R156" i="11"/>
  <c r="Q156" i="11" s="1"/>
  <c r="P156" i="11" s="1"/>
  <c r="R173" i="11"/>
  <c r="Q173" i="11" s="1"/>
  <c r="P173" i="11" s="1"/>
  <c r="R180" i="11"/>
  <c r="Q180" i="11" s="1"/>
  <c r="P180" i="11" s="1"/>
  <c r="R222" i="11"/>
  <c r="Q222" i="11" s="1"/>
  <c r="P222" i="11" s="1"/>
  <c r="R205" i="11"/>
  <c r="Q205" i="11" s="1"/>
  <c r="P205" i="11" s="1"/>
  <c r="R232" i="11"/>
  <c r="Q232" i="11" s="1"/>
  <c r="P232" i="11" s="1"/>
  <c r="R426" i="11"/>
  <c r="Q426" i="11" s="1"/>
  <c r="P426" i="11" s="1"/>
  <c r="R418" i="11"/>
  <c r="Q418" i="11" s="1"/>
  <c r="P418" i="11" s="1"/>
  <c r="R410" i="11"/>
  <c r="Q410" i="11" s="1"/>
  <c r="P410" i="11" s="1"/>
  <c r="R402" i="11"/>
  <c r="Q402" i="11" s="1"/>
  <c r="P402" i="11" s="1"/>
  <c r="R394" i="11"/>
  <c r="Q394" i="11" s="1"/>
  <c r="P394" i="11" s="1"/>
  <c r="R386" i="11"/>
  <c r="Q386" i="11" s="1"/>
  <c r="P386" i="11" s="1"/>
  <c r="R378" i="11"/>
  <c r="Q378" i="11" s="1"/>
  <c r="P378" i="11" s="1"/>
  <c r="R370" i="11"/>
  <c r="Q370" i="11" s="1"/>
  <c r="P370" i="11" s="1"/>
  <c r="R362" i="11"/>
  <c r="Q362" i="11" s="1"/>
  <c r="P362" i="11" s="1"/>
  <c r="R354" i="11"/>
  <c r="Q354" i="11" s="1"/>
  <c r="P354" i="11" s="1"/>
  <c r="R346" i="11"/>
  <c r="Q346" i="11" s="1"/>
  <c r="P346" i="11" s="1"/>
  <c r="R338" i="11"/>
  <c r="Q338" i="11" s="1"/>
  <c r="P338" i="11" s="1"/>
  <c r="R322" i="11"/>
  <c r="Q322" i="11" s="1"/>
  <c r="P322" i="11" s="1"/>
  <c r="R314" i="11"/>
  <c r="Q314" i="11" s="1"/>
  <c r="P314" i="11" s="1"/>
  <c r="R306" i="11"/>
  <c r="Q306" i="11" s="1"/>
  <c r="P306" i="11" s="1"/>
  <c r="R298" i="11"/>
  <c r="Q298" i="11" s="1"/>
  <c r="P298" i="11" s="1"/>
  <c r="R290" i="11"/>
  <c r="Q290" i="11" s="1"/>
  <c r="P290" i="11" s="1"/>
  <c r="R282" i="11"/>
  <c r="Q282" i="11" s="1"/>
  <c r="P282" i="11" s="1"/>
  <c r="R274" i="11"/>
  <c r="Q274" i="11" s="1"/>
  <c r="P274" i="11" s="1"/>
  <c r="R266" i="11"/>
  <c r="Q266" i="11" s="1"/>
  <c r="P266" i="11" s="1"/>
  <c r="R258" i="11"/>
  <c r="Q258" i="11" s="1"/>
  <c r="P258" i="11" s="1"/>
  <c r="R242" i="11"/>
  <c r="Q242" i="11" s="1"/>
  <c r="P242" i="11" s="1"/>
  <c r="R145" i="11"/>
  <c r="Q145" i="11" s="1"/>
  <c r="P145" i="11" s="1"/>
  <c r="R427" i="11"/>
  <c r="Q427" i="11" s="1"/>
  <c r="P427" i="11" s="1"/>
  <c r="R403" i="11"/>
  <c r="Q403" i="11" s="1"/>
  <c r="P403" i="11" s="1"/>
  <c r="R363" i="11"/>
  <c r="Q363" i="11" s="1"/>
  <c r="P363" i="11" s="1"/>
  <c r="R331" i="11"/>
  <c r="Q331" i="11" s="1"/>
  <c r="P331" i="11" s="1"/>
  <c r="R30" i="11"/>
  <c r="Q30" i="11" s="1"/>
  <c r="P30" i="11" s="1"/>
  <c r="R93" i="11"/>
  <c r="Q93" i="11" s="1"/>
  <c r="P93" i="11" s="1"/>
  <c r="R96" i="11"/>
  <c r="Q96" i="11" s="1"/>
  <c r="P96" i="11" s="1"/>
  <c r="R105" i="11"/>
  <c r="Q105" i="11" s="1"/>
  <c r="P105" i="11" s="1"/>
  <c r="R128" i="11"/>
  <c r="Q128" i="11" s="1"/>
  <c r="P128" i="11" s="1"/>
  <c r="R134" i="11"/>
  <c r="Q134" i="11" s="1"/>
  <c r="P134" i="11" s="1"/>
  <c r="R151" i="11"/>
  <c r="Q151" i="11" s="1"/>
  <c r="P151" i="11" s="1"/>
  <c r="R155" i="11"/>
  <c r="Q155" i="11" s="1"/>
  <c r="P155" i="11" s="1"/>
  <c r="R169" i="11"/>
  <c r="Q169" i="11" s="1"/>
  <c r="P169" i="11" s="1"/>
  <c r="R172" i="11"/>
  <c r="Q172" i="11" s="1"/>
  <c r="P172" i="11" s="1"/>
  <c r="R183" i="11"/>
  <c r="Q183" i="11" s="1"/>
  <c r="P183" i="11" s="1"/>
  <c r="R190" i="11"/>
  <c r="Q190" i="11" s="1"/>
  <c r="P190" i="11" s="1"/>
  <c r="R221" i="11"/>
  <c r="Q221" i="11" s="1"/>
  <c r="P221" i="11" s="1"/>
  <c r="R212" i="11"/>
  <c r="Q212" i="11" s="1"/>
  <c r="P212" i="11" s="1"/>
  <c r="R231" i="11"/>
  <c r="Q231" i="11" s="1"/>
  <c r="P231" i="11" s="1"/>
  <c r="R425" i="11"/>
  <c r="Q425" i="11" s="1"/>
  <c r="P425" i="11" s="1"/>
  <c r="R417" i="11"/>
  <c r="Q417" i="11" s="1"/>
  <c r="P417" i="11" s="1"/>
  <c r="R409" i="11"/>
  <c r="Q409" i="11" s="1"/>
  <c r="P409" i="11" s="1"/>
  <c r="R401" i="11"/>
  <c r="Q401" i="11" s="1"/>
  <c r="P401" i="11" s="1"/>
  <c r="R393" i="11"/>
  <c r="Q393" i="11" s="1"/>
  <c r="P393" i="11" s="1"/>
  <c r="R385" i="11"/>
  <c r="Q385" i="11" s="1"/>
  <c r="P385" i="11" s="1"/>
  <c r="R377" i="11"/>
  <c r="Q377" i="11" s="1"/>
  <c r="P377" i="11" s="1"/>
  <c r="R369" i="11"/>
  <c r="Q369" i="11" s="1"/>
  <c r="P369" i="11" s="1"/>
  <c r="R361" i="11"/>
  <c r="Q361" i="11" s="1"/>
  <c r="P361" i="11" s="1"/>
  <c r="R353" i="11"/>
  <c r="Q353" i="11" s="1"/>
  <c r="P353" i="11" s="1"/>
  <c r="R345" i="11"/>
  <c r="Q345" i="11" s="1"/>
  <c r="P345" i="11" s="1"/>
  <c r="R337" i="11"/>
  <c r="Q337" i="11" s="1"/>
  <c r="P337" i="11" s="1"/>
  <c r="R321" i="11"/>
  <c r="Q321" i="11" s="1"/>
  <c r="P321" i="11" s="1"/>
  <c r="R313" i="11"/>
  <c r="Q313" i="11" s="1"/>
  <c r="P313" i="11" s="1"/>
  <c r="R305" i="11"/>
  <c r="Q305" i="11" s="1"/>
  <c r="P305" i="11" s="1"/>
  <c r="R297" i="11"/>
  <c r="Q297" i="11" s="1"/>
  <c r="P297" i="11" s="1"/>
  <c r="R289" i="11"/>
  <c r="Q289" i="11" s="1"/>
  <c r="P289" i="11" s="1"/>
  <c r="R281" i="11"/>
  <c r="Q281" i="11" s="1"/>
  <c r="P281" i="11" s="1"/>
  <c r="R273" i="11"/>
  <c r="Q273" i="11" s="1"/>
  <c r="P273" i="11" s="1"/>
  <c r="R265" i="11"/>
  <c r="Q265" i="11" s="1"/>
  <c r="P265" i="11" s="1"/>
  <c r="R257" i="11"/>
  <c r="Q257" i="11" s="1"/>
  <c r="P257" i="11" s="1"/>
  <c r="H255" i="11"/>
  <c r="R379" i="11"/>
  <c r="Q379" i="11" s="1"/>
  <c r="P379" i="11" s="1"/>
  <c r="R14" i="11"/>
  <c r="Q14" i="11" s="1"/>
  <c r="P14" i="11" s="1"/>
  <c r="R38" i="11"/>
  <c r="Q38" i="11" s="1"/>
  <c r="P38" i="11" s="1"/>
  <c r="R92" i="11"/>
  <c r="Q92" i="11" s="1"/>
  <c r="P92" i="11" s="1"/>
  <c r="R104" i="11"/>
  <c r="Q104" i="11" s="1"/>
  <c r="P104" i="11" s="1"/>
  <c r="R113" i="11"/>
  <c r="Q113" i="11" s="1"/>
  <c r="P113" i="11" s="1"/>
  <c r="R137" i="11"/>
  <c r="Q137" i="11" s="1"/>
  <c r="P137" i="11" s="1"/>
  <c r="R168" i="11"/>
  <c r="Q168" i="11" s="1"/>
  <c r="P168" i="11" s="1"/>
  <c r="R171" i="11"/>
  <c r="Q171" i="11" s="1"/>
  <c r="P171" i="11" s="1"/>
  <c r="R189" i="11"/>
  <c r="Q189" i="11" s="1"/>
  <c r="P189" i="11" s="1"/>
  <c r="R220" i="11"/>
  <c r="Q220" i="11" s="1"/>
  <c r="P220" i="11" s="1"/>
  <c r="R211" i="11"/>
  <c r="Q211" i="11" s="1"/>
  <c r="P211" i="11" s="1"/>
  <c r="R203" i="11"/>
  <c r="Q203" i="11" s="1"/>
  <c r="P203" i="11" s="1"/>
  <c r="R230" i="11"/>
  <c r="Q230" i="11" s="1"/>
  <c r="P230" i="11" s="1"/>
  <c r="R424" i="11"/>
  <c r="Q424" i="11" s="1"/>
  <c r="P424" i="11" s="1"/>
  <c r="R416" i="11"/>
  <c r="Q416" i="11" s="1"/>
  <c r="P416" i="11" s="1"/>
  <c r="R400" i="11"/>
  <c r="Q400" i="11" s="1"/>
  <c r="P400" i="11" s="1"/>
  <c r="R392" i="11"/>
  <c r="Q392" i="11" s="1"/>
  <c r="P392" i="11" s="1"/>
  <c r="R384" i="11"/>
  <c r="Q384" i="11" s="1"/>
  <c r="P384" i="11" s="1"/>
  <c r="R368" i="11"/>
  <c r="Q368" i="11" s="1"/>
  <c r="P368" i="11" s="1"/>
  <c r="R360" i="11"/>
  <c r="Q360" i="11" s="1"/>
  <c r="P360" i="11" s="1"/>
  <c r="R352" i="11"/>
  <c r="Q352" i="11" s="1"/>
  <c r="P352" i="11" s="1"/>
  <c r="R336" i="11"/>
  <c r="Q336" i="11" s="1"/>
  <c r="P336" i="11" s="1"/>
  <c r="R320" i="11"/>
  <c r="Q320" i="11" s="1"/>
  <c r="P320" i="11" s="1"/>
  <c r="R304" i="11"/>
  <c r="Q304" i="11" s="1"/>
  <c r="P304" i="11" s="1"/>
  <c r="R296" i="11"/>
  <c r="Q296" i="11" s="1"/>
  <c r="P296" i="11" s="1"/>
  <c r="R288" i="11"/>
  <c r="Q288" i="11" s="1"/>
  <c r="P288" i="11" s="1"/>
  <c r="R272" i="11"/>
  <c r="Q272" i="11" s="1"/>
  <c r="P272" i="11" s="1"/>
  <c r="R264" i="11"/>
  <c r="Q264" i="11" s="1"/>
  <c r="P264" i="11" s="1"/>
  <c r="R256" i="11"/>
  <c r="Q256" i="11" s="1"/>
  <c r="P256" i="11" s="1"/>
  <c r="R248" i="11"/>
  <c r="Q248" i="11" s="1"/>
  <c r="P248" i="11" s="1"/>
  <c r="H209" i="11"/>
  <c r="R419" i="11"/>
  <c r="Q419" i="11" s="1"/>
  <c r="P419" i="11" s="1"/>
  <c r="R387" i="11"/>
  <c r="Q387" i="11" s="1"/>
  <c r="P387" i="11" s="1"/>
  <c r="R347" i="11"/>
  <c r="Q347" i="11" s="1"/>
  <c r="P347" i="11" s="1"/>
  <c r="R339" i="11"/>
  <c r="Q339" i="11" s="1"/>
  <c r="P339" i="11" s="1"/>
  <c r="R315" i="11"/>
  <c r="Q315" i="11" s="1"/>
  <c r="P315" i="11" s="1"/>
  <c r="R20" i="11"/>
  <c r="Q20" i="11" s="1"/>
  <c r="P20" i="11" s="1"/>
  <c r="R91" i="11"/>
  <c r="Q91" i="11" s="1"/>
  <c r="P91" i="11" s="1"/>
  <c r="R99" i="11"/>
  <c r="Q99" i="11" s="1"/>
  <c r="P99" i="11" s="1"/>
  <c r="R108" i="11"/>
  <c r="Q108" i="11" s="1"/>
  <c r="P108" i="11" s="1"/>
  <c r="R116" i="11"/>
  <c r="Q116" i="11" s="1"/>
  <c r="P116" i="11" s="1"/>
  <c r="R126" i="11"/>
  <c r="Q126" i="11" s="1"/>
  <c r="P126" i="11" s="1"/>
  <c r="R136" i="11"/>
  <c r="Q136" i="11" s="1"/>
  <c r="P136" i="11" s="1"/>
  <c r="R167" i="11"/>
  <c r="Q167" i="11" s="1"/>
  <c r="P167" i="11" s="1"/>
  <c r="R179" i="11"/>
  <c r="Q179" i="11" s="1"/>
  <c r="P179" i="11" s="1"/>
  <c r="R184" i="11"/>
  <c r="Q184" i="11" s="1"/>
  <c r="P184" i="11" s="1"/>
  <c r="R188" i="11"/>
  <c r="Q188" i="11" s="1"/>
  <c r="P188" i="11" s="1"/>
  <c r="R219" i="11"/>
  <c r="Q219" i="11" s="1"/>
  <c r="P219" i="11" s="1"/>
  <c r="R210" i="11"/>
  <c r="Q210" i="11" s="1"/>
  <c r="P210" i="11" s="1"/>
  <c r="R227" i="11"/>
  <c r="Q227" i="11" s="1"/>
  <c r="P227" i="11" s="1"/>
  <c r="R237" i="11"/>
  <c r="Q237" i="11" s="1"/>
  <c r="P237" i="11" s="1"/>
  <c r="R423" i="11"/>
  <c r="Q423" i="11" s="1"/>
  <c r="P423" i="11" s="1"/>
  <c r="R415" i="11"/>
  <c r="Q415" i="11" s="1"/>
  <c r="P415" i="11" s="1"/>
  <c r="R407" i="11"/>
  <c r="Q407" i="11" s="1"/>
  <c r="P407" i="11" s="1"/>
  <c r="R399" i="11"/>
  <c r="Q399" i="11" s="1"/>
  <c r="P399" i="11" s="1"/>
  <c r="R391" i="11"/>
  <c r="Q391" i="11" s="1"/>
  <c r="P391" i="11" s="1"/>
  <c r="R383" i="11"/>
  <c r="Q383" i="11" s="1"/>
  <c r="P383" i="11" s="1"/>
  <c r="R375" i="11"/>
  <c r="Q375" i="11" s="1"/>
  <c r="P375" i="11" s="1"/>
  <c r="R367" i="11"/>
  <c r="Q367" i="11" s="1"/>
  <c r="P367" i="11" s="1"/>
  <c r="R359" i="11"/>
  <c r="Q359" i="11" s="1"/>
  <c r="P359" i="11" s="1"/>
  <c r="R351" i="11"/>
  <c r="Q351" i="11" s="1"/>
  <c r="P351" i="11" s="1"/>
  <c r="R343" i="11"/>
  <c r="Q343" i="11" s="1"/>
  <c r="P343" i="11" s="1"/>
  <c r="R335" i="11"/>
  <c r="Q335" i="11" s="1"/>
  <c r="P335" i="11" s="1"/>
  <c r="R319" i="11"/>
  <c r="Q319" i="11" s="1"/>
  <c r="P319" i="11" s="1"/>
  <c r="R311" i="11"/>
  <c r="Q311" i="11" s="1"/>
  <c r="P311" i="11" s="1"/>
  <c r="R303" i="11"/>
  <c r="Q303" i="11" s="1"/>
  <c r="P303" i="11" s="1"/>
  <c r="R295" i="11"/>
  <c r="Q295" i="11" s="1"/>
  <c r="P295" i="11" s="1"/>
  <c r="R287" i="11"/>
  <c r="Q287" i="11" s="1"/>
  <c r="P287" i="11" s="1"/>
  <c r="R279" i="11"/>
  <c r="Q279" i="11" s="1"/>
  <c r="P279" i="11" s="1"/>
  <c r="R271" i="11"/>
  <c r="Q271" i="11" s="1"/>
  <c r="P271" i="11" s="1"/>
  <c r="R263" i="11"/>
  <c r="Q263" i="11" s="1"/>
  <c r="P263" i="11" s="1"/>
  <c r="R247" i="11"/>
  <c r="Q247" i="11" s="1"/>
  <c r="P247" i="11" s="1"/>
  <c r="R19" i="11"/>
  <c r="Q19" i="11" s="1"/>
  <c r="P19" i="11" s="1"/>
  <c r="R24" i="11"/>
  <c r="Q24" i="11" s="1"/>
  <c r="P24" i="11" s="1"/>
  <c r="R64" i="11"/>
  <c r="Q64" i="11" s="1"/>
  <c r="P64" i="11" s="1"/>
  <c r="R73" i="11"/>
  <c r="Q73" i="11" s="1"/>
  <c r="P73" i="11" s="1"/>
  <c r="I64" i="11"/>
  <c r="R6" i="11"/>
  <c r="Q6" i="11" s="1"/>
  <c r="P6" i="11" s="1"/>
  <c r="R33" i="11"/>
  <c r="Q33" i="11" s="1"/>
  <c r="P33" i="11" s="1"/>
  <c r="R50" i="11"/>
  <c r="Q50" i="11" s="1"/>
  <c r="P50" i="11" s="1"/>
  <c r="R56" i="11"/>
  <c r="Q56" i="11" s="1"/>
  <c r="P56" i="11" s="1"/>
  <c r="R72" i="11"/>
  <c r="Q72" i="11" s="1"/>
  <c r="P72" i="11" s="1"/>
  <c r="R49" i="11"/>
  <c r="Q49" i="11" s="1"/>
  <c r="P49" i="11" s="1"/>
  <c r="R17" i="11"/>
  <c r="Q17" i="11" s="1"/>
  <c r="P17" i="11" s="1"/>
  <c r="R61" i="11"/>
  <c r="Q61" i="11" s="1"/>
  <c r="P61" i="11" s="1"/>
  <c r="R67" i="11"/>
  <c r="Q67" i="11" s="1"/>
  <c r="P67" i="11" s="1"/>
  <c r="R12" i="11"/>
  <c r="Q12" i="11" s="1"/>
  <c r="P12" i="11" s="1"/>
  <c r="R27" i="11"/>
  <c r="Q27" i="11" s="1"/>
  <c r="P27" i="11" s="1"/>
  <c r="R41" i="11"/>
  <c r="Q41" i="11" s="1"/>
  <c r="P41" i="11" s="1"/>
  <c r="R51" i="11"/>
  <c r="Q51" i="11" s="1"/>
  <c r="P51" i="11" s="1"/>
  <c r="R60" i="11"/>
  <c r="Q60" i="11" s="1"/>
  <c r="P60" i="11" s="1"/>
  <c r="R53" i="11"/>
  <c r="Q53" i="11" s="1"/>
  <c r="P53" i="11" s="1"/>
  <c r="R59" i="11"/>
  <c r="Q59" i="11" s="1"/>
  <c r="P59" i="11" s="1"/>
  <c r="R77" i="11"/>
  <c r="Q77" i="11" s="1"/>
  <c r="P77" i="11" s="1"/>
  <c r="R11" i="11"/>
  <c r="Q11" i="11" s="1"/>
  <c r="P11" i="11" s="1"/>
  <c r="R3" i="11"/>
  <c r="R13" i="11"/>
  <c r="Q13" i="11" s="1"/>
  <c r="P13" i="11" s="1"/>
  <c r="R21" i="11"/>
  <c r="Q21" i="11" s="1"/>
  <c r="P21" i="11" s="1"/>
  <c r="R29" i="11"/>
  <c r="Q29" i="11" s="1"/>
  <c r="P29" i="11" s="1"/>
  <c r="R37" i="11"/>
  <c r="Q37" i="11" s="1"/>
  <c r="P37" i="11" s="1"/>
  <c r="R54" i="11"/>
  <c r="Q54" i="11" s="1"/>
  <c r="P54" i="11" s="1"/>
  <c r="R70" i="11"/>
  <c r="Q70" i="11" s="1"/>
  <c r="P70" i="11" s="1"/>
  <c r="R9" i="11"/>
  <c r="Q9" i="11" s="1"/>
  <c r="P9" i="11" s="1"/>
  <c r="R75" i="11"/>
  <c r="Q75" i="11" s="1"/>
  <c r="P75" i="11" s="1"/>
  <c r="R8" i="11"/>
  <c r="Q8" i="11" s="1"/>
  <c r="P8" i="11" s="1"/>
  <c r="R35" i="11"/>
  <c r="Q35" i="11" s="1"/>
  <c r="P35" i="11" s="1"/>
  <c r="R40" i="11"/>
  <c r="Q40" i="11" s="1"/>
  <c r="P40" i="11" s="1"/>
  <c r="R45" i="11"/>
  <c r="Q45" i="11" s="1"/>
  <c r="P45" i="11" s="1"/>
  <c r="R65" i="11"/>
  <c r="Q65" i="11" s="1"/>
  <c r="P65" i="11" s="1"/>
  <c r="R86" i="11"/>
  <c r="Q86" i="11" s="1"/>
  <c r="P86" i="11" s="1"/>
  <c r="R84" i="11"/>
  <c r="Q84" i="11" s="1"/>
  <c r="P84" i="11" s="1"/>
  <c r="R83" i="11"/>
  <c r="Q83" i="11" s="1"/>
  <c r="P83" i="11" s="1"/>
  <c r="R81" i="11"/>
  <c r="Q81" i="11" s="1"/>
  <c r="P81" i="11" s="1"/>
  <c r="R80" i="11"/>
  <c r="Q80" i="11" s="1"/>
  <c r="P80" i="11" s="1"/>
  <c r="R52" i="11"/>
  <c r="Q52" i="11" s="1"/>
  <c r="P52" i="11" s="1"/>
  <c r="R2" i="11"/>
  <c r="Q2" i="11" s="1"/>
  <c r="P2" i="11" s="1"/>
  <c r="H389" i="11"/>
  <c r="H335" i="11"/>
  <c r="H274" i="11"/>
  <c r="H193" i="11"/>
  <c r="H109" i="11"/>
  <c r="H41" i="11"/>
  <c r="I414" i="11"/>
  <c r="I311" i="11"/>
  <c r="I230" i="11"/>
  <c r="I141" i="11"/>
  <c r="H378" i="11"/>
  <c r="H334" i="11"/>
  <c r="H273" i="11"/>
  <c r="H177" i="11"/>
  <c r="H108" i="11"/>
  <c r="H40" i="11"/>
  <c r="I400" i="11"/>
  <c r="I296" i="11"/>
  <c r="I194" i="11"/>
  <c r="I118" i="11"/>
  <c r="H2" i="11"/>
  <c r="H377" i="11"/>
  <c r="H262" i="11"/>
  <c r="H161" i="11"/>
  <c r="H93" i="11"/>
  <c r="H24" i="11"/>
  <c r="I397" i="11"/>
  <c r="I295" i="11"/>
  <c r="I192" i="11"/>
  <c r="I94" i="11"/>
  <c r="H421" i="11"/>
  <c r="H367" i="11"/>
  <c r="H313" i="11"/>
  <c r="H261" i="11"/>
  <c r="H158" i="11"/>
  <c r="H22" i="11"/>
  <c r="I382" i="11"/>
  <c r="I279" i="11"/>
  <c r="I178" i="11"/>
  <c r="H410" i="11"/>
  <c r="H366" i="11"/>
  <c r="H246" i="11"/>
  <c r="H145" i="11"/>
  <c r="H76" i="11"/>
  <c r="H9" i="11"/>
  <c r="I381" i="11"/>
  <c r="I278" i="11"/>
  <c r="I176" i="11"/>
  <c r="I62" i="11"/>
  <c r="H409" i="11"/>
  <c r="H357" i="11"/>
  <c r="H301" i="11"/>
  <c r="H244" i="11"/>
  <c r="H73" i="11"/>
  <c r="H8" i="11"/>
  <c r="I365" i="11"/>
  <c r="I263" i="11"/>
  <c r="I160" i="11"/>
  <c r="I34" i="11"/>
  <c r="H399" i="11"/>
  <c r="H346" i="11"/>
  <c r="H287" i="11"/>
  <c r="H126" i="11"/>
  <c r="H6" i="11"/>
  <c r="I349" i="11"/>
  <c r="H398" i="11"/>
  <c r="H345" i="11"/>
  <c r="H286" i="11"/>
  <c r="H212" i="11"/>
  <c r="H125" i="11"/>
  <c r="H56" i="11"/>
  <c r="I416" i="11"/>
  <c r="I144" i="11"/>
  <c r="I331" i="11"/>
  <c r="I211" i="11"/>
  <c r="H250" i="11"/>
  <c r="I250" i="11"/>
  <c r="H202" i="11"/>
  <c r="I202" i="11"/>
  <c r="H186" i="11"/>
  <c r="I186" i="11"/>
  <c r="H114" i="11"/>
  <c r="I114" i="11"/>
  <c r="H106" i="11"/>
  <c r="I106" i="11"/>
  <c r="H82" i="11"/>
  <c r="I82" i="11"/>
  <c r="H58" i="11"/>
  <c r="I58" i="11"/>
  <c r="H26" i="11"/>
  <c r="I26" i="11"/>
  <c r="H18" i="11"/>
  <c r="I18" i="11"/>
  <c r="I27" i="11"/>
  <c r="I249" i="11"/>
  <c r="H249" i="11"/>
  <c r="I217" i="11"/>
  <c r="H217" i="11"/>
  <c r="I185" i="11"/>
  <c r="H185" i="11"/>
  <c r="I153" i="11"/>
  <c r="H153" i="11"/>
  <c r="I121" i="11"/>
  <c r="H121" i="11"/>
  <c r="I89" i="11"/>
  <c r="H89" i="11"/>
  <c r="I57" i="11"/>
  <c r="H57" i="11"/>
  <c r="I25" i="11"/>
  <c r="H25" i="11"/>
  <c r="H427" i="11"/>
  <c r="H418" i="11"/>
  <c r="H407" i="11"/>
  <c r="H386" i="11"/>
  <c r="H375" i="11"/>
  <c r="H354" i="11"/>
  <c r="H343" i="11"/>
  <c r="H333" i="11"/>
  <c r="H322" i="11"/>
  <c r="H310" i="11"/>
  <c r="H297" i="11"/>
  <c r="H285" i="11"/>
  <c r="H258" i="11"/>
  <c r="H243" i="11"/>
  <c r="H225" i="11"/>
  <c r="H190" i="11"/>
  <c r="H173" i="11"/>
  <c r="H157" i="11"/>
  <c r="H140" i="11"/>
  <c r="H124" i="11"/>
  <c r="H105" i="11"/>
  <c r="H88" i="11"/>
  <c r="H72" i="11"/>
  <c r="H54" i="11"/>
  <c r="H38" i="11"/>
  <c r="H20" i="11"/>
  <c r="H3" i="11"/>
  <c r="I413" i="11"/>
  <c r="I395" i="11"/>
  <c r="I379" i="11"/>
  <c r="I360" i="11"/>
  <c r="I327" i="11"/>
  <c r="I294" i="11"/>
  <c r="I275" i="11"/>
  <c r="I242" i="11"/>
  <c r="I224" i="11"/>
  <c r="I208" i="11"/>
  <c r="I139" i="11"/>
  <c r="I115" i="11"/>
  <c r="I86" i="11"/>
  <c r="I59" i="11"/>
  <c r="I315" i="11"/>
  <c r="I123" i="11"/>
  <c r="H419" i="11"/>
  <c r="H355" i="11"/>
  <c r="I226" i="11"/>
  <c r="I210" i="11"/>
  <c r="I91" i="11"/>
  <c r="I376" i="11"/>
  <c r="H376" i="11"/>
  <c r="I344" i="11"/>
  <c r="H344" i="11"/>
  <c r="I312" i="11"/>
  <c r="H312" i="11"/>
  <c r="I280" i="11"/>
  <c r="H280" i="11"/>
  <c r="H48" i="11"/>
  <c r="I48" i="11"/>
  <c r="I32" i="11"/>
  <c r="H32" i="11"/>
  <c r="I16" i="11"/>
  <c r="H16" i="11"/>
  <c r="H426" i="11"/>
  <c r="H417" i="11"/>
  <c r="H406" i="11"/>
  <c r="H385" i="11"/>
  <c r="H374" i="11"/>
  <c r="H363" i="11"/>
  <c r="H353" i="11"/>
  <c r="H342" i="11"/>
  <c r="H321" i="11"/>
  <c r="H309" i="11"/>
  <c r="H282" i="11"/>
  <c r="H270" i="11"/>
  <c r="H257" i="11"/>
  <c r="H241" i="11"/>
  <c r="H222" i="11"/>
  <c r="H205" i="11"/>
  <c r="H189" i="11"/>
  <c r="H172" i="11"/>
  <c r="H156" i="11"/>
  <c r="H137" i="11"/>
  <c r="H120" i="11"/>
  <c r="H104" i="11"/>
  <c r="H70" i="11"/>
  <c r="H52" i="11"/>
  <c r="H35" i="11"/>
  <c r="H19" i="11"/>
  <c r="I411" i="11"/>
  <c r="I392" i="11"/>
  <c r="I359" i="11"/>
  <c r="I326" i="11"/>
  <c r="I307" i="11"/>
  <c r="I290" i="11"/>
  <c r="I256" i="11"/>
  <c r="I240" i="11"/>
  <c r="I171" i="11"/>
  <c r="I155" i="11"/>
  <c r="I136" i="11"/>
  <c r="I112" i="11"/>
  <c r="I83" i="11"/>
  <c r="I53" i="11"/>
  <c r="I21" i="11"/>
  <c r="I291" i="11"/>
  <c r="H291" i="11"/>
  <c r="H195" i="11"/>
  <c r="H234" i="11"/>
  <c r="I234" i="11"/>
  <c r="H170" i="11"/>
  <c r="I170" i="11"/>
  <c r="H138" i="11"/>
  <c r="I138" i="11"/>
  <c r="H227" i="11"/>
  <c r="I408" i="11"/>
  <c r="H408" i="11"/>
  <c r="I255" i="11"/>
  <c r="H239" i="11"/>
  <c r="I239" i="11"/>
  <c r="I223" i="11"/>
  <c r="H207" i="11"/>
  <c r="I207" i="11"/>
  <c r="H191" i="11"/>
  <c r="I191" i="11"/>
  <c r="H175" i="11"/>
  <c r="I175" i="11"/>
  <c r="H159" i="11"/>
  <c r="I159" i="11"/>
  <c r="H143" i="11"/>
  <c r="I143" i="11"/>
  <c r="H127" i="11"/>
  <c r="I127" i="11"/>
  <c r="H119" i="11"/>
  <c r="I119" i="11"/>
  <c r="H111" i="11"/>
  <c r="I111" i="11"/>
  <c r="H103" i="11"/>
  <c r="I103" i="11"/>
  <c r="H95" i="11"/>
  <c r="I95" i="11"/>
  <c r="H87" i="11"/>
  <c r="I87" i="11"/>
  <c r="H79" i="11"/>
  <c r="I79" i="11"/>
  <c r="H71" i="11"/>
  <c r="I71" i="11"/>
  <c r="H63" i="11"/>
  <c r="I63" i="11"/>
  <c r="I55" i="11"/>
  <c r="H55" i="11"/>
  <c r="I47" i="11"/>
  <c r="H47" i="11"/>
  <c r="I39" i="11"/>
  <c r="H39" i="11"/>
  <c r="I31" i="11"/>
  <c r="H31" i="11"/>
  <c r="I23" i="11"/>
  <c r="H23" i="11"/>
  <c r="I15" i="11"/>
  <c r="H15" i="11"/>
  <c r="I7" i="11"/>
  <c r="H7" i="11"/>
  <c r="H425" i="11"/>
  <c r="H415" i="11"/>
  <c r="H405" i="11"/>
  <c r="H394" i="11"/>
  <c r="H383" i="11"/>
  <c r="H373" i="11"/>
  <c r="H362" i="11"/>
  <c r="H351" i="11"/>
  <c r="H341" i="11"/>
  <c r="H330" i="11"/>
  <c r="H319" i="11"/>
  <c r="H306" i="11"/>
  <c r="H281" i="11"/>
  <c r="H269" i="11"/>
  <c r="H254" i="11"/>
  <c r="H237" i="11"/>
  <c r="H221" i="11"/>
  <c r="H204" i="11"/>
  <c r="H188" i="11"/>
  <c r="H169" i="11"/>
  <c r="H152" i="11"/>
  <c r="H84" i="11"/>
  <c r="H67" i="11"/>
  <c r="H51" i="11"/>
  <c r="H33" i="11"/>
  <c r="H17" i="11"/>
  <c r="I424" i="11"/>
  <c r="I391" i="11"/>
  <c r="I358" i="11"/>
  <c r="I339" i="11"/>
  <c r="I272" i="11"/>
  <c r="I203" i="11"/>
  <c r="I187" i="11"/>
  <c r="I168" i="11"/>
  <c r="I151" i="11"/>
  <c r="I135" i="11"/>
  <c r="I107" i="11"/>
  <c r="I80" i="11"/>
  <c r="I50" i="11"/>
  <c r="I14" i="11"/>
  <c r="I43" i="11"/>
  <c r="H43" i="11"/>
  <c r="H179" i="11"/>
  <c r="H90" i="11"/>
  <c r="I90" i="11"/>
  <c r="H74" i="11"/>
  <c r="I74" i="11"/>
  <c r="H66" i="11"/>
  <c r="I66" i="11"/>
  <c r="H42" i="11"/>
  <c r="I42" i="11"/>
  <c r="I238" i="11"/>
  <c r="H238" i="11"/>
  <c r="I206" i="11"/>
  <c r="H206" i="11"/>
  <c r="I174" i="11"/>
  <c r="H174" i="11"/>
  <c r="I142" i="11"/>
  <c r="H142" i="11"/>
  <c r="I110" i="11"/>
  <c r="H110" i="11"/>
  <c r="I78" i="11"/>
  <c r="H78" i="11"/>
  <c r="H403" i="11"/>
  <c r="H393" i="11"/>
  <c r="H371" i="11"/>
  <c r="H361" i="11"/>
  <c r="H350" i="11"/>
  <c r="H329" i="11"/>
  <c r="H318" i="11"/>
  <c r="H305" i="11"/>
  <c r="H293" i="11"/>
  <c r="H266" i="11"/>
  <c r="H253" i="11"/>
  <c r="H236" i="11"/>
  <c r="H220" i="11"/>
  <c r="H201" i="11"/>
  <c r="H184" i="11"/>
  <c r="H150" i="11"/>
  <c r="H134" i="11"/>
  <c r="H116" i="11"/>
  <c r="H99" i="11"/>
  <c r="H65" i="11"/>
  <c r="H49" i="11"/>
  <c r="H30" i="11"/>
  <c r="H13" i="11"/>
  <c r="I423" i="11"/>
  <c r="I390" i="11"/>
  <c r="I338" i="11"/>
  <c r="I320" i="11"/>
  <c r="I304" i="11"/>
  <c r="I235" i="11"/>
  <c r="I219" i="11"/>
  <c r="I200" i="11"/>
  <c r="I183" i="11"/>
  <c r="I167" i="11"/>
  <c r="I75" i="11"/>
  <c r="I46" i="11"/>
  <c r="I11" i="11"/>
  <c r="I259" i="11"/>
  <c r="H259" i="11"/>
  <c r="H218" i="11"/>
  <c r="I218" i="11"/>
  <c r="H130" i="11"/>
  <c r="I130" i="11"/>
  <c r="H10" i="11"/>
  <c r="I10" i="11"/>
  <c r="H387" i="11"/>
  <c r="H323" i="11"/>
  <c r="H298" i="11"/>
  <c r="I347" i="11"/>
  <c r="I245" i="11"/>
  <c r="H245" i="11"/>
  <c r="I229" i="11"/>
  <c r="H229" i="11"/>
  <c r="H213" i="11"/>
  <c r="I197" i="11"/>
  <c r="H197" i="11"/>
  <c r="I181" i="11"/>
  <c r="H181" i="11"/>
  <c r="I165" i="11"/>
  <c r="H165" i="11"/>
  <c r="I149" i="11"/>
  <c r="H149" i="11"/>
  <c r="I133" i="11"/>
  <c r="H133" i="11"/>
  <c r="I117" i="11"/>
  <c r="H117" i="11"/>
  <c r="I101" i="11"/>
  <c r="H101" i="11"/>
  <c r="I85" i="11"/>
  <c r="H85" i="11"/>
  <c r="I69" i="11"/>
  <c r="H69" i="11"/>
  <c r="I5" i="11"/>
  <c r="H5" i="11"/>
  <c r="H402" i="11"/>
  <c r="H370" i="11"/>
  <c r="H317" i="11"/>
  <c r="H303" i="11"/>
  <c r="H265" i="11"/>
  <c r="H252" i="11"/>
  <c r="H233" i="11"/>
  <c r="H216" i="11"/>
  <c r="H182" i="11"/>
  <c r="H166" i="11"/>
  <c r="H148" i="11"/>
  <c r="H131" i="11"/>
  <c r="H97" i="11"/>
  <c r="H81" i="11"/>
  <c r="H45" i="11"/>
  <c r="H29" i="11"/>
  <c r="H12" i="11"/>
  <c r="I422" i="11"/>
  <c r="I352" i="11"/>
  <c r="I336" i="11"/>
  <c r="I267" i="11"/>
  <c r="I251" i="11"/>
  <c r="I232" i="11"/>
  <c r="I215" i="11"/>
  <c r="I199" i="11"/>
  <c r="I147" i="11"/>
  <c r="I128" i="11"/>
  <c r="H154" i="11"/>
  <c r="I154" i="11"/>
  <c r="H122" i="11"/>
  <c r="I122" i="11"/>
  <c r="H98" i="11"/>
  <c r="I98" i="11"/>
  <c r="I428" i="11"/>
  <c r="H428" i="11"/>
  <c r="I420" i="11"/>
  <c r="H420" i="11"/>
  <c r="I412" i="11"/>
  <c r="H412" i="11"/>
  <c r="I404" i="11"/>
  <c r="H404" i="11"/>
  <c r="I396" i="11"/>
  <c r="H396" i="11"/>
  <c r="I388" i="11"/>
  <c r="H388" i="11"/>
  <c r="I380" i="11"/>
  <c r="H380" i="11"/>
  <c r="I372" i="11"/>
  <c r="H372" i="11"/>
  <c r="I364" i="11"/>
  <c r="H364" i="11"/>
  <c r="I356" i="11"/>
  <c r="H356" i="11"/>
  <c r="I348" i="11"/>
  <c r="H348" i="11"/>
  <c r="I340" i="11"/>
  <c r="H340" i="11"/>
  <c r="I332" i="11"/>
  <c r="H332" i="11"/>
  <c r="I324" i="11"/>
  <c r="H324" i="11"/>
  <c r="I316" i="11"/>
  <c r="H316" i="11"/>
  <c r="I308" i="11"/>
  <c r="H308" i="11"/>
  <c r="I300" i="11"/>
  <c r="H300" i="11"/>
  <c r="I292" i="11"/>
  <c r="H292" i="11"/>
  <c r="I284" i="11"/>
  <c r="H284" i="11"/>
  <c r="I276" i="11"/>
  <c r="H276" i="11"/>
  <c r="I268" i="11"/>
  <c r="I260" i="11"/>
  <c r="H260" i="11"/>
  <c r="I228" i="11"/>
  <c r="H228" i="11"/>
  <c r="I196" i="11"/>
  <c r="H196" i="11"/>
  <c r="I164" i="11"/>
  <c r="H164" i="11"/>
  <c r="I132" i="11"/>
  <c r="H132" i="11"/>
  <c r="I100" i="11"/>
  <c r="H100" i="11"/>
  <c r="I68" i="11"/>
  <c r="H68" i="11"/>
  <c r="I36" i="11"/>
  <c r="H36" i="11"/>
  <c r="I4" i="11"/>
  <c r="H4" i="11"/>
  <c r="H401" i="11"/>
  <c r="H369" i="11"/>
  <c r="H337" i="11"/>
  <c r="H314" i="11"/>
  <c r="H302" i="11"/>
  <c r="H289" i="11"/>
  <c r="H277" i="11"/>
  <c r="H248" i="11"/>
  <c r="H214" i="11"/>
  <c r="H198" i="11"/>
  <c r="H180" i="11"/>
  <c r="H163" i="11"/>
  <c r="H129" i="11"/>
  <c r="H113" i="11"/>
  <c r="H77" i="11"/>
  <c r="H61" i="11"/>
  <c r="H28" i="11"/>
  <c r="I384" i="11"/>
  <c r="I368" i="11"/>
  <c r="I299" i="11"/>
  <c r="I283" i="11"/>
  <c r="I264" i="11"/>
  <c r="I247" i="11"/>
  <c r="I231" i="11"/>
  <c r="I162" i="11"/>
  <c r="I146" i="11"/>
  <c r="I96" i="11"/>
  <c r="I37" i="11"/>
  <c r="Q3" i="11" l="1"/>
  <c r="P3"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tc={859F8FA6-DFD8-4D9F-AA0F-79F8B5602ED2}</author>
    <author>tc={83D5B320-A902-4DCF-8D29-3EC7D2D7BCF6}</author>
  </authors>
  <commentList>
    <comment ref="C62" authorId="0" shapeId="0" xr:uid="{859F8FA6-DFD8-4D9F-AA0F-79F8B5602ED2}">
      <text>
        <t>[Comentario encadenado]
Su versión de Excel le permite leer este comentario encadenado; sin embargo, las ediciones que se apliquen se quitarán si el archivo se abre en una versión más reciente de Excel. Más información: https://go.microsoft.com/fwlink/?linkid=870924
Comentario:
    Extent = Alcance</t>
      </text>
    </comment>
    <comment ref="H338" authorId="1" shapeId="0" xr:uid="{83D5B320-A902-4DCF-8D29-3EC7D2D7BCF6}">
      <text>
        <t>[Comentario encadenado]
Su versión de Excel le permite leer este comentario encadenado; sin embargo, las ediciones que se apliquen se quitarán si el archivo se abre en una versión más reciente de Excel. Más información: https://go.microsoft.com/fwlink/?linkid=870924
Comentario:
    When a Service Bulletin effects a change to manuals, wiring diagrams, parts catalogs, etc., the manufacturer shall issue the necessary revisions to these publications promptly, but in no case later than 180 days from the Service Bulletin date or 180 days from the time of operator notification of acceptance when paragraph B. applies.
The airframe and engine manufacturers shall promptly issue the necessary revisions to these publications in the operator's "customized" version of the manuals in the following manner:
At the customer’s option, the manufacturer shall accomplish one of the following two choices:
The manufacturer shall automatically issue the necessary revisions to incorporate service bulletin data and to update the total range of effectivities.
1. Upon notification that a service bulletin has been accepted by an operator, the
manufacturer shall issue the necessary revisions to incorporate the service bulletin data and to update the total range of effectivities.
2. Upon notification from an operator advising partial acceptance or deviation from the service bulletin as written, the manufacturer shall issue the necessary revisions to the affected publications.
3. Upon notification from an operator of completed accomplishment of a service bulletin, the manufacturer will issue the necessary revisions which will eliminate superseded pre-service bulletin data throughout all chapters of the "customized" manuals.
4. Upon notification from an operator of a decision not to comply with a service bulletin which has been automatically incorporated, the manufacturer will issue necessary revisions eliminating pertinent post service bulletin data throughout all chapters of the "customized" manuals.
5. All service bulletin originated revision data shall be reflected in all chapters of each manual at the same time and in the same revision.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tc={71BFD489-B182-4054-8594-12D615DDB2F1}</author>
    <author>tc={D2578359-0CA9-47D1-A893-2BF78436AA3D}</author>
  </authors>
  <commentList>
    <comment ref="H18" authorId="0" shapeId="0" xr:uid="{71BFD489-B182-4054-8594-12D615DDB2F1}">
      <text>
        <t>[Comentario encadenado]
Su versión de Excel le permite leer este comentario encadenado; sin embargo, las ediciones que se apliquen se quitarán si el archivo se abre en una versión más reciente de Excel. Más información: https://go.microsoft.com/fwlink/?linkid=870924
Comentario:
    Se refiere a etiquetar en el DM el tipo de verificación que lleva.
 "Tabletop" (en entorno simulado o mesa), "On-Object" (experimental), or "Tabletop and On-Object" (mixta).</t>
      </text>
    </comment>
    <comment ref="C62" authorId="1" shapeId="0" xr:uid="{D2578359-0CA9-47D1-A893-2BF78436AA3D}">
      <text>
        <t>[Comentario encadenado]
Su versión de Excel le permite leer este comentario encadenado; sin embargo, las ediciones que se apliquen se quitarán si el archivo se abre en una versión más reciente de Excel. Más información: https://go.microsoft.com/fwlink/?linkid=870924
Comentario:
    Extent = Alcance</t>
      </text>
    </comment>
  </commentList>
</comments>
</file>

<file path=xl/sharedStrings.xml><?xml version="1.0" encoding="utf-8"?>
<sst xmlns="http://schemas.openxmlformats.org/spreadsheetml/2006/main" count="11983" uniqueCount="3736">
  <si>
    <t>BRDP reference/location</t>
  </si>
  <si>
    <t>BRDP unique identifier</t>
  </si>
  <si>
    <t>BRDP title</t>
  </si>
  <si>
    <t>BRDP definition</t>
  </si>
  <si>
    <t>Chapter sort</t>
  </si>
  <si>
    <t>Paragraph sort</t>
  </si>
  <si>
    <t>ATX Decision Proposal</t>
  </si>
  <si>
    <t>ATX Comment</t>
  </si>
  <si>
    <t>ATX Note</t>
  </si>
  <si>
    <t>LTH Validation</t>
  </si>
  <si>
    <t>LTH Comment</t>
  </si>
  <si>
    <t>Chap 1.3 Para 6.2.5</t>
  </si>
  <si>
    <t>BRDP-S1-00001</t>
  </si>
  <si>
    <t>Use of "I" and "O"</t>
  </si>
  <si>
    <t>Decide whether and when to use the alpha characters "I" and "O"._x000D_</t>
  </si>
  <si>
    <t>001.003</t>
  </si>
  <si>
    <t>006.002.005</t>
  </si>
  <si>
    <t xml:space="preserve">The characters "I" and "O" shall not be used for coding. There are no restrictions on the use of characters "I" and "O" for textual writing. </t>
  </si>
  <si>
    <t>Validated</t>
  </si>
  <si>
    <t>Xxxxx</t>
  </si>
  <si>
    <t>Chap 1.3 Para 7</t>
  </si>
  <si>
    <t>BRDP-S1-00002</t>
  </si>
  <si>
    <t>List of permitted CAGE codes and/or names to be used for the technical publication project</t>
  </si>
  <si>
    <t>Create a list of permitted CAGE codes and/or names of the enterprises._x000D_</t>
  </si>
  <si>
    <t>007</t>
  </si>
  <si>
    <t>The list of permit CAGE codes and/or names of the enterprises shall be defined in the project-specific IPSP or TPDP.</t>
  </si>
  <si>
    <t>Refused</t>
  </si>
  <si>
    <t>Chap 2.5.1 Para 2.1.3</t>
  </si>
  <si>
    <t>BRDP-S1-00003</t>
  </si>
  <si>
    <t>Issue of S1000D to be used</t>
  </si>
  <si>
    <t>Decide which issue or issues of S1000D to be used._x000D_</t>
  </si>
  <si>
    <t>002.005.001</t>
  </si>
  <si>
    <t>002.001.003</t>
  </si>
  <si>
    <t>S1000D Issue No. 4.01 shall be used.</t>
  </si>
  <si>
    <t>BRDP-S1-00004</t>
  </si>
  <si>
    <t>Information sets to be used</t>
  </si>
  <si>
    <t>Decide which information sets, given in S1000D and/or project specific, to be used._x000D_</t>
  </si>
  <si>
    <t>Information sets to be used are defined in the NCIA S1000D Agency Instruction 16.31.07.</t>
  </si>
  <si>
    <t>NCIA S1000D Agency Instruction 16.31.07</t>
  </si>
  <si>
    <t>BRDP-S1-00005</t>
  </si>
  <si>
    <t>Publications to be produced</t>
  </si>
  <si>
    <t>Decide which publications to be produced._x000D_</t>
  </si>
  <si>
    <t>The list of publications to be produced shall be stipulated in the contract SOW or, if the required information is not available at the time of the bidding, they shall be defined in the project-specific IPSP or TPDP. Default is Operations and Maintenance Manual (OMM)</t>
  </si>
  <si>
    <t>BRDP-S1-00006</t>
  </si>
  <si>
    <t>Schemas to be used</t>
  </si>
  <si>
    <t>Decide which Schemas to be used and in which information set they are to be used._x000D_</t>
  </si>
  <si>
    <t>Default schemas are defined in the NCIA S1000D Agency Instruction  Information code index.</t>
  </si>
  <si>
    <t>BRDP-S1-00007</t>
  </si>
  <si>
    <t>Use of optional elements and attributes</t>
  </si>
  <si>
    <t>Decide whether and how to use each optional element and attribute in its structural context._x000D_</t>
  </si>
  <si>
    <t>Optional elements and attributes shall be described individually, when used.</t>
  </si>
  <si>
    <t>BRDP-S1-00008</t>
  </si>
  <si>
    <t>Possible deliverables</t>
  </si>
  <si>
    <t>Decide on the possible deliverables, such as: _x000D_
S1000D objects (eg, data modules, publication modules, illustration sheets and multimedia objects, data management lists) using file based transfer. Refer to Chap 7.5.1._x000D_
Page-oriented publications and/or interactive electronic technical publications_x000D_</t>
  </si>
  <si>
    <t>Required deliverables are defined in the NCIA S1000D Agency Instruction.</t>
  </si>
  <si>
    <t>Chap 2.5.1 Para 2.7.1</t>
  </si>
  <si>
    <t>BRDP-S1-00009</t>
  </si>
  <si>
    <t>Frequency of data exchanges</t>
  </si>
  <si>
    <t>Decide on the frequency of data exchanges. _x000D_</t>
  </si>
  <si>
    <t>002.007.001</t>
  </si>
  <si>
    <t>The frequency of data exchanges shall be defined in the project-specific IPSP or TPDP</t>
  </si>
  <si>
    <t>Chap 3.4 Para 2</t>
  </si>
  <si>
    <t>BRDP-S1-00010</t>
  </si>
  <si>
    <t>Zone and access point identification system</t>
  </si>
  <si>
    <t>Decide whether to use a zoning and access identification system._x000D_</t>
  </si>
  <si>
    <t>003.004</t>
  </si>
  <si>
    <t>002</t>
  </si>
  <si>
    <t>Zoning and access identification shall not be used</t>
  </si>
  <si>
    <t>PARENT</t>
  </si>
  <si>
    <t>NO ZONING, NO ACCESS</t>
  </si>
  <si>
    <t>Chap 3.4 Para 2.1.1</t>
  </si>
  <si>
    <t>BRDP-S1-00011</t>
  </si>
  <si>
    <t>Method for zoning and identifying access points</t>
  </si>
  <si>
    <t>Decide which method to use for zoning and identifying access points._x000D_</t>
  </si>
  <si>
    <t>002.001.001</t>
  </si>
  <si>
    <t>Not Applicable</t>
  </si>
  <si>
    <t>CHILD</t>
  </si>
  <si>
    <t>Chap 3.6 Para 2.1.4</t>
  </si>
  <si>
    <t>BRDP-S1-00016</t>
  </si>
  <si>
    <t>Marking security classifications</t>
  </si>
  <si>
    <t>Decide on how the security classifications will be marked and/or indicated._x000D_</t>
  </si>
  <si>
    <t>003.006</t>
  </si>
  <si>
    <t>002.001.004</t>
  </si>
  <si>
    <t>Technical Publications shall adhere to the NATO marking standards and Agency specific Administrative markings (Refer to AI 06.01.01 - Marking of NCI Agency Information, 2016). Information included into data modules can be up to NR (included). Classified information above NR will be treated through an NR descriptive DM that identifies and localizes  the classified document (supplied separately i.a.w clearance procedures)</t>
  </si>
  <si>
    <t>See also: BRDP-NCIA-013, 014, 015, 553</t>
  </si>
  <si>
    <t>NATO RESTRICTED</t>
  </si>
  <si>
    <t>Chap 3.6 Para 2.4</t>
  </si>
  <si>
    <t>BRDP-S1-00013</t>
  </si>
  <si>
    <t>Use and markings of security classifications (attribute securityClassification)</t>
  </si>
  <si>
    <t>Determine how the security classifications will be used._x000D_</t>
  </si>
  <si>
    <t>002.004</t>
  </si>
  <si>
    <t>The attribute securityClassification shall be used.
Projects shall use securityClassification set to:
- "01" for NATO UNCLASSIFIED
- "02" for NATO NR</t>
  </si>
  <si>
    <t>See also: BRDP-NCIA-016, 014, 015, 553</t>
  </si>
  <si>
    <t>02 NATO RESTRICTED</t>
  </si>
  <si>
    <t>BRDP-S1-00014</t>
  </si>
  <si>
    <t>Application of caveats</t>
  </si>
  <si>
    <t>Determine if the policies that apply to security marking, instructions, etc, and decide how those markings are required to be applied within the given project._x000D_</t>
  </si>
  <si>
    <t>Security marking shall be used and indicated on data modules and publication modules and shall conform to "NCI Agency Directive 03.03 - Security of Information"</t>
  </si>
  <si>
    <t>See also: BRDP-NCIA-016, 013, 015, 553</t>
  </si>
  <si>
    <t>Chap 3.6 Para 2.5</t>
  </si>
  <si>
    <t>BRDP-S1-00015</t>
  </si>
  <si>
    <t>Retention of security classification changes</t>
  </si>
  <si>
    <t>Decide on the retention of security classification changes._x000D_</t>
  </si>
  <si>
    <t>002.005</t>
  </si>
  <si>
    <t>Changes to security classification shall require the re-issue of the DM/s and PM and described in the Reason for Update element.</t>
  </si>
  <si>
    <t>See also: BRDP-NCIA-016, 013, 014, 553</t>
  </si>
  <si>
    <t>BRDP-S1-00553</t>
  </si>
  <si>
    <t>Retention of derivative classifications changes</t>
  </si>
  <si>
    <t>Decide on the retention of derivative classifications changes._x000D_</t>
  </si>
  <si>
    <t>Derivative classifications changes will not be retained. It is the responsibility of the originator or derivative classifier to make sure that this maximum security requirement is not exceeded.</t>
  </si>
  <si>
    <t>See also: BRDP-NCIA-016, 013, 014, 015</t>
  </si>
  <si>
    <t>Chap 3.7 Para 2.1</t>
  </si>
  <si>
    <t>BRDP-S1-00017</t>
  </si>
  <si>
    <t>Rules for quality assurance</t>
  </si>
  <si>
    <t>Identify the project quality assurance rules and how those rules affect the methods used to perform quality assurance of the data modules/technical publications._x000D_</t>
  </si>
  <si>
    <t>003.007</t>
  </si>
  <si>
    <t>002.001</t>
  </si>
  <si>
    <t>QA rules including review methods are defined in the S1000D NCI Agency Instructions and project specific IPSP or TPDP</t>
  </si>
  <si>
    <t>Chap 3.7 Para 2.2.2</t>
  </si>
  <si>
    <t>BRDP-S1-00018</t>
  </si>
  <si>
    <t>Rules for first and second verification</t>
  </si>
  <si>
    <t>Decide on the rules for first and second verification. For example, such a rule might be that all data modules that have a safety related procedure must have first verification carried out "On object"._x000D_</t>
  </si>
  <si>
    <t>002.002.002</t>
  </si>
  <si>
    <t>Chap 3.7 Para 2.4</t>
  </si>
  <si>
    <t>BRDP-S1-00019</t>
  </si>
  <si>
    <t>Review cycle process</t>
  </si>
  <si>
    <t>Decide on the review cycle processes and procedures._x000D_</t>
  </si>
  <si>
    <t xml:space="preserve">Review cycle processes and procedures shall be defined in the project-specific IPSP or TPDP </t>
  </si>
  <si>
    <t>Processes and procedures shall be defined in the project-specific IPSP or TPDP for LTH</t>
  </si>
  <si>
    <t>Chap 3.9.1 Para 2.1</t>
  </si>
  <si>
    <t>BRDP-S1-00020</t>
  </si>
  <si>
    <t>Specify the language</t>
  </si>
  <si>
    <t>Decide which language to use for producing data modules._x000D_</t>
  </si>
  <si>
    <t>003.009.001</t>
  </si>
  <si>
    <t>DM text shall be developed by using the Standard American English as the language</t>
  </si>
  <si>
    <t>BRDP-S1-00021</t>
  </si>
  <si>
    <t>Use of ASD-STE100®</t>
  </si>
  <si>
    <t>When producing data modules in English, decide whether to use ASD-STE100®._x000D_</t>
  </si>
  <si>
    <t>Decision on to use ASD-STE100® is discussed in the NCIA S1000D Agency Instruction.</t>
  </si>
  <si>
    <t>STE, YES</t>
  </si>
  <si>
    <t>BRDP-S1-00022</t>
  </si>
  <si>
    <t>Standard dictionary</t>
  </si>
  <si>
    <t>Decide which standard dictionary to use for producing data modules._x000D_</t>
  </si>
  <si>
    <t>DM text shall be developed by using the current version of Webster’s International Dictionary of the English language as the standard dictionary</t>
  </si>
  <si>
    <t>BRDP-S1-00023</t>
  </si>
  <si>
    <t>Use of a terminology database or glossary</t>
  </si>
  <si>
    <t>Decide whether to use a terminology database or a glossary. If used, agree on its content and management._x000D_</t>
  </si>
  <si>
    <t>Terminology database or a glossary shall not be used.</t>
  </si>
  <si>
    <t>NO GLOSSARY</t>
  </si>
  <si>
    <t>Chap 3.9.1 Para 2.2</t>
  </si>
  <si>
    <t>BRDP-S1-00024</t>
  </si>
  <si>
    <t>Use of a standard list of abbreviations</t>
  </si>
  <si>
    <t>Decide whether to use a standard list of abbreviations. If used, agree on its content and management._x000D_</t>
  </si>
  <si>
    <t>002.002</t>
  </si>
  <si>
    <t>A dedicated list of abbreviations (IC-005) shall be included in each publication. All acronyms shall be defined on first time use in each data module with no markups</t>
  </si>
  <si>
    <t>LIST OF ACRONYMS, YES. ACRODEF ONLY FIRST TIME</t>
  </si>
  <si>
    <t>Chap 3.9.1 Para 2.5</t>
  </si>
  <si>
    <t>BRDP-S1-00025</t>
  </si>
  <si>
    <t>Unit of measure</t>
  </si>
  <si>
    <t>Identify the standard to use for both primary and secondary units of measure._x000D_</t>
  </si>
  <si>
    <t>Primary is International System (SI); secondary is US Customary (USCS). Secondary is only required when the engineering standard of the manufacturer is not SI.</t>
  </si>
  <si>
    <t>Chap 3.9.1 Para 2.9</t>
  </si>
  <si>
    <t>BRDP-S1-00026</t>
  </si>
  <si>
    <t>Highlighting text</t>
  </si>
  <si>
    <t>Decide which method to use to highlight text. _x000D_</t>
  </si>
  <si>
    <t>002.009</t>
  </si>
  <si>
    <t>Bolding shall be used to emphasize text.</t>
  </si>
  <si>
    <t>EMPHASIS</t>
  </si>
  <si>
    <t>Chap 3.9.2 Para 2.1.2</t>
  </si>
  <si>
    <t>BRDP-S1-00027</t>
  </si>
  <si>
    <t>Need of printable data</t>
  </si>
  <si>
    <t>Decide which parts of the documentation (data modules and publications including IETP) need to be printable._x000D_</t>
  </si>
  <si>
    <t>003.009.002</t>
  </si>
  <si>
    <t>002.001.002</t>
  </si>
  <si>
    <t>IETP Viewer/stylesheet function: All Content, Security Classification, Page Numbering, DM code and issue number, Date.</t>
  </si>
  <si>
    <t>Chap 3.9.2.1 Para 2</t>
  </si>
  <si>
    <t>BRDP-S1-00028</t>
  </si>
  <si>
    <t>Engineering numbers and revision status within the illustration reproduction area</t>
  </si>
  <si>
    <t>Decide if schematics derived from engineering drawings include the original drawing number and revision status within the illustration reproduction area._x000D_</t>
  </si>
  <si>
    <t>003.009.002.001</t>
  </si>
  <si>
    <t>Derived drawings shall not include original drawing number. Original drawings shall include the revision and status data.</t>
  </si>
  <si>
    <t>Chap 3.9.2.1 Para 2.2.2.1</t>
  </si>
  <si>
    <t>BRDP-S1-00029</t>
  </si>
  <si>
    <t>Use of color in the final deliverable</t>
  </si>
  <si>
    <t>Decide whether to use color in the final deliverable._x000D_</t>
  </si>
  <si>
    <t>002.002.002.001</t>
  </si>
  <si>
    <t>Line drawings with no color are the preferred method of graphic objects. Refer to the Illustration Style Guide section of the S1000D Agency Instruction. Text shall not use color.</t>
  </si>
  <si>
    <t>BLACK AND WHITE ILLUSTRATIONS</t>
  </si>
  <si>
    <t>Chap 3.9.2.1 Para 2.2.2.2</t>
  </si>
  <si>
    <t>BRDP-S1-00554</t>
  </si>
  <si>
    <t>Illustration annotations written in upper or sentence case</t>
  </si>
  <si>
    <t>Decide whether to write illustration annotations in upper or lower case._x000D_</t>
  </si>
  <si>
    <t>002.002.002.002</t>
  </si>
  <si>
    <t>Illustration annotations shall be written in sentence case. Refer to the Illustration Style Guide section of the S1000D Agency Instruction.</t>
  </si>
  <si>
    <t>SENTENCE CASE</t>
  </si>
  <si>
    <t>Chap 3.9.2.1 Para 2.8</t>
  </si>
  <si>
    <t>BRDP-S1-00555</t>
  </si>
  <si>
    <t>Inclusion of the ICN in the illustration</t>
  </si>
  <si>
    <t>Decide whether to allow the ICN to be included in the illustration._x000D_</t>
  </si>
  <si>
    <t>002.008</t>
  </si>
  <si>
    <t>The ICN number shall not be depicted on the illustration.</t>
  </si>
  <si>
    <t>ICN NOT ON THE ILLUSTRATION</t>
  </si>
  <si>
    <t>Chap 3.9.2.3 Para 2.2.3</t>
  </si>
  <si>
    <t>BRDP-S1-00556</t>
  </si>
  <si>
    <t>Use color line art</t>
  </si>
  <si>
    <t>Decide whether to allow the use of color line art._x000D_</t>
  </si>
  <si>
    <t>003.009.002.003</t>
  </si>
  <si>
    <t>002.002.003</t>
  </si>
  <si>
    <t>Chap 3.9.2.7 Para 2.1.1.3.1</t>
  </si>
  <si>
    <t>BRDP-S1-00557</t>
  </si>
  <si>
    <t>Reuse of the generic ICN title in data modules_x000D_</t>
  </si>
  <si>
    <t>Decide if the generic ICN title given in the ICN metadata file can be used to populate figure and multimedia titles in data modules._x000D_</t>
  </si>
  <si>
    <t>003.009.002.007</t>
  </si>
  <si>
    <t>002.001.001.003.001</t>
  </si>
  <si>
    <t>The generic ICN title given in the ICN metadata file shall not be used to populate figure titles in data modules.</t>
  </si>
  <si>
    <t>Chap 3.9.3 Para 2</t>
  </si>
  <si>
    <t>BRDP-S1-00030</t>
  </si>
  <si>
    <t>Use of general warnings, cautions and notes as separate data modules</t>
  </si>
  <si>
    <t>Decide whether to produce general warnings, cautions and notes in separate descriptive data modules._x000D_</t>
  </si>
  <si>
    <t>003.009.003</t>
  </si>
  <si>
    <t xml:space="preserve">General warnings and cautions shall be defined in a descriptive (IC-012) DM for each PM, therafter they shall be replicated in each DM as required. </t>
  </si>
  <si>
    <t>012 WARNINGS AND CAUTIONS FOR EACH PM</t>
  </si>
  <si>
    <t>BRDP-S1-00031</t>
  </si>
  <si>
    <t>Use of warning and/or caution collections</t>
  </si>
  <si>
    <t>Decide whether to use warning and/or caution collections, internal or external. _x000D_</t>
  </si>
  <si>
    <t>General to all DM info shall be included in the safety requirements element of procedural DMs. Task specific info shall precede the applicable step.</t>
  </si>
  <si>
    <t>SPECIFIC WARNINGS AND CAUTIONS, BEFORE THE STEP.</t>
  </si>
  <si>
    <t>Chap 3.9.3 Para 2.1</t>
  </si>
  <si>
    <t>BRDP-S1-00032</t>
  </si>
  <si>
    <t>Use of the attribute vitalWarningFlag</t>
  </si>
  <si>
    <t>Decide whether and how to use the attribute vitalWarningFlag._x000D_</t>
  </si>
  <si>
    <t>The vitalWarningFlag attribute shall not be used.</t>
  </si>
  <si>
    <t>It requires what is vital an what is not. 1 = vital; 0= not</t>
  </si>
  <si>
    <t>BRDP-S1-00033</t>
  </si>
  <si>
    <t>Use of the attribute warningType</t>
  </si>
  <si>
    <t xml:space="preserve">Decide whether and how to use the attribute warningType.
</t>
  </si>
  <si>
    <t>The warningType attribute shall not be used.</t>
  </si>
  <si>
    <t>Chap 3.9.3 Para 2.2</t>
  </si>
  <si>
    <t>BRDP-S1-00034</t>
  </si>
  <si>
    <t>Use of the attribute cautionType</t>
  </si>
  <si>
    <t>Decide whether and how to use the attribute cautionType._x000D_</t>
  </si>
  <si>
    <t>The cautionType attribute shall not be used.</t>
  </si>
  <si>
    <t>Chap 3.9.3 Para 2.3</t>
  </si>
  <si>
    <t>BRDP-S1-00035</t>
  </si>
  <si>
    <t>Use of the attribute noteType</t>
  </si>
  <si>
    <t>Decide whether and how to use the attribute noteType._x000D_</t>
  </si>
  <si>
    <t>002.003</t>
  </si>
  <si>
    <t>The noteType attribute shall not be used.</t>
  </si>
  <si>
    <t>Chap 3.9.4 Para 2.3</t>
  </si>
  <si>
    <t>BRDP-S1-00037</t>
  </si>
  <si>
    <t>Use of LOEP or LOEDM</t>
  </si>
  <si>
    <t>Decide whether to use the LOEP or the LOEDM._x000D_</t>
  </si>
  <si>
    <t>003.009.004</t>
  </si>
  <si>
    <t>Use LOEDM for S1000D publications.
Non S1000D (legacy or pdf) shall use LOEP.</t>
  </si>
  <si>
    <t>LIST OF EFFECTIVE DATA MODULES, YES</t>
  </si>
  <si>
    <t>Chap 3.9.4 Para 2.5.2</t>
  </si>
  <si>
    <t>BRDP-S1-00042</t>
  </si>
  <si>
    <t>Use of Highlights with updating instructions</t>
  </si>
  <si>
    <t>Decide whether to use Highlights with updating instructions._x000D_</t>
  </si>
  <si>
    <t>002.005.002</t>
  </si>
  <si>
    <t>Highlights with updating instructions shall not be used.</t>
  </si>
  <si>
    <t>Chap 3.9.4 Para 2.11</t>
  </si>
  <si>
    <t>BRDP-S1-00046</t>
  </si>
  <si>
    <t>Use of linear or hierarchically subdivided Table of contents</t>
  </si>
  <si>
    <t>Decide whether to use a linear or a hierarchically subdivided Table of contents._x000D_</t>
  </si>
  <si>
    <t>002.011</t>
  </si>
  <si>
    <t>TOC is generated by the IETP Viewer. TOC DM shall not be created -PARENT</t>
  </si>
  <si>
    <t>TOC ONLY IN EITP</t>
  </si>
  <si>
    <t>BRDP-S1-00305</t>
  </si>
  <si>
    <t>Data modules within a publication listed in the Table of contents</t>
  </si>
  <si>
    <t>Decide whether the listed publications within the Table of contents also have to be listed by their individual data modules._x000D_</t>
  </si>
  <si>
    <t>Not Applicable - CHILD</t>
  </si>
  <si>
    <t>BRDP-S1-00307</t>
  </si>
  <si>
    <t>Inclusion of the number of pages in the Table of contents</t>
  </si>
  <si>
    <t>Decide whether to include the number of pages in the Table of contents entries._x000D_</t>
  </si>
  <si>
    <t>Chap 3.9.5.1 Para 2.1.2.1</t>
  </si>
  <si>
    <t>BRDP-S1-00049</t>
  </si>
  <si>
    <t>Definition of the issue date</t>
  </si>
  <si>
    <t>Decide on the definition of the issue date._x000D_</t>
  </si>
  <si>
    <t>003.009.005.001</t>
  </si>
  <si>
    <t>002.001.002.001</t>
  </si>
  <si>
    <t>Issue date shall reflect final QA review acceptance date.</t>
  </si>
  <si>
    <t>ISSUE DATE= FINAL QA REVIEW</t>
  </si>
  <si>
    <t>Chap 3.9.5.1 Para 2.1.2.2.2</t>
  </si>
  <si>
    <t>BRDP-S1-00052</t>
  </si>
  <si>
    <t>Allocation of the information codes and the information names</t>
  </si>
  <si>
    <t>Decide which information codes and associated information names will be used._x000D_</t>
  </si>
  <si>
    <t>002.001.002.002.002</t>
  </si>
  <si>
    <t>Refer to the Information Codes section of t+G3</t>
  </si>
  <si>
    <t>Chap 3.9.5.1 Para 2.2</t>
  </si>
  <si>
    <t>BRDP-S1-00053</t>
  </si>
  <si>
    <t>Data module change/revised ratio</t>
  </si>
  <si>
    <t>Decide on the threshold that a data module is considered revised rather than changed. _x000D_</t>
  </si>
  <si>
    <t>The threshold that a data module is considered revised rather than changed shall be defined in the project-specific IPSP or TPDP. Default value is 30%.</t>
  </si>
  <si>
    <t>CHANGES &lt;30%= DATA MODULE REVISED
CHANGES =&gt;30%= DATA MODULE CHANGED</t>
  </si>
  <si>
    <t>Chap 3.9.5.1 Para 2.2.3</t>
  </si>
  <si>
    <t>BRDP-S1-00054</t>
  </si>
  <si>
    <t>Use and definitions of the attributes commercialClassification and caveat</t>
  </si>
  <si>
    <t>Decide on the use and definitions of the attributes commercialClassification and caveat._x000D_</t>
  </si>
  <si>
    <t>The attributes commercialClassification and caveat shall not be used - PARENT</t>
  </si>
  <si>
    <t>BRDP-S1-00055</t>
  </si>
  <si>
    <t>Priorities and relationships of the security attributes securityClassification, commercialClassification and caveat</t>
  </si>
  <si>
    <t>Decide on the priorities and relationships between the attributes securityClassification, commercialClassification and caveat if they are used._x000D_</t>
  </si>
  <si>
    <t>Chap 3.9.5.1 Para 2.2.4</t>
  </si>
  <si>
    <t>BRDP-S1-00558</t>
  </si>
  <si>
    <t>Use of the element &lt;derivativeClassification&gt; within data modules</t>
  </si>
  <si>
    <t>Decide whether and how to use the element &lt;derivativeClassification&gt;._x000D_</t>
  </si>
  <si>
    <t>002.002.004</t>
  </si>
  <si>
    <t>The element &lt;derivativeClassification&gt; shall not be used.</t>
  </si>
  <si>
    <t>Chap 3.9.5.1 Para 2.2.5.2.1</t>
  </si>
  <si>
    <t>BRDP-S1-00065</t>
  </si>
  <si>
    <t>Use of the element &lt;copyright&gt; and source of copyright information</t>
  </si>
  <si>
    <t>Decide whether and how to use the element &lt;copyright&gt;. Any copyright information must be obtained from the relevant authority._x000D_</t>
  </si>
  <si>
    <t>002.002.005.002.001</t>
  </si>
  <si>
    <t>The element &lt;copyright&gt; shall be used as [Refer to NCI Agency INSTR AI 15.00 Technical publications] "Copyright on the document will be handled in accordance with the arrangement with the funding authority (price proposal, legal agreement, program of work). Unless otherwise stated in any such document, all NCI Agency written Technical publications will be marked with the NCI Agency approved copyright marking.
In case of doubt as to the applicable copyright applicable, the author is invited to consult with the NCI Agency Legal Office" and [Refer to NCI Agency INSTR AI 06.01.01 Marking of NCI Agency information] "While respecting the principle that NATO is the overall owner of NCI Agency information artefacts, the NCI Agency’s most valuable resource (its intellectual property) needs to be safeguarded to the maximum extent possible. To this purpose, information artefacts of intellectual value to the NCI Agency (e.g. reports, deliverables, presentations) shall be marked with the appropriate Copyright marking, including the year of release of the information artefact and no punctuation, as follows:
Copyright 2016 NCI Agency".</t>
  </si>
  <si>
    <t>See also BRDP-NCIA-066</t>
  </si>
  <si>
    <t>&lt;COPYRIGHT&gt;</t>
  </si>
  <si>
    <t>BRDP-S1-00066</t>
  </si>
  <si>
    <t>Method of populating copyright information (in each data module or in a consolidated data module)</t>
  </si>
  <si>
    <t>Decide whether to populate copyright information in each data module or whether to cross-reference to a copyright data module._x000D_
Note_x000D_
While choosing the population method, assess the impact of changes to copyright information on updating of data modules._x000D_</t>
  </si>
  <si>
    <t>Copyright information shall be populated by reference to a specific data module that contains the copyright information</t>
  </si>
  <si>
    <t>See also: BRDP-NCIA-065</t>
  </si>
  <si>
    <t>DATA MODULE WITH THE COPYRIGHT</t>
  </si>
  <si>
    <t>Chap 3.9.5.1 Para 2.2.7</t>
  </si>
  <si>
    <t>BRDP-S1-00070</t>
  </si>
  <si>
    <t>Use of the element &lt;enterpriseName&gt; and/or the attribute enterpriseCode for the responsible partner company</t>
  </si>
  <si>
    <t>Decide whether to use the element &lt;enterpriseName&gt; and/or the attribute enterpriseCode to capture the name and CAGE code, respectively, of the responsible partner company. If the name is used it must be done consistently and be mandatory for the project._x000D_</t>
  </si>
  <si>
    <t>002.002.007</t>
  </si>
  <si>
    <t>The element &lt;enterpriseName&gt; and the attribute enterpriseCode to capture the name and CAGE code of the responsible partner company shall be used.</t>
  </si>
  <si>
    <t>&lt;ENTERPRISENAME&gt; &lt;ENTERPRISECODE&gt; FOR RPC</t>
  </si>
  <si>
    <t>Chap 3.9.5.1 Para 2.2.8</t>
  </si>
  <si>
    <t>BRDP-S1-00071</t>
  </si>
  <si>
    <t>Use of the element &lt;enterpriseName&gt; and/or the attribute enterpriseCode for the originator</t>
  </si>
  <si>
    <t>Decide whether to use the element &lt;enterpriseName&gt; and/or the attribute enterpriseCode to capture the name and CAGE code respectively, of the originator. If the name is used it must be done consistently and be mandatory for the project._x000D_</t>
  </si>
  <si>
    <t>002.002.008</t>
  </si>
  <si>
    <t>The element &lt;enterpriseName&gt; and the attribute enterpriseCode to capture the name and CAGE code of the originator shall be used.</t>
  </si>
  <si>
    <t>Chap 3.9.5.1 Para 2.2.12.1</t>
  </si>
  <si>
    <t>BRDP-S1-00077</t>
  </si>
  <si>
    <t>Exchange of draft data modules</t>
  </si>
  <si>
    <t>Decide whether the project will allow the exchange of draft data modules._x000D_</t>
  </si>
  <si>
    <t>002.002.012.001</t>
  </si>
  <si>
    <t>Draft (unverified) data modules shall be exchanged for in-process reviews and verification activities.</t>
  </si>
  <si>
    <t>Chap 3.9.5.2.1.1 Para 2.2</t>
  </si>
  <si>
    <t>BRDP-S1-00089</t>
  </si>
  <si>
    <t>Standard sentences for reasons for update</t>
  </si>
  <si>
    <t>Decide whether standard sentences for reasons for update are to be used._x000D_</t>
  </si>
  <si>
    <t>003.009.005.002.001.001</t>
  </si>
  <si>
    <t>The RFU shall contain a clear and concise (non-standard) description of the change.</t>
  </si>
  <si>
    <t>RFU, YES</t>
  </si>
  <si>
    <t>BRDP-S1-00090</t>
  </si>
  <si>
    <t>Use of reason for update in conjunction with the production process</t>
  </si>
  <si>
    <t>Decide whether the element &lt;reasonForUpdate&gt; is used during the production process._x000D_</t>
  </si>
  <si>
    <t>The RFU element shall be populated starting from Issue 2 of a DM.</t>
  </si>
  <si>
    <t>BRDP-S1-00091</t>
  </si>
  <si>
    <t>Use of applicability information</t>
  </si>
  <si>
    <t>Decide whether it is permissible to differentiate reasons for update based on Product configuration._x000D_</t>
  </si>
  <si>
    <t>RFU applicability information is permitted</t>
  </si>
  <si>
    <t>Chap 3.9.5.2.1.1 Para 2.5</t>
  </si>
  <si>
    <t>BRDP-S1-00092</t>
  </si>
  <si>
    <t>Use of change marks for tables</t>
  </si>
  <si>
    <t>Decide whether and how to use change marks for tables._x000D_</t>
  </si>
  <si>
    <t>Change marks shall be marked up on the individual rows within a table</t>
  </si>
  <si>
    <t>Chap 3.9.5.2.1.1 Para 2.6</t>
  </si>
  <si>
    <t>BRDP-S1-00093</t>
  </si>
  <si>
    <t>Use of change marks for figures</t>
  </si>
  <si>
    <t>Decide whether and how to use change marks for figures._x000D_</t>
  </si>
  <si>
    <t>002.006</t>
  </si>
  <si>
    <t>Change marks shall be marked up on the figure only.</t>
  </si>
  <si>
    <t>Chap 3.9.5.2.1.2 Para 2.1</t>
  </si>
  <si>
    <t>BRDP-S1-00094</t>
  </si>
  <si>
    <t>Extent of cross-referencing</t>
  </si>
  <si>
    <t>Decide on the extent of cross-referencing within data modules and the methods used for populating the various attributes._x000D_</t>
  </si>
  <si>
    <t>003.009.005.002.001.002</t>
  </si>
  <si>
    <t>Internal reference (eg. figures, tables, sections or steps) are referenced with the &lt;internalRef&gt; element.  Reference to external sections of DMs and hotspots shall use "referred fragment".</t>
  </si>
  <si>
    <t>&lt;INTERNALREF&gt;</t>
  </si>
  <si>
    <t>BRDP-S1-00095</t>
  </si>
  <si>
    <t>Use of the element &lt;internalRef&gt; in titles</t>
  </si>
  <si>
    <t>Use of the element &lt;internalRef&gt; in titles is strongly discouraged. However, decide whether to use cross-references in titles._x000D_</t>
  </si>
  <si>
    <t>The element &lt;internalRef&gt; in titles shall not be used - PARENT</t>
  </si>
  <si>
    <t>INTERNALREF NOT IN TITLE</t>
  </si>
  <si>
    <t>BRDP-S1-00096</t>
  </si>
  <si>
    <t>Use of the attribute targetTitle</t>
  </si>
  <si>
    <t>Decide whether to use the attribute targetTitle. When used (populated), it is a tooltip in a viewer application._x000D_</t>
  </si>
  <si>
    <t>The attribute targetTitle shall be used.</t>
  </si>
  <si>
    <t>TARGETTITLE ATTRIBUTE</t>
  </si>
  <si>
    <t>BRDP-S1-00098</t>
  </si>
  <si>
    <t>Use of the textual content of the element &lt;internalRef&gt; in cross-references</t>
  </si>
  <si>
    <t>Decide whether to use the textual content of the element &lt;internalRef&gt;. When used (populated), it must be presented._x000D_</t>
  </si>
  <si>
    <t>Textual content shall be presented.</t>
  </si>
  <si>
    <t>BRDP-S1-00099</t>
  </si>
  <si>
    <t>Use of the "identifiers" given in the elements &lt;reqSupportEquips&gt;, &lt;reqSupplies&gt;, &lt;reqSpares&gt; or &lt;workLocation&gt;</t>
  </si>
  <si>
    <t>Decide whether to use any of the "identifiers" given in the elements &lt;reqSupportEquips&gt;, &lt;reqSupplies&gt;, &lt;reqSpares&gt; or &lt;workLocation&gt; as the presented link (textual content of the element &lt;internalRef&gt;), or as a tooltip in a viewer application (value of the attribute targetTitle)._x000D_
Note_x000D_
The "identifiers" can be derived from the content of the child elements or the attributes of the four elements._x000D_</t>
  </si>
  <si>
    <t>The textual content shall be presented.</t>
  </si>
  <si>
    <t>BRDP-S1-00100</t>
  </si>
  <si>
    <t>Use of the attribute internalRefTargetType</t>
  </si>
  <si>
    <t>Decide whether to use the attribute internalRefTargetType, which values to use and allocate suitable definitions to the values. Refer to Chap 3.9.6.1._x000D_</t>
  </si>
  <si>
    <t>Cross references shall use the following type wording "(See Figure 1.)".
The verb in the cross-reference statement (eg “See”, “Repeat”, “Skip”) shall be manually authored. If appropriate, the label (eg “Figure”, “Para”, “Step”) shall be generated from the attribute internalRefTargetType. 
The number shall be auto-generated during the publication process.</t>
  </si>
  <si>
    <t>WORDING: "SEE FIGURE 1"</t>
  </si>
  <si>
    <t>Chap 3.9.5.2.1.2 Para 2.1.1</t>
  </si>
  <si>
    <t>BRDP-S1-00101</t>
  </si>
  <si>
    <t>Define the format of the cross-reference attributes id and internalRefId</t>
  </si>
  <si>
    <t>Decide whether the values of the cross-reference attributes id and internalRefId must be prefixed by alpha characters that identify the type of the target element. Example:_x000D_
Structure: Prefix followed by a hyphen and a four digit number to make it unique within the data module (eg, "par-0001")_x000D_
Prefixes:_x000D_
"fig" for figures and alternates_x000D_
"tab" for tables_x000D_
"mma" for multimedia and alternates_x000D_
"sup" for supplies_x000D_
"seq" for support equipment_x000D_
"spa" for spares_x000D_
"par" for levelled paragraphs and alternates_x000D_
"stp" for steps of procedure, fault isolation, etc, and alternates_x000D_
"gra" for graphics (multiple sheets)_x000D_
"mmo" for multimedia objects_x000D_
"hot" for hotspots (eg, "fig-0001-hot-0002")_x000D_
"pme" for parameters_x000D_
"zon" for zones_x000D_
"wla" for work locations_x000D_
"mat" for single material or material sets_x000D_
"msl" for material set lists_x000D_
"acp" for access points_x000D_
Note_x000D_
The four digit number has no connection to, for example, the figure or table number which is generated for data module presentation. For example, the value of the attribute id can be "fig-0345" for "Fig 1". Refer to Para 2.1._x000D_
Note_x000D_
Refer to Chap 3.9.5.2.1.10 for the equivalent business rule decision point regarding footnotes. Example: "ftn-0001"._x000D_</t>
  </si>
  <si>
    <t>− Structure: prefix followed by a hyphen and a four digits number to make it unique within the data module, eg "par-0001" 
− Prefixes:
"par" for sections
"stp" for steps of procedure, fault isolation, etc
"fig" for figures
"tab" for tables
"seq" for support equipment
"spa" for spares
"sup" for supplies
"ftn" for footnotes
"hot" for hotspots, e.g. "fig-0001-hot-0002"</t>
  </si>
  <si>
    <t>PAR-0001
STP-0001
FIG-0001
TAB-0001
SEQ-0001
SPA-0001
SUP-0001
HOT-0001</t>
  </si>
  <si>
    <t>Chap 3.9.5.2.1.2 Para 2.6</t>
  </si>
  <si>
    <t>BRDP-S1-00106</t>
  </si>
  <si>
    <t>Population of the element &lt;refs&gt;</t>
  </si>
  <si>
    <t>Decide if and how the element &lt;refs&gt; is populated. If populated, the order of items in the list must be specified._x000D_</t>
  </si>
  <si>
    <t xml:space="preserve"> The element &lt;refs&gt; shall not be manually populated</t>
  </si>
  <si>
    <t>&lt;REFS&gt; BUT NOT MANUALLY POPULATED</t>
  </si>
  <si>
    <t>Chap 3.9.5.2.1.2 Para 2.7</t>
  </si>
  <si>
    <t>BRDP-S1-00107</t>
  </si>
  <si>
    <t>Define the words before and after the reference elements</t>
  </si>
  <si>
    <t>Define the words before and after the elements &lt;dmRef&gt;, &lt;pmRef&gt; and &lt;externalPubRef&gt;. This is important as it has implications on the stylesheets used. Example: For one implementation, the stylesheet can automatically generate the words "Refer to data module: "when it recognizes the element &lt;dmRef&gt;. This will cause problems if the author has written "Refer to" within the paragraph before the element &lt;dmRef&gt;._x000D_</t>
  </si>
  <si>
    <t>002.007</t>
  </si>
  <si>
    <t>Words before and after the ref shall not be manually populated.</t>
  </si>
  <si>
    <t>Chap 3.9.5.2.1.4 Para 1</t>
  </si>
  <si>
    <t>BRDP-S1-00559</t>
  </si>
  <si>
    <t>Caption style guide</t>
  </si>
  <si>
    <t>Decide on a project style guide to be used for captions._x000D_</t>
  </si>
  <si>
    <t>003.009.005.002.001.004</t>
  </si>
  <si>
    <t>001</t>
  </si>
  <si>
    <t>Captions shall not be used.</t>
  </si>
  <si>
    <t>Chap 3.9.5.2.1.4 Para 2.2.1</t>
  </si>
  <si>
    <t>BRDP-S1-00117</t>
  </si>
  <si>
    <t>Inline use of captions</t>
  </si>
  <si>
    <t>Decide whether inline captions affect the text line spacing and how this is defined._x000D_</t>
  </si>
  <si>
    <t>002.002.001</t>
  </si>
  <si>
    <t>Chap 3.9.5.2.1.5 Para 2</t>
  </si>
  <si>
    <t>BRDP-S1-00118</t>
  </si>
  <si>
    <t>Use of the element &lt;title&gt;</t>
  </si>
  <si>
    <t>Decide how to use the element &lt;title&gt; and on which elements._x000D_</t>
  </si>
  <si>
    <t>003.009.005.002.001.005</t>
  </si>
  <si>
    <t>Titles shall be used for figures, tables and levelled paragraphs. Procedural steps shall not have titles.</t>
  </si>
  <si>
    <t>NOT TITLE IN PROCEDURALS</t>
  </si>
  <si>
    <t>BRDP-S1-00119</t>
  </si>
  <si>
    <t>Use of cross-references from titles</t>
  </si>
  <si>
    <t>Decide whether to allow cross-referencing from titles._x000D_</t>
  </si>
  <si>
    <t>Cross-references from titles is not permitted</t>
  </si>
  <si>
    <t>NOT CROSS-REFERENCES IN TITLES</t>
  </si>
  <si>
    <t>BRDP-S1-00120</t>
  </si>
  <si>
    <t>Use of titles for the elements &lt;levelledPara&gt; and &lt;proceduralStep&gt; from sublevel six thru eight for legacy data</t>
  </si>
  <si>
    <t>Decide whether titles can be included for the elements &lt;levelledPara&gt; and &lt;proceduralStep&gt; from sublevel six thru eight when converting legacy data to S1000D._x000D_</t>
  </si>
  <si>
    <t>Use of titles for the elements &lt;levelledPara&gt; and &lt;proceduralStep&gt; from sublevel six thru eight for legacy data is permitted.</t>
  </si>
  <si>
    <t>Chap 3.9.5.2.1.6 Para 2.3</t>
  </si>
  <si>
    <t>BRDP-S1-00121</t>
  </si>
  <si>
    <t>Use of standard table types</t>
  </si>
  <si>
    <t>Decide if a list of standard table types applies to the project (eg, inspection, examination) and define what the business rules are for these types in terms of their presentation requirements and certain textual values (eg, titles and heading row values). Each of these standard types must have a defined value that can be applied to the table’s attribute tabstyle._x000D_</t>
  </si>
  <si>
    <t>003.009.005.002.001.006</t>
  </si>
  <si>
    <t>Table attributes are described in the S1000D Agency Instruction.</t>
  </si>
  <si>
    <t>Chap 3.9.5.2.1.6 Para 2.4</t>
  </si>
  <si>
    <t>BRDP-S1-00122</t>
  </si>
  <si>
    <t>Use of tables as graphics</t>
  </si>
  <si>
    <t>Decide if tables represented as graphics are allowed, and if they are, in what situations they can be used._x000D_</t>
  </si>
  <si>
    <t>Tables represented as graphics are not permitted</t>
  </si>
  <si>
    <t>Chap 3.9.5.2.1.6 Para 2.6</t>
  </si>
  <si>
    <t>BRDP-S1-00123</t>
  </si>
  <si>
    <t>Use of applicability information of various table child elements - attribute applicRefId of the element &lt;table&gt;</t>
  </si>
  <si>
    <t>Decide whether and how to use the attribute applicRefId of various &lt;table&gt; child elements. The child elements can be differentiated based on Product configuration._x000D_</t>
  </si>
  <si>
    <t>The attribute applicRefId of various &lt;table&gt; child elements shall not be used.</t>
  </si>
  <si>
    <t>Chap 3.9.5.2.1.7 Para 2.2.1.2</t>
  </si>
  <si>
    <t>BRDP-S1-00128</t>
  </si>
  <si>
    <t>Types of legends</t>
  </si>
  <si>
    <t>Decide on the strategy for legends, if used. Legends can appear as part of the illustration or as text using the element &lt;legend&gt;. The advantage of making the legend part of the text is that:_x000D_
the same illustration can have different legends wherever it appears (eg, in multi-language projects)_x000D_
the text of the element &lt;legend&gt; can be searched (this might not be the case if the legend is part of the illustration)_x000D_
items in the illustration can be linked to the legend by the use of hotspots_x000D_
the legend in the text can save space on the illustration (particularly when the legends are long)_x000D_</t>
  </si>
  <si>
    <t>003.009.005.002.001.007</t>
  </si>
  <si>
    <t>002.002.001.002</t>
  </si>
  <si>
    <t>Legends shall be used and displayed as text. The element &lt;legend&gt; shall be used.</t>
  </si>
  <si>
    <t>&lt;LEGEND&gt;</t>
  </si>
  <si>
    <t>Chap 3.9.5.2.1.7 Para 2.3.1</t>
  </si>
  <si>
    <t>BRDP-S1-00129</t>
  </si>
  <si>
    <t>Suitability of multimedia use</t>
  </si>
  <si>
    <t>Decide whether using multimedia is suitable for the environment in which the project will operate. _x000D_</t>
  </si>
  <si>
    <t>002.003.001</t>
  </si>
  <si>
    <t>Multimedia shall not be used.</t>
  </si>
  <si>
    <t>Chap 3.9.5.2.1.7 Para 2.3.2.1</t>
  </si>
  <si>
    <t>BRDP-S1-00130</t>
  </si>
  <si>
    <t>Permitted types of multimedia</t>
  </si>
  <si>
    <t>Decide what types of multimedia objects are permitted._x000D_</t>
  </si>
  <si>
    <t>002.003.002.001</t>
  </si>
  <si>
    <t>NA: Multimedia shall not be used.</t>
  </si>
  <si>
    <t>Chap 3.9.5.2.1.7 Para 2.4</t>
  </si>
  <si>
    <t>BRDP-S1-00131</t>
  </si>
  <si>
    <t>Use of foldouts</t>
  </si>
  <si>
    <t>Decide whether to use the element &lt;foldout&gt; and, if used, where its use is allowed (eg, within specific information sets)._x000D_
Note_x000D_
It is only used for page-oriented publications, as it will not have an effect in the screen view of an IETP._x000D_</t>
  </si>
  <si>
    <t>The element &lt;foldout&gt; shall not be used.</t>
  </si>
  <si>
    <t>Chap 3.9.5.2.1.8 Para 2.3</t>
  </si>
  <si>
    <t>BRDP-S1-00132</t>
  </si>
  <si>
    <t>Use of hotspots</t>
  </si>
  <si>
    <t>Decide whether and how to use hotspots as follows:_x000D_
If hotspots are to be used, decide whether hotspots can be used to link to graphical objects from local text._x000D_
If hotspots are to be used, decide whether hotspots can be used to link from graphical objects to other graphical objects or local text._x000D_
If hotspots are to be used, decide whether hotspots can be used to link from graphical objects to other data modules._x000D_</t>
  </si>
  <si>
    <t>003.009.005.002.001.008</t>
  </si>
  <si>
    <t>Hotspots shall be used in IPD and procedural data modules between graphical objects and local text.</t>
  </si>
  <si>
    <t>HOTSPOTS ONLY IN IPD AND PROCEDURAL</t>
  </si>
  <si>
    <t>Chap 3.9.5.2.1.8 Para 2.8</t>
  </si>
  <si>
    <t>BRDP-S1-00133</t>
  </si>
  <si>
    <t>Use of the element &lt;parameter&gt;</t>
  </si>
  <si>
    <t>Decide whether to use the element &lt;parameter&gt; and how to use it. If used, specify the attributes to be used within the project or organization._x000D_</t>
  </si>
  <si>
    <t>The element &lt;parameter&gt; is permitted.</t>
  </si>
  <si>
    <t>Chap 3.9.5.2.1.9 Para 2</t>
  </si>
  <si>
    <t>BRDP-S1-00134</t>
  </si>
  <si>
    <t>Use of the element &lt;preliminaryRqmts&gt;</t>
  </si>
  <si>
    <t>Decide whether to use the element &lt;preliminaryRqmts&gt; in maintenance planning, fault isolation, maintenance checklist and/or process data modules._x000D_</t>
  </si>
  <si>
    <t>003.009.005.002.001.009</t>
  </si>
  <si>
    <t>The element &lt;preliminaryRqmts&gt; shall be used in non-descriptive data modules.</t>
  </si>
  <si>
    <t>Chap 3.9.5.2.1.9 Para 2.1.2</t>
  </si>
  <si>
    <t>BRDP-S1-00135</t>
  </si>
  <si>
    <t>Use of the element &lt;workAreaLocationGroup&gt; in the element &lt;preliminaryRqmts&gt;</t>
  </si>
  <si>
    <t>Decide whether and how to use the element &lt;workAreaLocationGroup&gt;. The possibility of duplication and mismatch of data given in the maintenance planning information must be taken into account. _x000D_</t>
  </si>
  <si>
    <t xml:space="preserve"> The element &lt;workAreaLocationGroup&gt; shall not be used.</t>
  </si>
  <si>
    <t>Chap 3.9.5.2.1.9 Para 2.1.2.1</t>
  </si>
  <si>
    <t>BRDP-S1-00136</t>
  </si>
  <si>
    <t>Use of the element &lt;workLocation&gt; in the element &lt;preliminaryRqmts&gt;</t>
  </si>
  <si>
    <t>Decide whether and how to use the element &lt;workLocation&gt;. If used, decide the data module types with which it will be used._x000D_</t>
  </si>
  <si>
    <t xml:space="preserve"> The element &lt;workLocation&gt; shall not be used.</t>
  </si>
  <si>
    <t>Chap 3.9.5.2.1.9 Para 2.1.2.1.1</t>
  </si>
  <si>
    <t>BRDP-S1-00137</t>
  </si>
  <si>
    <t>Use of the element &lt;workArea&gt; in the element &lt;preliminaryRqmts&gt;</t>
  </si>
  <si>
    <t>Decide whether and how to use the element &lt;workArea&gt;. If used, decide which data module types to use it._x000D_</t>
  </si>
  <si>
    <t>002.001.002.001.001</t>
  </si>
  <si>
    <t xml:space="preserve"> The element &lt;workArea&gt; shall not be used.</t>
  </si>
  <si>
    <t>Chap 3.9.5.2.1.9 Para 2.1.2.1.2</t>
  </si>
  <si>
    <t>BRDP-S1-00138</t>
  </si>
  <si>
    <t>Use of the element &lt;installationLocation&gt; in the element &lt;preliminaryRqmts&gt;</t>
  </si>
  <si>
    <t>Decide whether and how to use the element &lt;installationLocation&gt;. If used, decide which data module types to use it._x000D_</t>
  </si>
  <si>
    <t>002.001.002.001.002</t>
  </si>
  <si>
    <t>The element &lt;installationLocation&gt; in the element &lt;preliminaryRqmts&gt; shall not be used.</t>
  </si>
  <si>
    <t>Chap 3.9.5.2.1.9 Para 2.1.2.1.3</t>
  </si>
  <si>
    <t>BRDP-S1-00139</t>
  </si>
  <si>
    <t>Use of the element &lt;productItem&gt; in the element &lt;preliminaryRqmts&gt;</t>
  </si>
  <si>
    <t>Decide whether and how to use the element &lt;productItem&gt;. If used, decide which data module types to use it._x000D_</t>
  </si>
  <si>
    <t>002.001.002.001.003</t>
  </si>
  <si>
    <t>The element &lt;productItem&gt; in the element &lt;preliminaryRqmts&gt; shall not be used.</t>
  </si>
  <si>
    <t>BRDP-S1-00140</t>
  </si>
  <si>
    <t>Use of the attribute productItemName in the element &lt;preliminaryRqmts&gt;</t>
  </si>
  <si>
    <t>Decide whether and how to use the attribute productItemName._x000D_</t>
  </si>
  <si>
    <t>The attribute productItemName in the element &lt;preliminaryRqmts&gt; shall not be used.</t>
  </si>
  <si>
    <t>BRDP-S1-00141</t>
  </si>
  <si>
    <t>Use of the attribute productItemType in the element &lt;preliminaryRqmts&gt;</t>
  </si>
  <si>
    <t>Decide whether and how to use the attribute productItemType._x000D_</t>
  </si>
  <si>
    <t>The attribute productItemType in the element &lt;preliminaryRqmts&gt; shall not be used.</t>
  </si>
  <si>
    <t>Chap 3.9.5.2.1.9 Para 2.1.3</t>
  </si>
  <si>
    <t>BRDP-S1-00142</t>
  </si>
  <si>
    <t>Use of the element &lt;taskDuration&gt; in the element &lt;preliminaryRqmts&gt;_x000D_</t>
  </si>
  <si>
    <t>Decide whether and how to use the element &lt;taskDuration&gt;. The possibility of duplication and mismatch of data given in the maintenance planning information must be taken into account._x000D_</t>
  </si>
  <si>
    <t>The  element &lt;taskDuration&gt; in the element &lt;preliminaryRqmts&gt; shall not be used.</t>
  </si>
  <si>
    <t>Chap 3.9.5.2.1.9 Para 2.2.4</t>
  </si>
  <si>
    <t>BRDP-S1-00143</t>
  </si>
  <si>
    <t>Inclusion of a circuit breaker list as part of the required conditions - (element &lt;reqCondCircuitBreaker&gt;)</t>
  </si>
  <si>
    <t>Decide if circuit breaker lists are allowed in required conditions and thus the use of the element, or if all the circuit breaker settings must be part of the steps. In this latter case, the element &lt;circuitBreakerDescrGroup&gt; in steps content can be used._x000D_</t>
  </si>
  <si>
    <t>The  element &lt;reqCondCircuitBreaker&gt; in the element preliminaryRqmts&gt; shall not be used.</t>
  </si>
  <si>
    <t>Chap 3.9.5.2.1.9 Para 2.3</t>
  </si>
  <si>
    <t>BRDP-S1-00144</t>
  </si>
  <si>
    <t>Use of the element &lt;reqPersons&gt; in the element &lt;preliminaryRqmts&gt;</t>
  </si>
  <si>
    <t>Decide whether and how to use the element &lt;reqPersons&gt;. For example, use either the element &lt;personnel&gt; or &lt;person&gt; or use both elements._x000D_</t>
  </si>
  <si>
    <t>The element &lt;reqPersons&gt; and the element &lt;personnel&gt; shall be used. Do not use the element &lt;person&gt;.</t>
  </si>
  <si>
    <t>&lt;REQPERSONS&gt; &lt;PERSONNEL&gt;
&lt;PERSON&gt;</t>
  </si>
  <si>
    <t>Chap 3.9.5.2.1.9 Para 2.3.1.1</t>
  </si>
  <si>
    <t>BRDP-S1-00145</t>
  </si>
  <si>
    <t>Values for the attribute personCategoryCode in the element &lt;preliminaryRqmts&gt;</t>
  </si>
  <si>
    <t>Define a list of skill categories/types (eg, Airframe, Electrical, Avionic, Engine)._x000D_</t>
  </si>
  <si>
    <t>002.003.001.001</t>
  </si>
  <si>
    <t>Values for the attribute personCategoryCode in the element &lt;preliminaryRqmts&gt; are defined in the S3000L Agency Instruction 16.31.05</t>
  </si>
  <si>
    <t>S3000L Agency Instruction 16.31.05</t>
  </si>
  <si>
    <t>PERSONCATEGORYCODE ATTRIBUTE I.A.W. AI 16.31.05</t>
  </si>
  <si>
    <t>Chap 3.9.5.2.1.9 Para 2.3.1.3</t>
  </si>
  <si>
    <t>BRDP-S1-00146</t>
  </si>
  <si>
    <t>Values for the element &lt;trade&gt; in the context of the element &lt;preliminaryRqmts&gt;</t>
  </si>
  <si>
    <t>If trades are required, define a list of trades/trade codes. _x000D_</t>
  </si>
  <si>
    <t>002.003.001.003</t>
  </si>
  <si>
    <t>Values for the element &lt;trade&gt; in the context of the element &lt;preliminaryRqmts&gt; are defined in the LSA Agency Instruction.</t>
  </si>
  <si>
    <t>&lt;TRADE&gt;</t>
  </si>
  <si>
    <t>Chap 3.9.5.2.1.9 Para 2.4.1</t>
  </si>
  <si>
    <t>BRDP-S1-00147</t>
  </si>
  <si>
    <t>Use of the element &lt;reqTechInfoGroup&gt; in the element &lt;preliminaryRqmts&gt;</t>
  </si>
  <si>
    <t>Decide whether and how to use the element &lt;reqTechInfoGroup&gt;._x000D_</t>
  </si>
  <si>
    <t>002.004.001</t>
  </si>
  <si>
    <t>The element &lt;reqTechInfoGroup&gt; in the element &lt;preliminaryRqmts&gt; shall not be used.</t>
  </si>
  <si>
    <t>Chap 3.9.5.2.1.9 Para 2.5</t>
  </si>
  <si>
    <t>BRDP-S1-00149</t>
  </si>
  <si>
    <t>Listing of standard tools in Preliminary requirements</t>
  </si>
  <si>
    <t>Decide what types of standard tools or toolkits to be identified and listed in the table "Support equipment"._x000D_</t>
  </si>
  <si>
    <t>All standard and common hand tools shall be listed in the support equipment list and preliminary requirements.</t>
  </si>
  <si>
    <t>STANDARD AND COMMON TOOLS IN SUPPORT EQUIPMENT</t>
  </si>
  <si>
    <t>Chap 3.9.5.2.1.9 Para 2.5.1</t>
  </si>
  <si>
    <t>BRDP-S1-00150</t>
  </si>
  <si>
    <t>Use of the attribute id on the element &lt;supportEquipDescr&gt; in the element &lt;preliminaryRqmts&gt;</t>
  </si>
  <si>
    <t>Decide whether to link from the body of the procedure to the support equipment listed in Preliminary requirements._x000D_
Note_x000D_
The attribute id on the element &lt;supportEquipDescr&gt; is used to establish the link between the two and will guarantee consistent use of identification throughout the procedure. The use of cross-references is encouraged._x000D_</t>
  </si>
  <si>
    <t>Th+G32:G101e attribute id on the element &lt;supportEquipDescr&gt; in the element &lt;preliminaryRqmts&gt; shall be used.</t>
  </si>
  <si>
    <t>BRDP-S1-00151</t>
  </si>
  <si>
    <t>Use of the attribute materialUsage in the element &lt;supportEquipDescr&gt;, the element &lt;supplyDescr&gt; and the element &lt;spareDescr&gt; context</t>
  </si>
  <si>
    <t>Decide whether to use the attribute materialUsage in the elements &lt;supportEquipDescr&gt;, &lt;supplyDescr&gt; and &lt;spareDescr&gt; context and what values to be used._x000D_</t>
  </si>
  <si>
    <t>The attribute materialUsage in the element &lt;supportEquipDescr&gt;, the element &lt;supplyDescr&gt; and the element &lt;spareDescr&gt; context shall not be used.</t>
  </si>
  <si>
    <t>Chap 3.9.5.2.1.9 Para 2.5.1.3</t>
  </si>
  <si>
    <t>BRDP-S1-00152</t>
  </si>
  <si>
    <t>Use of identification elements in the element &lt;supportEquipDescr&gt;, the element &lt;supplyDescr&gt; and the element &lt;spareDescr&gt; context</t>
  </si>
  <si>
    <t>Decide which of the elements &lt;catalogSeqNumberRef&gt;, &lt;natoStockNumber&gt;, &lt;identNumber&gt;, &lt;toolRef&gt;, &lt;supplyRef&gt;, &lt;supplyRqmtRef&gt;, &lt;partRef&gt;, &lt;functionalItemRef&gt; and &lt;materialSetRef&gt; to use for identification and how to populate these elements._x000D_</t>
  </si>
  <si>
    <t>002.005.001.003</t>
  </si>
  <si>
    <t>Required conditions tables shall refer to to dedicated SE and supplies data modules with referred fragments. The SE and sup' DMs shall include
Nomenclature, CSN, Part number, CAGE, NSN, ID number.</t>
  </si>
  <si>
    <t>Chap 3.9.5.2.1.9 Para 2.6.1</t>
  </si>
  <si>
    <t>BRDP-S1-00155</t>
  </si>
  <si>
    <t>Use of the attribute id on the element &lt;supplyDescr&gt; in the element &lt;preliminaryRqmts&gt;</t>
  </si>
  <si>
    <t>Decide whether to use the attribute id to create cross-references from the procedure to the supplies listed in Preliminary requirements. The attribute id on the element &lt;supplyDescr&gt; is used to establish the link between the two and will guarantee consistent use of identification throughout the procedure. The use of cross-references is encouraged._x000D_</t>
  </si>
  <si>
    <t>002.006.001</t>
  </si>
  <si>
    <t>The attribute id on the element &lt;supplyDescr&gt; in the element &lt;preliminaryRqmts&gt; shall be used.</t>
  </si>
  <si>
    <t>Chap 3.9.5.2.1.9 Para 2.7.1</t>
  </si>
  <si>
    <t>BRDP-S1-00156</t>
  </si>
  <si>
    <t>Use of the attribute id on the element &lt;sparesDescr&gt; in the element &lt;preliminaryRqmts&gt;</t>
  </si>
  <si>
    <t>Decide whether to use the attribute id to create cross-references from the procedure to the spares listed in Preliminary requirements. The attribute id on the element &lt;sparesDescr&gt; is used to establish the link between the two and will guarantee consistent identification throughout the procedure. The use of cross-references is encouraged._x000D_</t>
  </si>
  <si>
    <t>The attribute id on the element &lt;sparesDescr&gt; in the element &lt;preliminaryRqmts&gt; shall be used.</t>
  </si>
  <si>
    <t>Chap 3.9.5.2.1.9 Para 3.1</t>
  </si>
  <si>
    <t>BRDP-S1-00157</t>
  </si>
  <si>
    <t>Use of the element &lt;closeRqmts&gt; in the process data modules</t>
  </si>
  <si>
    <t>Decide whether to use the element &lt;closeRqmts&gt; in the process data modules._x000D_</t>
  </si>
  <si>
    <t>003.001</t>
  </si>
  <si>
    <t>NA: process data modules shall not be used.</t>
  </si>
  <si>
    <t>Chap 3.9.5.2.1.10 Para 2.1.1</t>
  </si>
  <si>
    <t>BRDP-S1-00158</t>
  </si>
  <si>
    <t>Use of the attribute circuitBreakerAction in text element &lt;circuitBreakerRef&gt;</t>
  </si>
  <si>
    <t>Decide whether to use the attribute circuitBreakerAction. If used, establish writing rules to ensure that authors will be consistent in the paragraph text and the value of the attribute itself._x000D_</t>
  </si>
  <si>
    <t>003.009.005.002.001.010</t>
  </si>
  <si>
    <t>The attribute circuitBreakerAction in text element &lt;circuitBreakerRef&gt; shall not be used.</t>
  </si>
  <si>
    <t>BRDP-S1-00159</t>
  </si>
  <si>
    <t>Use of the attribute checkSum in text element &lt;circuitBreakerRef&gt;</t>
  </si>
  <si>
    <t>Decide whether to use and how to populate the attribute checkSum._x000D_</t>
  </si>
  <si>
    <t>The attribute checkSum in text element &lt;circuitBreakerRef&gt; shall not be used.</t>
  </si>
  <si>
    <t>Chap 3.9.5.2.1.10 Para 2.1.3</t>
  </si>
  <si>
    <t>BRDP-S1-00160</t>
  </si>
  <si>
    <t>Types of inline significant data to markup using the attribute significantParaDataType in the text element &lt;inlineSignificantData&gt;</t>
  </si>
  <si>
    <t>Decide whether to use the attribute significantParaDataType and which types of data to mark up and in what contexts._x000D_
Note_x000D_
It must also be considered that data modules can be less portable if the paragraph significant data types are extended in the BREX file past the standard types._x000D_</t>
  </si>
  <si>
    <t>The attribute significantParaDataType in the text element &lt;inlineSignificantData&gt; shall not be used.</t>
  </si>
  <si>
    <t>Chap 3.9.5.2.1.10 Para 2.1.4.1</t>
  </si>
  <si>
    <t>BRDP-S1-00163</t>
  </si>
  <si>
    <t>Use of the value (element &lt;quantityValue&gt;) and tolerance (element &lt;quantityTolerance&gt;) decomposition in the text element &lt;quantity&gt;</t>
  </si>
  <si>
    <t>Decide whether and how to use to use the element &lt;quantityValue&gt; and the element &lt;quantityTolerance&gt; decomposition._x000D_</t>
  </si>
  <si>
    <t>002.001.004.001</t>
  </si>
  <si>
    <t>The element &lt;quantityValue&gt; and the element &lt;quantityTolerance&gt; decomposition shall not be used.</t>
  </si>
  <si>
    <t>BRDP-S1-00164</t>
  </si>
  <si>
    <t>Unit of measure to be used</t>
  </si>
  <si>
    <t>If using the value and tolerance decomposition, decide at which level of the markup the attribute quantityUnitOfMeasure must be included. Allowable locations are on the parent element &lt;quantityGroup&gt; which applies to all child elements or on the individual child elements &lt;quantityValue&gt; and &lt;quantityTolerance&gt;. A consistent usage of the attribute quantityUnitOfMeasure is required to produce a consistent display or printout to the user._x000D_</t>
  </si>
  <si>
    <t>Chap 3.9.5.2.1.10 Para 2.1.5</t>
  </si>
  <si>
    <t>BRDP-S1-00166</t>
  </si>
  <si>
    <t>Use of the element &lt;zoneRef&gt;</t>
  </si>
  <si>
    <t>Decide whether and how to use the element &lt;zoneRef&gt;. Consideration for duplication and mismatch of data given in the maintenance planning information has to be taken._x000D_</t>
  </si>
  <si>
    <t>002.001.005</t>
  </si>
  <si>
    <t>The element &lt;zoneRef&gt; shall not be used.</t>
  </si>
  <si>
    <t>Chap 3.9.5.2.1.10 Para 2.1.6</t>
  </si>
  <si>
    <t>BRDP-S1-00167</t>
  </si>
  <si>
    <t>Use of the element &lt;accessPointRef&gt;</t>
  </si>
  <si>
    <t>Decide whether and how to use the element &lt;accessPointRef&gt;. Consideration for duplication and mismatch of data given in the maintenance planning information has to be taken._x000D_</t>
  </si>
  <si>
    <t>002.001.006</t>
  </si>
  <si>
    <t>The element &lt;accessPointRef&gt; shall not be used.</t>
  </si>
  <si>
    <t>Chap 3.9.5.2.1.10 Para 2.1.7</t>
  </si>
  <si>
    <t>BRDP-S1-00169</t>
  </si>
  <si>
    <t>Use of the text element &lt;indexFlag&gt;</t>
  </si>
  <si>
    <t>Decide whether a publishing index is required and to what index level._x000D_</t>
  </si>
  <si>
    <t>002.001.007</t>
  </si>
  <si>
    <t>The text element &lt;indexFlag&gt; shall not be used.</t>
  </si>
  <si>
    <t>Chap 3.9.5.2.1.10 Para 2.1.9</t>
  </si>
  <si>
    <t>BRDP-S1-00171</t>
  </si>
  <si>
    <t>Use of the symbols</t>
  </si>
  <si>
    <t>Decide whether and how to use symbols using the text element &lt;symbol&gt;._x000D_</t>
  </si>
  <si>
    <t>002.001.009</t>
  </si>
  <si>
    <t>Symbols shall be used and are discussed in the NCIA S1000D Agency Instruction.</t>
  </si>
  <si>
    <t>Chap 3.9.5.2.1.10 Para 2.1.12</t>
  </si>
  <si>
    <t>BRDP-S1-00172</t>
  </si>
  <si>
    <t>Use of footnotes</t>
  </si>
  <si>
    <t>Decide whether and how to use the text element &lt;footnote&gt; and when used, decide whether the use of footnotes is limited to regular text and titles (inline) and/or to tables (table footnotes)._x000D_</t>
  </si>
  <si>
    <t>002.001.012</t>
  </si>
  <si>
    <t>Footnotes shall not be used.</t>
  </si>
  <si>
    <t>BRDP-S1-00173</t>
  </si>
  <si>
    <t>Types of footnote markers</t>
  </si>
  <si>
    <t>Decide on the types of footnote markers (attribute footnoteMark) to use. It is recommended to use:_x000D_
only one type of footnote marker for each of the table footnotes and the inline footnotes throughout a project_x000D_
superscripted numbers for both_x000D_</t>
  </si>
  <si>
    <t>Chap 3.9.5.2.1.10 Para 2.5.3</t>
  </si>
  <si>
    <t>BRDP-S1-00560</t>
  </si>
  <si>
    <t>Identification of parts</t>
  </si>
  <si>
    <t>Decide whether the project can use OEM renamed part numbers instead of part numbers allocated by the part design authority in the attribute partNumberValue._x000D_</t>
  </si>
  <si>
    <t>002.005.003</t>
  </si>
  <si>
    <t>The attribute partNumberValue shall contain the part numbers allocated by the part design authority.</t>
  </si>
  <si>
    <t>PARTNUMBERVALUE ATTRIBUTE</t>
  </si>
  <si>
    <t>Chap 3.9.5.2.1.11 Para 2</t>
  </si>
  <si>
    <t>BRDP-S1-00176</t>
  </si>
  <si>
    <t>Presentation of controlled content</t>
  </si>
  <si>
    <t>Decide how to present controlled content using the attributes authorityName and authorityDocument._x000D_</t>
  </si>
  <si>
    <t>003.009.005.002.001.011</t>
  </si>
  <si>
    <t>NEW. To be defined</t>
  </si>
  <si>
    <t>Chap 3.9.5.2.1.12 Para 2.1</t>
  </si>
  <si>
    <t>BRDP-S1-00177</t>
  </si>
  <si>
    <t>Use of common information</t>
  </si>
  <si>
    <t>Decide whether to use the element &lt;commonInfo&gt; in business rules exchange, common repositories, fault, maintenance checklist, maintenance planning, procedural, process, and service bulletin data modules. If decided to be used, then determine the circumstances for its use for each related data module type, and give guidance and rules that will make sure it is consistently used._x000D_</t>
  </si>
  <si>
    <t>003.009.005.002.001.012</t>
  </si>
  <si>
    <t>The element &lt;commonInfo&gt; shall not be used.</t>
  </si>
  <si>
    <t>Chap 3.9.5.2.1.12 Para 2.1.1.2</t>
  </si>
  <si>
    <t>BRDP-S1-00178</t>
  </si>
  <si>
    <t>Markup method for common information text</t>
  </si>
  <si>
    <t>Decide which markup method to use for common information text:_x000D_
the method containing &lt;note&gt;, &lt;para&gt; and &lt;commonInfoDescrPara&gt;_x000D_
or_x000D_
the method containing only &lt;commonInfoDescrPara&gt;_x000D_</t>
  </si>
  <si>
    <t>002.001.001.002</t>
  </si>
  <si>
    <t>Chap 3.9.5.2.2 Para 2.4</t>
  </si>
  <si>
    <t>BRDP-S1-00180</t>
  </si>
  <si>
    <t>Maximum number of subordinate levelled paragraphs in a descriptive data module</t>
  </si>
  <si>
    <t>Decide on the maximum number of levelled paragraphs allowed in a descriptive data module. Exceeding five levels of depth is strongly discouraged in development of new data. It is recommended that additional levels are only used in a conversion effort where the existing data is authored to this depth (maximum eight levels) and restructuring of data is not feasible._x000D_</t>
  </si>
  <si>
    <t>003.009.005.002.002</t>
  </si>
  <si>
    <t>Maximum five subordinate levelled paragraphs in a descriptive data module.</t>
  </si>
  <si>
    <t>DESCRIPTIVE 5 LEVELS</t>
  </si>
  <si>
    <t>BRDP-S1-00181</t>
  </si>
  <si>
    <t>Minimum levelled para occurrences</t>
  </si>
  <si>
    <t>Decide whether to impose a minimum of two occurrences of child elements &lt;levelledPara&gt; and/or &lt;levelledParaAlts&gt;._x000D_</t>
  </si>
  <si>
    <t>Minimum of two occurrences of child elements &lt;levelledPara&gt; and/or &lt;levelledParaAlts&gt;.</t>
  </si>
  <si>
    <t>Chap 3.9.5.2.3 Para 2.4</t>
  </si>
  <si>
    <t>BRDP-S1-00185</t>
  </si>
  <si>
    <t>Use of the alternates concept within the element &lt;mainProcedure&gt;</t>
  </si>
  <si>
    <t>Decide whether to use the alternates concept for steps, figures and multimedia within the element &lt;mainProcedure&gt;. This concerns the child elements &lt;proceduralStepAlts&gt; (refer to Para 2.4.2), &lt;figureAlts&gt; (refer to Chap 3.9.5.2.1.7) and &lt;multimediaAlts&gt; (refer to Chap 3.9.5.2.1.7)._x000D_</t>
  </si>
  <si>
    <t>003.009.005.002.003</t>
  </si>
  <si>
    <t>The alternates concept within the element &lt;mainProcedure&gt; shall not be used.</t>
  </si>
  <si>
    <t>Chap 3.9.5.2.3 Para 2.4.1</t>
  </si>
  <si>
    <t>BRDP-S1-00186</t>
  </si>
  <si>
    <t>Maximum number of step levels in a procedure</t>
  </si>
  <si>
    <t>Decide on the maximum number of step levels allowed in a procedure. Exceeding five levels of depth is strongly discouraged in development of new data. It is recommended that additional levels are only used in a conversion effort where the existing data is authored to this depth (maximum eight levels) and restructuring of data is not feasible._x000D_</t>
  </si>
  <si>
    <t>Maximum five step levels in a procedure; reccomended = two.</t>
  </si>
  <si>
    <t>PROCEDURAL 5 LEVELS, 2 RECOMMENDED</t>
  </si>
  <si>
    <t>BRDP-S1-00187</t>
  </si>
  <si>
    <t>Minimum number of substeps in a step</t>
  </si>
  <si>
    <t>Decide whether to allow for a single substep, or to insist on a minimum of two substeps in a step._x000D_
Note_x000D_
The Schema allows for a single substep._x000D_</t>
  </si>
  <si>
    <t>Single substeps shall not be used; minimum two.</t>
  </si>
  <si>
    <t>Chap 3.9.5.2.4 Para 2.5.7.1.5</t>
  </si>
  <si>
    <t>BRDP-S1-00192</t>
  </si>
  <si>
    <t>Use of correlation fault concept</t>
  </si>
  <si>
    <t>Decide whether to use the correlated fault concept._x000D_</t>
  </si>
  <si>
    <t>003.009.005.002.004</t>
  </si>
  <si>
    <t>002.005.007.001.005</t>
  </si>
  <si>
    <t>The correlation fault concept shall not be used.</t>
  </si>
  <si>
    <t>BRDP-S1-00193</t>
  </si>
  <si>
    <t>Use of correlated fault messages and warnings</t>
  </si>
  <si>
    <t>Decide how to populate the elements &lt;warningMalfunction&gt;, &lt;assocWarningMalfunction&gt; and &lt;bitMessage&gt; when using the correlated fault concept._x000D_</t>
  </si>
  <si>
    <t>BRDP-S1-00194</t>
  </si>
  <si>
    <t>Use of detection and description information elements</t>
  </si>
  <si>
    <t>Decide whether the repetition of the detection and description information for the basic fault which has been correlated (elements &lt;faultDescr&gt; and &lt;detectionInfo&gt;) is used. Projects can consider that the detection and description information can for example be populated during IETP generation by picking up the information in the detected fault list data module describing the basic faults._x000D_</t>
  </si>
  <si>
    <t>Chap 3.9.5.2.4 Para 2.6.1.2</t>
  </si>
  <si>
    <t>BRDP-S1-00195</t>
  </si>
  <si>
    <t>Use of the attribute independentCheck on the elements &lt;isolationProcedure&gt;, &lt;isolationStep&gt; and &lt;isolationProcedureEnd&gt;</t>
  </si>
  <si>
    <t>Decide whether to use the attribute independentCheck, which values to use and allocate suitable definitions._x000D_</t>
  </si>
  <si>
    <t>002.006.001.002</t>
  </si>
  <si>
    <t>The attribute independentCheck shall not be used.</t>
  </si>
  <si>
    <t>Chap 3.9.5.2.5 Para 2.4.1.2</t>
  </si>
  <si>
    <t>BRDP-S1-00562</t>
  </si>
  <si>
    <t>Use of the top level preliminary requirements construct for maintenance inspections</t>
  </si>
  <si>
    <t>Decide whether to use the top level preliminary requirements for maintenance inspections._x000D_</t>
  </si>
  <si>
    <t>003.009.005.002.005</t>
  </si>
  <si>
    <t>002.004.001.002</t>
  </si>
  <si>
    <t xml:space="preserve">Top-level preliminary requirements for maintenance inspections shall not be used.
</t>
  </si>
  <si>
    <t>Chap 3.9.5.2.5 Para 2.5.1.1.4</t>
  </si>
  <si>
    <t>BRDP-S1-00197</t>
  </si>
  <si>
    <t>Values for the attribute inspectionTypeCategory</t>
  </si>
  <si>
    <t>Decide which values to use for the attribute inspectionTypeCategory and allocate suitable definitions._x000D_</t>
  </si>
  <si>
    <t>002.005.001.001.004</t>
  </si>
  <si>
    <t>The attribute inspectionTypeCategory shall not be used.</t>
  </si>
  <si>
    <t>Chap 3.9.5.2.5 Para 2.5.2</t>
  </si>
  <si>
    <t>BRDP-S1-00198</t>
  </si>
  <si>
    <t>Methodology of assigning tasks into the element &lt;taskGroup&gt;</t>
  </si>
  <si>
    <t>Decide on a methodology of assigning tasks to groups._x000D_</t>
  </si>
  <si>
    <t>The element &lt;taskGroup&gt; shall not be used.</t>
  </si>
  <si>
    <t>Chap 3.9.5.2.5 Para 2.5.2.1.3</t>
  </si>
  <si>
    <t>BRDP-S1-00199</t>
  </si>
  <si>
    <t>Values for the attribute markerType</t>
  </si>
  <si>
    <t>Decide which values to use for the attribute markerType and allocate suitable definitions._x000D_</t>
  </si>
  <si>
    <t>002.005.002.001.003</t>
  </si>
  <si>
    <t>Chap 3.9.5.2.5 Para 2.6.1</t>
  </si>
  <si>
    <t>BRDP-S1-00202</t>
  </si>
  <si>
    <t>Values for the attribute sourceOfRqmt</t>
  </si>
  <si>
    <t>Decide which values to use for the attribute sourceOfRqmt and allocate suitable definitions._x000D_</t>
  </si>
  <si>
    <t>Chap 3.9.5.2.5 Para 2.6.2</t>
  </si>
  <si>
    <t>BRDP-S1-00204</t>
  </si>
  <si>
    <t>Use of the element &lt;preliminaryRqmts&gt; in the element &lt;taskDefinition&gt;</t>
  </si>
  <si>
    <t>Decide whether to use the element &lt;preliminaryRqmts&gt; in the context of task definition._x000D_</t>
  </si>
  <si>
    <t>002.006.002</t>
  </si>
  <si>
    <t>Chap 3.9.5.2.5 Para 2.8.2</t>
  </si>
  <si>
    <t>BRDP-S1-00563</t>
  </si>
  <si>
    <t>Use of the attribute timeLimitCategoryValue</t>
  </si>
  <si>
    <t>In case standard descriptions are not applicable, describe how the values "1" and "2", respectively, will be used for the attribute timeLimitCategoryValue._x000D_</t>
  </si>
  <si>
    <t>002.008.002</t>
  </si>
  <si>
    <t>The attribute timeLimitCategoryValue shall not be used.</t>
  </si>
  <si>
    <t>Chap 3.9.5.2.7 Para 2.5.5</t>
  </si>
  <si>
    <t>BRDP-S1-00219</t>
  </si>
  <si>
    <t>Use of the element &lt;partSegment&gt; in the element &lt;itemSeqNumber&gt;</t>
  </si>
  <si>
    <t>Decide whether to use the element &lt;partSegment&gt; to store the part data in the IPD data module each time the part is listed, or store the part data once externally in the part CIR data module._x000D_
Note_x000D_
The element &lt;partSegment&gt; must be used for S2000M IPD data modules._x000D_</t>
  </si>
  <si>
    <t>003.009.005.002.007</t>
  </si>
  <si>
    <t>002.005.005</t>
  </si>
  <si>
    <t>The element &lt;partSegment&gt; in the element &lt;itemSeqNumber&gt; shall be used.</t>
  </si>
  <si>
    <t>Chap 3.9.5.2.7 Para 2.5.5.3.4</t>
  </si>
  <si>
    <t>BRDP-S1-00221</t>
  </si>
  <si>
    <t>Use of the element &lt;physicalSecurityPilferageCode&gt; in the element &lt;techData&gt; within the element &lt;itemSeqNumber&gt;</t>
  </si>
  <si>
    <t>Decide whether and how to use the element &lt;physicalSecurityPilferageCode&gt;. S2000M lists the possible codes in the data definition for physical security pilferage code (PSC)._x000D_</t>
  </si>
  <si>
    <t>002.005.005.003.004</t>
  </si>
  <si>
    <t>The element &lt;physicalSecurityPilferageCode&gt; in the element &lt;techData&gt; within the element &lt;itemSeqNumber&gt; shall not be used.</t>
  </si>
  <si>
    <t>Chap 3.9.5.2.7 Para 2.5.5.3.7</t>
  </si>
  <si>
    <t>BRDP-S1-00222</t>
  </si>
  <si>
    <t>Use of the attribute unitOfMeasure in the element &lt;unitOfIssueQualificationSegment&gt; within the element &lt;techData&gt;</t>
  </si>
  <si>
    <t>Decide on the range and definitions of the values for the attribute unitOfMeasure._x000D_
Note_x000D_
When the IPD data modules are created from S2000M, the list of allowed unit of measure (UOM) values must contain those defined in the data definition in S2000M. When S2000M is used, it is strongly recommended to use the S2000M UOM values throughout the project._x000D_</t>
  </si>
  <si>
    <t>002.005.005.003.007</t>
  </si>
  <si>
    <t>The attribute unitOfMeasure in the element shall not be used.</t>
  </si>
  <si>
    <t>UOM</t>
  </si>
  <si>
    <t>Chap 3.9.5.2.7 Para 2.5.5.4.3</t>
  </si>
  <si>
    <t>BRDP-S1-00223</t>
  </si>
  <si>
    <t>Use of the element &lt;optionalPart&gt; in the element &lt;partRefGroup&gt; within the element &lt;itemSeqNumber&gt;</t>
  </si>
  <si>
    <t>Decide on the method of identification of the optional part._x000D_</t>
  </si>
  <si>
    <t>002.005.005.004.003</t>
  </si>
  <si>
    <t>The element &lt;optionalPart&gt; in the element &lt;partRefGroup&gt; within the element &lt;itemSeqNumber&gt; shall be used to list alternative part numbers.</t>
  </si>
  <si>
    <t>Chap 3.9.5.2.7 Para 2.5.5.4.4</t>
  </si>
  <si>
    <t>BRDP-S1-00224</t>
  </si>
  <si>
    <t>Use of the element &lt;preferredSparePart&gt; in the element &lt;partRefGroup&gt; within the element &lt;itemSeqNumber&gt;</t>
  </si>
  <si>
    <t>Decide on the method of identification of the preferred spare part._x000D_</t>
  </si>
  <si>
    <t>002.005.005.004.004</t>
  </si>
  <si>
    <t>The element &lt;preferredSparePart&gt; in the element &lt;partRefGroup&gt; within the element &lt;itemSeqNumber&gt; may be used to identify the preferred part when alternatives are available.</t>
  </si>
  <si>
    <t>Chap 3.9.5.2.7 Para 2.5.5.4.5</t>
  </si>
  <si>
    <t>BRDP-S1-00225</t>
  </si>
  <si>
    <t>Use of the element &lt;alteredFromPart&gt; in the element &lt;partRefGroup&gt; within the element &lt;itemSeqNumber&gt;</t>
  </si>
  <si>
    <t>Decide on the method of identification of the altered from part._x000D_</t>
  </si>
  <si>
    <t>002.005.005.004.005</t>
  </si>
  <si>
    <t>The element &lt;alteredFromPart&gt; in the element &lt;partRefGroup&gt; within the element &lt;itemSeqNumber&gt; shall not be used.</t>
  </si>
  <si>
    <t>Chap 3.9.5.2.7 Para 2.5.5.4.7</t>
  </si>
  <si>
    <t>BRDP-S1-00226</t>
  </si>
  <si>
    <t>Use of the element &lt;localFabricationMaterial&gt;</t>
  </si>
  <si>
    <t>Decide on the method of identification of the local fabrication material._x000D_</t>
  </si>
  <si>
    <t>002.005.005.004.007</t>
  </si>
  <si>
    <t>The element &lt;localFabricationMaterial&gt; shall not be used.</t>
  </si>
  <si>
    <t>Chap 3.9.5.2.7 Para 2.5.7.1</t>
  </si>
  <si>
    <t>BRDP-S1-00229</t>
  </si>
  <si>
    <t>Use of the element &lt;usableOnCodeEquip&gt; in the element &lt;applicabilitySegment&gt; within the element &lt;itemSeqNumber&gt;</t>
  </si>
  <si>
    <t>Decide whether and how to use the element &lt;usableOnCodeEquip&gt;. If used, decide on the values and their definitions. S2000M lists the possible codes and their usage in the data definition for usable on code equipment (UCE)._x000D_</t>
  </si>
  <si>
    <t>002.005.007.001</t>
  </si>
  <si>
    <t>Where applicable, the value shall be defined in the project specific IPSP or TPDP.</t>
  </si>
  <si>
    <t>Chap 3.9.5.2.7 Para 2.5.7.2</t>
  </si>
  <si>
    <t>BRDP-S1-00230</t>
  </si>
  <si>
    <t>Use of the element &lt;usableOnCodeAssy&gt; in the element &lt;applicabilitySegment&gt; within the element &lt;itemSeqNumber&gt;</t>
  </si>
  <si>
    <t>Decide whether and how to use the element &lt;usableOnCodeAssy&gt;. If used, decide on the values and their definitions. S2000M lists the possible codes and their usage in the data definition for usable on code assembly (UCA)._x000D_</t>
  </si>
  <si>
    <t>002.005.007.002</t>
  </si>
  <si>
    <t>The &lt;usableOnCodeAssy&gt; element shall be used. Where applicable the value shall be captured from S2000M.</t>
  </si>
  <si>
    <t>Chap 3.9.5.2.7 Para 2.5.7.3</t>
  </si>
  <si>
    <t>BRDP-S1-00231</t>
  </si>
  <si>
    <t>Use of the element &lt;interchangeability&gt; in the element &lt;applicabilitySegment&gt; within the element &lt;itemSeqNumber&gt;</t>
  </si>
  <si>
    <t>Decide whether and how to use the element &lt;interchangeability&gt;. If used, decide on the values and their definitions. S2000M lists the possible codes and their usage in the definition for interchangeability (ICY)._x000D_</t>
  </si>
  <si>
    <t>002.005.007.003</t>
  </si>
  <si>
    <t>The &lt;interchangeability&gt; element shall be used. Where applicable the value shall be captured from S2000M.</t>
  </si>
  <si>
    <t>Chap 3.9.5.2.7 Para 2.5.9.2</t>
  </si>
  <si>
    <t>BRDP-S1-00232</t>
  </si>
  <si>
    <t>Use of the element &lt;service&gt; in the element &lt;locationRcmdSegment&gt; within the element &lt;itemSeqNumber&gt;</t>
  </si>
  <si>
    <t>Decide on the values and definitions of the third character of the element &lt;service&gt;._x000D_</t>
  </si>
  <si>
    <t>002.005.009.002</t>
  </si>
  <si>
    <t>The value “N” shall be the only allowed third character of the initial provisioning project</t>
  </si>
  <si>
    <t>Chap 3.9.5.2.7 Para 2.5.9.3</t>
  </si>
  <si>
    <t>BRDP-S1-00233</t>
  </si>
  <si>
    <t>Use of the element &lt;sourceMaintRecoverability&gt; in the element &lt;locationRcmdSegment&gt; within the element &lt;itemSeqNumber&gt;</t>
  </si>
  <si>
    <t>Decide which values to use for the sixth character of the element &lt;sourceMaintRecoverability&gt; and allocate suitable definitions._x000D_</t>
  </si>
  <si>
    <t>002.005.009.003</t>
  </si>
  <si>
    <t>SMR Codes are defined in the LSA Agency Instruction.</t>
  </si>
  <si>
    <t>SMR CODE</t>
  </si>
  <si>
    <t>Chap 3.9.5.2.7 Para 2.5.9.4</t>
  </si>
  <si>
    <t>BRDP-S1-00234</t>
  </si>
  <si>
    <t>Use of the element &lt;modelVersion&gt; in the element &lt;locationRcmdSegment&gt; within the element &lt;itemSeqNumber&gt;</t>
  </si>
  <si>
    <t>Decide whether and how to use the element &lt;modelVersion&gt;. If used, decide on the values and their definitions._x000D_</t>
  </si>
  <si>
    <t>002.005.009.004</t>
  </si>
  <si>
    <t>The element &lt;modelVersion&gt; may be used. When used, it shall be defined in the project-specific IPSP or TPDP.</t>
  </si>
  <si>
    <t>&lt;MODELVERSION&gt;</t>
  </si>
  <si>
    <t>Chap 3.9.5.2.7 Para 2.5.9.5</t>
  </si>
  <si>
    <t>BRDP-S1-00235</t>
  </si>
  <si>
    <t>Use of the element &lt;effectivity&gt; in the element &lt;locationRcmdSegment&gt; within the element &lt;itemSeqNumber&gt;</t>
  </si>
  <si>
    <t>Decide whether and how to use the element &lt;effectivity&gt;. If used, decide on its range and the definition of the values to be used._x000D_</t>
  </si>
  <si>
    <t>002.005.009.005</t>
  </si>
  <si>
    <t>When the model version element is used, the element &lt;effectivity&gt; shall be used and defined in the project-specific IPSP or TPDP.</t>
  </si>
  <si>
    <t>Chap 3.9.5.2.7 Para 2.5.12</t>
  </si>
  <si>
    <t>BRDP-S1-00237</t>
  </si>
  <si>
    <t>Use of BREX to define the non-S2000M elements</t>
  </si>
  <si>
    <t>Decide whether to use BREX for the definition of the non-S2000M elements._x000D_</t>
  </si>
  <si>
    <t>002.005.012</t>
  </si>
  <si>
    <t xml:space="preserve">The BREXshall not be used for the definition of the non-S2000M elements.
</t>
  </si>
  <si>
    <t>Chap 3.9.5.2.9.2 Para 2.3.1.1</t>
  </si>
  <si>
    <t>BRDP-S1-00239</t>
  </si>
  <si>
    <t>Use of the element &lt;wireType&gt;</t>
  </si>
  <si>
    <t>Decide on the definition of wire type content/codes._x000D_</t>
  </si>
  <si>
    <t>003.009.005.002.009.002</t>
  </si>
  <si>
    <t>Not applicable. The wiring data description data module shall not be used.</t>
  </si>
  <si>
    <t>Chap 3.9.5.2.9.2 Para 2.3.4</t>
  </si>
  <si>
    <t>BRDP-S1-00240</t>
  </si>
  <si>
    <t>Use of the element &lt;wireSeqNumber&gt;</t>
  </si>
  <si>
    <t>Decide whether and how to use the wire sequential number._x000D_
Note_x000D_
The element &lt;wireSeqNumber&gt; must be used if the wire sequential number is not given in the element &lt;wireNumber&gt;._x000D_</t>
  </si>
  <si>
    <t>002.003.004</t>
  </si>
  <si>
    <t>Chap 3.9.5.2.9.4 Para 2.6.1</t>
  </si>
  <si>
    <t>BRDP-S1-00241</t>
  </si>
  <si>
    <t>Use of the element &lt;electricalEquipConnection&gt;</t>
  </si>
  <si>
    <t>Decide whether and how to use electrical equipment connection information, in particular define the values of attribute connectionType consistently._x000D_</t>
  </si>
  <si>
    <t>003.009.005.002.009.004</t>
  </si>
  <si>
    <t>Chap 3.9.5.2.10.1 Para 2.3.1.9</t>
  </si>
  <si>
    <t>BRDP-S1-00244</t>
  </si>
  <si>
    <t>Use of applicability for variables in process data modules</t>
  </si>
  <si>
    <t>Decide on the level of applicability filtering. This is established based on viewer capability and portability of the data._x000D_</t>
  </si>
  <si>
    <t>003.009.005.002.010.001</t>
  </si>
  <si>
    <t>002.003.001.009</t>
  </si>
  <si>
    <t>Chap 3.9.5.2.10.2 Para 2.2</t>
  </si>
  <si>
    <t>BRDP-S1-00246</t>
  </si>
  <si>
    <t>Use of dialogs to declare unassigned variables in process data modules</t>
  </si>
  <si>
    <t>Decide whether to use a dialog to assign values to an unassigned variable._x000D_</t>
  </si>
  <si>
    <t>003.009.005.002.010.002</t>
  </si>
  <si>
    <t>BRDP-S1-00247</t>
  </si>
  <si>
    <t>Use of default values in a dialog in process data modules</t>
  </si>
  <si>
    <t>Decide whether a variable default value will be displayed in a dialog._x000D_</t>
  </si>
  <si>
    <t>Chap 3.9.5.2.10.3 Para 2.2</t>
  </si>
  <si>
    <t>BRDP-S1-00248</t>
  </si>
  <si>
    <t>Use of the attribute variableName in the element &lt;variable&gt; in process data modules</t>
  </si>
  <si>
    <t>Decide on naming conventions to be used in setting variable names._x000D_</t>
  </si>
  <si>
    <t>003.009.005.002.010.003</t>
  </si>
  <si>
    <t>BRDP-S1-00249</t>
  </si>
  <si>
    <t>Use of the attribute variableType in the element &lt;variable&gt; in process data modules</t>
  </si>
  <si>
    <t>Decide whether to use the attribute variableType and decide on the rules for selection of the defined values._x000D_</t>
  </si>
  <si>
    <t>Chap 3.9.5.2.11.1 Para 2.1.1.6</t>
  </si>
  <si>
    <t>BRDP-S1-00251</t>
  </si>
  <si>
    <t>Use of the attribute altNumber in the functional items CIR</t>
  </si>
  <si>
    <t>Decide whether to use the attribute altNumber, which values to use and allocate suitable definitions to the values._x000D_</t>
  </si>
  <si>
    <t>003.009.005.002.011.001</t>
  </si>
  <si>
    <t>002.001.001.006</t>
  </si>
  <si>
    <t>NA: functional items CIR data modules shall not be used.</t>
  </si>
  <si>
    <t>Chap 3.9.5.2.11.2 Para 2.1.1.4</t>
  </si>
  <si>
    <t>BRDP-S1-00252</t>
  </si>
  <si>
    <t>Use of the attribute altNumber in the circuit breakers CIR</t>
  </si>
  <si>
    <t>003.009.005.002.011.002</t>
  </si>
  <si>
    <t>002.001.001.004</t>
  </si>
  <si>
    <t>NA: circuit breaker CIR data modules shall not be used.</t>
  </si>
  <si>
    <t>Chap 3.9.5.2.11.4 Para 2.1.1.2</t>
  </si>
  <si>
    <t>BRDP-S1-00253</t>
  </si>
  <si>
    <t>Use of the attribute zoneRefType</t>
  </si>
  <si>
    <t>Decide which values (eg, subzones) to use for the attribute zoneRefType and allocate suitable definitions to the values._x000D_</t>
  </si>
  <si>
    <t>003.009.005.002.011.004</t>
  </si>
  <si>
    <t>NA: zoning shall not be used.</t>
  </si>
  <si>
    <t>Chap 3.9.5.2.11.4 Para 2.1.1.4</t>
  </si>
  <si>
    <t>BRDP-S1-00254</t>
  </si>
  <si>
    <t>Use of the attribute altNumber in the zones CIR</t>
  </si>
  <si>
    <t>Chap 3.9.5.2.11.5 Para 2.1.1.2</t>
  </si>
  <si>
    <t>BRDP-S1-00255</t>
  </si>
  <si>
    <t>Use of the attribute accessPointRefType</t>
  </si>
  <si>
    <t>Decide which values (eg, subaccess points) to use for the attribute accessPointRefType and allocate suitable definitions to the values._x000D_</t>
  </si>
  <si>
    <t>003.009.005.002.011.005</t>
  </si>
  <si>
    <t>Chap 3.9.5.2.11.5 Para 2.1.1.4</t>
  </si>
  <si>
    <t>BRDP-S1-00256</t>
  </si>
  <si>
    <t>Use of the attribute altNumber in the access points CIR</t>
  </si>
  <si>
    <t>Chap 3.9.5.2.11.9 Para 2.1.1.2</t>
  </si>
  <si>
    <t>BRDP-S1-00260</t>
  </si>
  <si>
    <t>Use of the attribute toolRefType in the tools CIR</t>
  </si>
  <si>
    <t>Decide which values to use for the attribute toolRefType and allocate suitable definitions to the values._x000D_</t>
  </si>
  <si>
    <t>003.009.005.002.011.009</t>
  </si>
  <si>
    <t>NA: tools CIR data modules shall not be used.</t>
  </si>
  <si>
    <t>Chap 3.9.5.2.11.9 Para 2.1.1.4</t>
  </si>
  <si>
    <t>BRDP-S1-00261</t>
  </si>
  <si>
    <t>Use of the attribute altNumber in the tools CIR</t>
  </si>
  <si>
    <t>Chap 3.9.5.2.11.9 Para 2.1.1.4.2</t>
  </si>
  <si>
    <t>BRDP-S1-00262</t>
  </si>
  <si>
    <t>Use of the attribute taskCategoryCode in the tools CIR</t>
  </si>
  <si>
    <t>Decide which values (eg, servicing, maintenance, overhaul, repair) to use for the attribute taskCategoryCode and allocate suitable definitions to the values._x000D_</t>
  </si>
  <si>
    <t>002.001.001.004.002</t>
  </si>
  <si>
    <t>Chap 3.9.5.2.11.10 Para 2.1.1.1</t>
  </si>
  <si>
    <t>BRDP-S1-00263</t>
  </si>
  <si>
    <t>Use of the attribute systemDiffCode in the element &lt;functionalPhysicalAreaIdent&gt;</t>
  </si>
  <si>
    <t>Decide whether to apply the system difference code in the functional and/or physical areas CIR data module._x000D_</t>
  </si>
  <si>
    <t>003.009.005.002.011.010</t>
  </si>
  <si>
    <t>002.001.001.001</t>
  </si>
  <si>
    <t>NA: zoning CIR shall not be used.</t>
  </si>
  <si>
    <t>BRDP-S1-00264</t>
  </si>
  <si>
    <t>Use of the attributes disassyCode and disassyCodeVariant in the element &lt;functionalPhysicalAreaIdent&gt;</t>
  </si>
  <si>
    <t>Decide whether to apply the disassembly code and disassembly variant code in the functional and/or physical areas CIR data module._x000D_</t>
  </si>
  <si>
    <t>Chap 3.9.5.2.13 Para 2.3</t>
  </si>
  <si>
    <t>BRDP-S1-00561</t>
  </si>
  <si>
    <t>Use of titles in the Learning data module</t>
  </si>
  <si>
    <t>In the substructures of the Learning data module, decide to what extent optional occurrences of the element &lt;title&gt; can be used and how given titles and generated titles must be presented to achieve a readable presentation of the information._x000D_</t>
  </si>
  <si>
    <t>003.009.005.002.013</t>
  </si>
  <si>
    <t>NA: Learning data modules shall not be used.</t>
  </si>
  <si>
    <t>Chap 3.9.5.2.13.1 Para 2</t>
  </si>
  <si>
    <t>BRDP-S1-00267</t>
  </si>
  <si>
    <t>Conducting a performance analysis</t>
  </si>
  <si>
    <t>Decide whether to conduct a performance analysis to determine factors that can affect performance and gaps in job performance or a training needs analysis to determine training requirements._x000D_</t>
  </si>
  <si>
    <t>003.009.005.002.013.001</t>
  </si>
  <si>
    <t>BRDP-S1-00268</t>
  </si>
  <si>
    <t>Developing learning objectives</t>
  </si>
  <si>
    <t>Decide whether to develop learning objectives in accordance with task analysis items. Learning objectives ought to be developed in accordance with task analysis items that support system maintenance and operational procedures. Aligning learning objectives with task analysis items in the early content preplanning stages will foster reusable data and content alignment. Refer to Chap 3.9.7 for content preplanning discussions._x000D_</t>
  </si>
  <si>
    <t>BRDP-S1-00269</t>
  </si>
  <si>
    <t>Packaging lesson plans in SCORM content package modules</t>
  </si>
  <si>
    <t>Decide whether to package lesson plans in SCORM content package modules._x000D_</t>
  </si>
  <si>
    <t>Chap 3.9.5.2.13.1 Para 2.2</t>
  </si>
  <si>
    <t>BRDP-S1-00270</t>
  </si>
  <si>
    <t>Define life cycle need for performance analysis data</t>
  </si>
  <si>
    <t>Define the life cycle need for analysis information and requirements resulting from a performance analysis for the client organization and human performance system affected by the product._x000D_</t>
  </si>
  <si>
    <t>BRDP-S1-00271</t>
  </si>
  <si>
    <t>Define life cycle need for training needs analysis data</t>
  </si>
  <si>
    <t>Define the life cycle need for analysis information and requirements resulting from a training needs analysis for a training intervention._x000D_</t>
  </si>
  <si>
    <t>Chap 3.9.5.2.13.5 Para 2.4</t>
  </si>
  <si>
    <t>BRDP-S1-00273</t>
  </si>
  <si>
    <t>Use of the attribute weightingFactor</t>
  </si>
  <si>
    <t>Decide whether to assign weighted values to individual interactions._x000D_</t>
  </si>
  <si>
    <t>003.009.005.002.013.005</t>
  </si>
  <si>
    <t>BRDP-S1-00274</t>
  </si>
  <si>
    <t>Use of the attribute attempts</t>
  </si>
  <si>
    <t>Decide whether to allow multiple response attempts for interaction items._x000D_</t>
  </si>
  <si>
    <t>Chap 3.9.5.2.14 Para 2.3.1.3.5</t>
  </si>
  <si>
    <t>BRDP-S1-00279</t>
  </si>
  <si>
    <t>Define maximum number of steps levels in &lt;checkListProcedure&gt;</t>
  </si>
  <si>
    <t>Projects must decide the maximum number of step levels allowed._x000D_</t>
  </si>
  <si>
    <t>003.009.005.002.014</t>
  </si>
  <si>
    <t>002.003.001.003.005</t>
  </si>
  <si>
    <t>NA: Checklist data modules shall not be used.</t>
  </si>
  <si>
    <t>Chap 3.9.5.2.15 Para 2.3.3.2</t>
  </si>
  <si>
    <t>BRDP-S1-00280</t>
  </si>
  <si>
    <t>Use of the attribute sbTopicType in the element &lt;sbTopic&gt; within the element &lt;sbRevisionInfo&gt;</t>
  </si>
  <si>
    <t>Decide which topic types are mandatory, which are optional, and on the sequence in which the corresponding element &lt;sbTopic&gt; must be given in the element &lt;sbRevisionInfo&gt;. Refer to Chap 3.9.6.1._x000D_</t>
  </si>
  <si>
    <t>003.009.005.002.015</t>
  </si>
  <si>
    <t>002.003.003.002</t>
  </si>
  <si>
    <t>NA: Service Bulletin (SB) data modules shall not be used.</t>
  </si>
  <si>
    <t>Chap 3.9.5.2.15 Para 2.3.4</t>
  </si>
  <si>
    <t>BRDP-S1-00281</t>
  </si>
  <si>
    <t>Use of the attribute sbTopicType in element &lt;sbTopic&gt; within the element the element &lt;sbSummary&gt;</t>
  </si>
  <si>
    <t>Decide which topic types are mandatory, which are optional, and on the sequence in which the corresponding element &lt;sbTopic&gt; must be given in the element &lt;sbSummary&gt;. Refer to Chap 3.9.6.1._x000D_</t>
  </si>
  <si>
    <t>Chap 3.9.5.2.15 Para 2.3.5</t>
  </si>
  <si>
    <t>BRDP-S1-00282</t>
  </si>
  <si>
    <t>Use of the attribute sbTopicType in the element &lt;sbTopic&gt; within the element the element &lt;sbPlanningInfo&gt;</t>
  </si>
  <si>
    <t>Decide which topic types are mandatory, which are optional, and on the sequence in which the corresponding element &lt;sbTopic&gt; must be given in the element &lt;sbPlanningInfo&gt;. Refer to Chap 3.9.6.1._x000D_</t>
  </si>
  <si>
    <t>002.003.005</t>
  </si>
  <si>
    <t>Chap 3.9.5.2.15 Para 2.3.8</t>
  </si>
  <si>
    <t>BRDP-S1-00283</t>
  </si>
  <si>
    <t>Use of the attribute sbTopicType in the element &lt;sbTopic&gt; wthin the element &lt;sbAdditionalInfo&gt;</t>
  </si>
  <si>
    <t>Decide which topic types are mandatory, which are optional, and on the sequence in which the corresponding element &lt;sbTopic&gt; must be given in the element &lt;sbAdditionalInfo&gt;. Refer to Chap 3.9.6.1._x000D_</t>
  </si>
  <si>
    <t>002.003.008</t>
  </si>
  <si>
    <t>Chap 3.9.5.2.15.2 Para 2.1.1.1</t>
  </si>
  <si>
    <t>BRDP-S1-00287</t>
  </si>
  <si>
    <t>Use of the element &lt;sbProcurementInfo&gt; in the element &lt;sbMaterialSet&gt;, the element &lt;sbSupportEquipSet&gt;, the element &lt;sbIndividualSupportEquip&gt;, the element &lt;sbSupplySet&gt;, the element: &lt;sbIndividualSupply&gt;, the element &lt;sbSpareSet&gt; and the element &lt;sbIndividualSpare&gt;</t>
  </si>
  <si>
    <t>Decide whether the use of the element &lt;sbProcurementInfo&gt; is allowed within_x000D_
the element &lt;sbMaterialSet&gt;_x000D_
the definitions of individual material sets  (ie, &lt;sbSupportEquipSet&gt;, &lt;sbSupplySet&gt; and &lt;sbSpareSet&gt;) _x000D_
the definitions of individual spares, supplies and support equipment (ie, &lt;sbIndividualSupportEquip&gt;,&lt;sbIndividualSupply&gt; and &lt;sbIndividualSpare&gt;)_x000D_</t>
  </si>
  <si>
    <t>003.009.005.002.015.002</t>
  </si>
  <si>
    <t>Chap 3.9.5.2.15.2 Para 2.1.1.2</t>
  </si>
  <si>
    <t>BRDP-S1-00288</t>
  </si>
  <si>
    <t>Use of the element &lt;sbIndustrySupport&gt; in the element &lt;sbMaterialSet&gt;, the element &lt;sbSupportEquipSet&gt;, the element &lt;sbIndividualSupportEquip&gt;, the element &lt;sbSupplySet&gt;, the element &lt;sbIndividualSupply&gt;, the element &lt;sbSpareSet&gt;, the element &lt;sbIndividualSpare&gt;, the element &lt;sbRemovedSpareSet&gt;, the element &lt;sbIndividualRemovedSpare&gt;</t>
  </si>
  <si>
    <t>Decide whether the use of the element &lt;sbIndustrySupport&gt; is allowed within_x000D_
the element &lt;sbMaterialSet&gt;_x000D_
the definitions of individual material sets (ie, &lt;sbSupportEquipSet&gt;, &lt;sbSupplySet&gt; , &lt;sbSpareSet&gt; and &lt;sbRemovedSpareSet&gt;) _x000D_
the definitions of individual spares, supplies, support equipment and removed spares (ie, &lt;sbIndividualSupportEquip&gt;, &lt;sbIndividualSupply&gt;, &lt;sbIndividualSpare&gt; and &lt;sbIndividualRemovedSpare&gt;)_x000D_</t>
  </si>
  <si>
    <t>Chap 3.9.5.2.16 Para 2.3.1.1</t>
  </si>
  <si>
    <t>BRDP-S1-00294</t>
  </si>
  <si>
    <t>Content of the element &lt;productIntroName&gt;</t>
  </si>
  <si>
    <t>Decide whether to use the element &lt;productIntroName&gt;._x000D_</t>
  </si>
  <si>
    <t>003.009.005.002.016</t>
  </si>
  <si>
    <t>The element &lt;productIntroName&gt; shall contain the product name.</t>
  </si>
  <si>
    <t>Chap 3.9.5.2.16 Para 2.3.1.6</t>
  </si>
  <si>
    <t>BRDP-S1-00295</t>
  </si>
  <si>
    <t>Use of the element &lt;productAndModel&gt;</t>
  </si>
  <si>
    <t>Decide whether and how to use the element &lt;productAndModel&gt; and its child elements._x000D_</t>
  </si>
  <si>
    <t>002.003.001.006</t>
  </si>
  <si>
    <t xml:space="preserve">The element &lt;productAndModel&gt; shall not be used.
</t>
  </si>
  <si>
    <t>Chap 3.9.5.2.16 Para 2.3.1.9</t>
  </si>
  <si>
    <t>BRDP-S1-00296</t>
  </si>
  <si>
    <t>Use of the element &lt;dataRestrictions&gt; in the element &lt;frontMatterTitlePage&gt;</t>
  </si>
  <si>
    <t>Decide whether and how to use the element &lt;dataRestrictions&gt; and its child elements._x000D_</t>
  </si>
  <si>
    <t>Data restriction shall be used for all data and support documentation according to "NCI Agency Directive 03.03 - Security of Information"</t>
  </si>
  <si>
    <t>Chap 3.9.5.2.16 Para 2.3.1.11</t>
  </si>
  <si>
    <t>BRDP-S1-00297</t>
  </si>
  <si>
    <t>Use of the element &lt;enterpriseSpec&gt; in the element &lt;frontMatterTitlePage&gt;</t>
  </si>
  <si>
    <t>Decide whether and how to use the element &lt;enterpriseSpec&gt;._x000D_</t>
  </si>
  <si>
    <t>002.003.001.011</t>
  </si>
  <si>
    <t>The element &lt;enterpriseSpec&gt; in the element &lt;frontMatterTitlePage&gt; shall not be used.</t>
  </si>
  <si>
    <t>Chap 3.9.5.2.16 Para 2.3.1.12</t>
  </si>
  <si>
    <t>BRDP-S1-00298</t>
  </si>
  <si>
    <t>Use of the element &lt;enterpriseLogo&gt;</t>
  </si>
  <si>
    <t>Decide whether to use the element &lt;enterpriseLogo&gt; and if it is populated from the element &lt;logo&gt; given in the Identification and status section._x000D_</t>
  </si>
  <si>
    <t>002.003.001.012</t>
  </si>
  <si>
    <t>The element &lt;enterpriseLogo&gt; shall not be used.</t>
  </si>
  <si>
    <t>Chap 3.9.5.2.16 Para 2.3.1.14</t>
  </si>
  <si>
    <t>BRDP-S1-00299</t>
  </si>
  <si>
    <t>Method of populating the element &lt;publisherLogo&gt;</t>
  </si>
  <si>
    <t>Decide whether and how to use the element &lt;logo&gt; in the Identification and status section to populate the element &lt;publisherLogo&gt;._x000D_</t>
  </si>
  <si>
    <t>002.003.001.014</t>
  </si>
  <si>
    <t>The element &lt;logo&gt; shall not be used.</t>
  </si>
  <si>
    <t>Chap 3.9.5.2.16 Para 2.3.1.15.1</t>
  </si>
  <si>
    <t>BRDP-S1-00300</t>
  </si>
  <si>
    <t>Use of the attribute barCodeSymbology</t>
  </si>
  <si>
    <t>Decide whether to use the attribute barCodeSymbology and which barcode symbology to be used._x000D_</t>
  </si>
  <si>
    <t>002.003.001.015.001</t>
  </si>
  <si>
    <t>The attribute barCodeSymbology shall not be used.</t>
  </si>
  <si>
    <t>Chap 3.9.5.2.16 Para 2.3.1.16</t>
  </si>
  <si>
    <t>BRDP-S1-00301</t>
  </si>
  <si>
    <t>Use of the element &lt;frontMatterInfo&gt;</t>
  </si>
  <si>
    <t>Decide whether and how to use the element &lt;frontMatterInfo&gt; including the allowed values of the attribute frontMatterInfoType and their interpretation as titles at presentation. Refer to Chap 3.9.6.1._x000D_
Note_x000D_
The content given in the element &lt;title&gt; takes precedence over the interpretation of the value of the attribute frontMatterInfoType._x000D_</t>
  </si>
  <si>
    <t>002.003.001.016</t>
  </si>
  <si>
    <t>The element &lt;frontMatterInfo&gt; shall not be used.</t>
  </si>
  <si>
    <t>Chap 3.9.5.2.16 Para 2.3.1.16.1</t>
  </si>
  <si>
    <t>BRDP-S1-00302</t>
  </si>
  <si>
    <t>Use of the element &lt;title&gt; in the element &lt;frontMatterInfo&gt;</t>
  </si>
  <si>
    <t>Decide whether to use the content of the element &lt;title&gt; or the interpretation of the value of the attribute frontMatterInfoType as the title of the Front matter information._x000D_</t>
  </si>
  <si>
    <t>002.003.001.016.001</t>
  </si>
  <si>
    <t>NA: The element &lt;frontMatterInfo&gt; shall not be used.</t>
  </si>
  <si>
    <t>Chap 3.9.5.2.16 Para 2.3.2.2</t>
  </si>
  <si>
    <t>BRDP-S1-00303</t>
  </si>
  <si>
    <t>Use the element &lt;reducedPara&gt; in the element &lt;frontMatterTableOfContent&gt;</t>
  </si>
  <si>
    <t>Decide whether to use the introductory paragraph and on the wording of any standard phrase._x000D_</t>
  </si>
  <si>
    <t>002.003.002.002</t>
  </si>
  <si>
    <t>The element &lt;reducedPara&gt; in the element &lt;frontMatterTableOfContent&gt; shall not be used.</t>
  </si>
  <si>
    <t>Chap 3.9.5.2.16 Para 2.3.3.1</t>
  </si>
  <si>
    <t>BRDP-S1-00309</t>
  </si>
  <si>
    <t>Use the element &lt;reducedPara&gt; in the element &lt;frontMatterList&gt;</t>
  </si>
  <si>
    <t>Decide whether to use the introductory paragraph and on the wording of any standard phrase for each of the front matter list._x000D_</t>
  </si>
  <si>
    <t>002.003.003.001</t>
  </si>
  <si>
    <t>The element &lt;reducedPara&gt; in the element &lt;frontMatterList&gt; shall be used as described in the S1000D NCI Agency Instruction.</t>
  </si>
  <si>
    <t>Chap 3.9.5.2.16 Para 2.3.3.2.8</t>
  </si>
  <si>
    <t>BRDP-S1-00310</t>
  </si>
  <si>
    <t>How to store total number of pages for S1000D publications</t>
  </si>
  <si>
    <t>Decide on the use of &lt;footnoteRemarks&gt; to store the total number of pages for a complete S1000D publication._x000D_</t>
  </si>
  <si>
    <t>002.003.003.002.008</t>
  </si>
  <si>
    <t>The &lt;footnoteRemarks&gt; shall not be used.</t>
  </si>
  <si>
    <t>Chap 3.9.5.2.16 Para 2.3.3.2.9</t>
  </si>
  <si>
    <t>BRDP-S1-00311</t>
  </si>
  <si>
    <t>How to store total number of pages for non-S1000D publications</t>
  </si>
  <si>
    <t>Decide on the use of &lt;footnoteRemarks&gt; to store the total number of pages for a complete non-S1000D publication._x000D_</t>
  </si>
  <si>
    <t>002.003.003.002.009</t>
  </si>
  <si>
    <t>Chap 3.9.5.2.17 Para 2.3</t>
  </si>
  <si>
    <t>BRDP-S1-00313</t>
  </si>
  <si>
    <t>Use of the element &lt;contentDescription&gt; in the element &lt;scoContent&gt;</t>
  </si>
  <si>
    <t>Decide whether and how to use the element &lt;contentDescription&gt; (eg, to add information about the training resource)._x000D_</t>
  </si>
  <si>
    <t>003.009.005.002.017</t>
  </si>
  <si>
    <t>BRDP-S1-00314</t>
  </si>
  <si>
    <t>Use of the element &lt;contentDescription&gt; in the element &lt;trainingStep&gt;</t>
  </si>
  <si>
    <t>Decide whether and how to use the element &lt;contentDescription&gt; (eg, to add information about the content defined in the training step)._x000D_</t>
  </si>
  <si>
    <t>Chap 3.9.5.2.17 Para 2.3.2</t>
  </si>
  <si>
    <t>BRDP-S1-00315</t>
  </si>
  <si>
    <t>Use of the element &lt;contentDescription&gt;</t>
  </si>
  <si>
    <t>Decide whether the optional element &lt;contentDescription&gt; must be used to add information about the content defined in the training step._x000D_</t>
  </si>
  <si>
    <t>002.003.002</t>
  </si>
  <si>
    <t>NA+G180:G201: Learning data modules shall not be used.</t>
  </si>
  <si>
    <t>Chap 3.9.5.3 Para 2.2</t>
  </si>
  <si>
    <t>BRDP-S1-00316</t>
  </si>
  <si>
    <t>Use of the element &lt;applic&gt; in the data module status and content</t>
  </si>
  <si>
    <t>Decide how to use the element &lt;applic&gt; and to populate its child elements and attributes across the project or the organization._x000D_</t>
  </si>
  <si>
    <t>003.009.005.003</t>
  </si>
  <si>
    <t>Applicability is described in the NCIA S1000D Agency Instruction.</t>
  </si>
  <si>
    <t>Chap 3.9.5.3 Para 2.2.1</t>
  </si>
  <si>
    <t>BRDP-S1-00317</t>
  </si>
  <si>
    <t>Use of the element &lt;displayText&gt; in the element &lt;applic&gt;</t>
  </si>
  <si>
    <t>Decide whether the element &lt;displayText&gt; is populated by the technical author or generated from the computable branch or some other source when using the human-readable branch of applicability._x000D_</t>
  </si>
  <si>
    <t>When using applicability, the element &lt;displayText&gt; in the element &lt;applic&gt; shall be filled by the author.</t>
  </si>
  <si>
    <t>Chap 3.9.5.3 Para 2.2.2.2</t>
  </si>
  <si>
    <t>BRDP-S1-00318</t>
  </si>
  <si>
    <t>Use of the attribute applicDisplayClass within the element &lt;applic&gt;</t>
  </si>
  <si>
    <t>Decide whether to use the attribute applicDisplayClass when using the computable applicability annotation branch._x000D_</t>
  </si>
  <si>
    <t>When using applicability, the attribute applicDisplayClass within the element &lt;applic&gt; shall be used.</t>
  </si>
  <si>
    <t>BRDP-S1-00319</t>
  </si>
  <si>
    <t>Use of textual applicability annotations in the element &lt;assert&gt; in the element &lt;evaluate&gt;</t>
  </si>
  <si>
    <t>Decide if textual applicability annotations are allowed in the element &lt;assert&gt; when using the computable applicability annotation branch or if every element &lt;assert&gt; must reference a declared product attribute or condition._x000D_</t>
  </si>
  <si>
    <t>When using applicability, textual applicability annotations in the element &lt;assert&gt; in the element &lt;evaluate&gt; shall be used.</t>
  </si>
  <si>
    <t>Chap 3.9.5.3.1 Para 2.3.1</t>
  </si>
  <si>
    <t>BRDP-S1-00320</t>
  </si>
  <si>
    <t>Use of the attribute valuePattern and the element &lt;enumeration&gt; or to use open text when using ACT</t>
  </si>
  <si>
    <t>Decide whether to specify the allowable values for a product attribute achieved by using both the attribute valuePattern and the element &lt;enumeration&gt; or to allow open text without using the attribute valuePattern and the element &lt;enumeration&gt;._x000D_</t>
  </si>
  <si>
    <t>003.009.005.003.001</t>
  </si>
  <si>
    <t>Chap 3.9.5.3.1 Para 2.3.1.1</t>
  </si>
  <si>
    <t>BRDP-S1-00321</t>
  </si>
  <si>
    <t>Use of the element &lt;displayName&gt; in the element &lt;productAttribute&gt; when using ACT</t>
  </si>
  <si>
    <t>Decide whether to use the element &lt;displayName&gt;._x000D_</t>
  </si>
  <si>
    <t>The element &lt;displayName&gt; shall be filled.</t>
  </si>
  <si>
    <t>Chap 3.9.5.3.1 Para 2.3.1.4</t>
  </si>
  <si>
    <t>BRDP-S1-00322</t>
  </si>
  <si>
    <t>Method of defining multiple values or ranges for the element &lt;enumeration&gt; in the ACT</t>
  </si>
  <si>
    <t>Decide whether to use a single element &lt;enumeration&gt; containing the entire set or to use multiple elements &lt;enumeration&gt; which each contains only one value or range._x000D_</t>
  </si>
  <si>
    <t>002.003.001.004</t>
  </si>
  <si>
    <t>Chap 3.9.5.3.2 Para 2.3.1</t>
  </si>
  <si>
    <t>BRDP-S1-00323</t>
  </si>
  <si>
    <t>Use of the attribute valuePattern and the element &lt;enumeration&gt; or to use open text when using CCT</t>
  </si>
  <si>
    <t>003.009.005.003.002</t>
  </si>
  <si>
    <t>NA: The CCT data module shall not be used.</t>
  </si>
  <si>
    <t>Chap 3.9.5.3.2 Para 2.3.1.2</t>
  </si>
  <si>
    <t>BRDP-S1-00324</t>
  </si>
  <si>
    <t>Method of defining multiple values or ranges for the element &lt;enumeration&gt; in the CCT</t>
  </si>
  <si>
    <t>Decide whether to use a single element &lt;enumeration&gt; containing the entire set or to use multiple elements &lt;enumeration&gt; which each contain only one value or range._x000D_</t>
  </si>
  <si>
    <t>002.003.001.002</t>
  </si>
  <si>
    <t>Chap 3.9.5.3.2 Para 2.4.1.1</t>
  </si>
  <si>
    <t>BRDP-S1-00325</t>
  </si>
  <si>
    <t>Use of the element &lt;displayName&gt; in the element &lt;productAttribute&gt; when using CCT</t>
  </si>
  <si>
    <t>002.004.001.001</t>
  </si>
  <si>
    <t>Chap 3.9.5.3.2 Para 2.4.1.6</t>
  </si>
  <si>
    <t>BRDP-S1-00326</t>
  </si>
  <si>
    <t>Constraining conditions by use of the element &lt;dependency&gt; in the element &lt;cond&gt; in the CCT</t>
  </si>
  <si>
    <t>Decide whether to constrain allowable conditions based on other condition values by use of the element &lt;dependency&gt;._x000D_</t>
  </si>
  <si>
    <t>002.004.001.006</t>
  </si>
  <si>
    <t>Chap 3.9.5.3.3 Para 2.3.1</t>
  </si>
  <si>
    <t>BRDP-S1-00327</t>
  </si>
  <si>
    <t>Product attributes and conditions to include in the PCT</t>
  </si>
  <si>
    <t>Decide which product attributes and conditions to include in the PCT. Conditions that represent operational or environmental properties will usually not be included in the PCT as they are not associated with a product instance._x000D_</t>
  </si>
  <si>
    <t>003.009.005.003.003</t>
  </si>
  <si>
    <t>NA: The PCT data module shall not be used.</t>
  </si>
  <si>
    <t>Chap 3.9.6 Para 2.2</t>
  </si>
  <si>
    <t>BRDP-S1-00328</t>
  </si>
  <si>
    <t>Translation of the "S1000D interpretation" of configurable attribute values</t>
  </si>
  <si>
    <t>Decide whether to translate and use the "S1000D interpretation" of configurable attribute values in the languages adopted by the project._x000D_
Note_x000D_
At no time must a project allocate values outside the ranges given in the subchapters._x000D_</t>
  </si>
  <si>
    <t>003.009.006</t>
  </si>
  <si>
    <t>Configurable attribute values shall not be translate.</t>
  </si>
  <si>
    <t>Chap 3.9.6.1 Para 2</t>
  </si>
  <si>
    <t>BRDP-S1-00329</t>
  </si>
  <si>
    <t>Application of project specific values for configurable attributes</t>
  </si>
  <si>
    <t>Decide whether to use any project specific attribute values, which values to use and allocate suitable definitions and interpretations._x000D_
Note_x000D_
There are specific business rules decision points for some of the configurable attributes given in the authoring chapters. Refer to Chap 3.9.5 and its subchapters._x000D_</t>
  </si>
  <si>
    <t>003.009.006.001</t>
  </si>
  <si>
    <t>Attribute values are default S1000D and shall not be tailored.</t>
  </si>
  <si>
    <t>Chap 3.9.6.2 Para 2</t>
  </si>
  <si>
    <t>BRDP-S1-00330</t>
  </si>
  <si>
    <t>Application of project specific values for the attribute quantityUnitOfMeasure</t>
  </si>
  <si>
    <t>Decide whether any project specific attribute values are needed for the attribute quantityUnitOfMeasure. If needed, decide which project specific values to use for the attribute quantityUnitOfMeasure and allocate suitable project interpretations._x000D_</t>
  </si>
  <si>
    <t>003.009.006.002</t>
  </si>
  <si>
    <t>Chap 4.3 Para 2.1</t>
  </si>
  <si>
    <t>BRDP-S1-00331</t>
  </si>
  <si>
    <t>Data module coding strategy</t>
  </si>
  <si>
    <t>Decide on the data module coding strategy to use for the Product and/or the project._x000D_</t>
  </si>
  <si>
    <t>004.003</t>
  </si>
  <si>
    <t>The DMC strategy is defined in the NCIA S1000D Agency Instruction.</t>
  </si>
  <si>
    <t>Chap 4.3.1 Para 2.1</t>
  </si>
  <si>
    <t>BRDP-S1-00332</t>
  </si>
  <si>
    <t>Allocation of Product model identification code</t>
  </si>
  <si>
    <t>Decide which model identification codes to use for the Product and/or project._x000D_</t>
  </si>
  <si>
    <t>004.003.001</t>
  </si>
  <si>
    <t>The Model Identification (MOI) code is provided by the NCI Agency to the Contractor at the start of the project and shall be clearly identified within the project-specific IPSP or TPDP.
The model identification codes shall be harmonized between the users of S1000D and S2000M (when applicable).</t>
  </si>
  <si>
    <t>BRDP-S1-00333</t>
  </si>
  <si>
    <t>Allow the use of one or several model identification codes</t>
  </si>
  <si>
    <t>Decide whether to allow the use of one or several model identification codes._x000D_</t>
  </si>
  <si>
    <t>Several model identification codes might be used.
The list of MOI to be used on the project shall be reported within the project-specific IPSP or TPDP</t>
  </si>
  <si>
    <t>Chap 4.3.2 Para 2</t>
  </si>
  <si>
    <t>BRDP-S1-00334</t>
  </si>
  <si>
    <t>Allocation of system difference code</t>
  </si>
  <si>
    <t>Decide which system difference code values to be used for the Product._x000D_</t>
  </si>
  <si>
    <t>004.003.002</t>
  </si>
  <si>
    <t>The SDC values are defined in the NCIA S1000D Agency Instruction and tailored in the project specific IPSP or TPDP.</t>
  </si>
  <si>
    <t>Chap 4.3.2 Para 2.1</t>
  </si>
  <si>
    <t>BRDP-S1-00335</t>
  </si>
  <si>
    <t>UOC as system difference code</t>
  </si>
  <si>
    <t>Decide whether to use UOC as the system difference code._x000D_</t>
  </si>
  <si>
    <t>The UOC shall not be used as the system difference code.</t>
  </si>
  <si>
    <t>Chap 4.3.3 Para 2.1</t>
  </si>
  <si>
    <t>BRDP-S1-00336</t>
  </si>
  <si>
    <t>Product SNS structure</t>
  </si>
  <si>
    <t>Decide which SNS structure to use for the Product._x000D_</t>
  </si>
  <si>
    <t>004.003.003</t>
  </si>
  <si>
    <t>The SNS structure used for NCIA S1000D Agency Instruction and tailored in the project specific IPSP or TPDP.</t>
  </si>
  <si>
    <t>Chap 4.3.3 Para 2.2.2</t>
  </si>
  <si>
    <t>BRDP-S1-00337</t>
  </si>
  <si>
    <t>Use of the material item category code</t>
  </si>
  <si>
    <t>Decide whether to use the material item category code._x000D_</t>
  </si>
  <si>
    <t>The material item category code shall not be used.</t>
  </si>
  <si>
    <t>Chap 4.3.3 Para 2.2.4</t>
  </si>
  <si>
    <t>BRDP-S1-00338</t>
  </si>
  <si>
    <t>Number of characters in assembly code</t>
  </si>
  <si>
    <t>Decide whether to use two or four characters for unit or assembly._x000D_</t>
  </si>
  <si>
    <t>The assembly code values are defined in the S1000D NCI Agency Instructions.</t>
  </si>
  <si>
    <t>Chap 4.3.3 Para 2.3.2</t>
  </si>
  <si>
    <t>BRDP-S1-00339</t>
  </si>
  <si>
    <t>Responsible partner company codes for non-chapterized illustrated parts data modules</t>
  </si>
  <si>
    <t>Decide which responsible partner company codes to use for non-chapterized illustrated parts data modules._x000D_</t>
  </si>
  <si>
    <t>The RPC code values are defined in the NCIA S1000D Agency Instruction 16.31.07; deviations shall be listed in the project specific IPSP or TPDP.</t>
  </si>
  <si>
    <t>RPC= N</t>
  </si>
  <si>
    <t>Chap 4.3.3 Para 2.3.3</t>
  </si>
  <si>
    <t>BRDP-S1-00340</t>
  </si>
  <si>
    <t>Responsible partner company codes for non-chapterized, non-S2000M illustrated parts data modules</t>
  </si>
  <si>
    <t>Decide which responsible partner company codes to use for non-chapterized, non-S2000M illustrated parts data modules._x000D_</t>
  </si>
  <si>
    <t>002.003.003</t>
  </si>
  <si>
    <t>BRDP-S1-00341</t>
  </si>
  <si>
    <t>Unique identifier for non-chapterized, non-S2000M illustrated parts data modules</t>
  </si>
  <si>
    <t>Decide which unique identifiers to use for non-chapterized, non-S2000M illustrated parts data modules._x000D_</t>
  </si>
  <si>
    <t>The letter "N" shall be used for non-chapterized IPD DMs.</t>
  </si>
  <si>
    <t>Chap 4.3.5 Para 2</t>
  </si>
  <si>
    <t>BRDP-S1-00342</t>
  </si>
  <si>
    <t>Use of the disassembly code variant</t>
  </si>
  <si>
    <t>Decide whether to use one, two or three characters for the disassembly code variant and how to populate. _x000D_</t>
  </si>
  <si>
    <t>004.003.005</t>
  </si>
  <si>
    <t>The dassembly code variant values are defined in the S1000D NCI Agency Instructions.</t>
  </si>
  <si>
    <t>DCV= 1 CHARACTER</t>
  </si>
  <si>
    <t>Chap 4.4 Para 2</t>
  </si>
  <si>
    <t>BRDP-S1-00344</t>
  </si>
  <si>
    <t>Use of CAGE code and/or model identification code based ICN</t>
  </si>
  <si>
    <t>Decide which method to be used for the ICN._x000D_</t>
  </si>
  <si>
    <t>004.004</t>
  </si>
  <si>
    <t>The ICN shall be based on MOI code</t>
  </si>
  <si>
    <t>Chap 4.4 Para 2.2.4</t>
  </si>
  <si>
    <t>BRDP-S1-00348</t>
  </si>
  <si>
    <t>Allocation of responsible partner company codes for model identification code based ICN</t>
  </si>
  <si>
    <t>Decide which values on responsible partner company codes to be used._x000D_</t>
  </si>
  <si>
    <t>Chap 4.5 Para 2.1</t>
  </si>
  <si>
    <t>BRDP-S1-00350</t>
  </si>
  <si>
    <t>Use of data management requirement list</t>
  </si>
  <si>
    <t>Decide whether to use the data management requirement list for specification and exchange of CSDB planning information._x000D_</t>
  </si>
  <si>
    <t>004.005</t>
  </si>
  <si>
    <t>The DMRL is required and discussed  in the S1000D NCI Agency Instructions and tailored in the project specific IPSP or TPDP.</t>
  </si>
  <si>
    <t>BRDP-S1-00351</t>
  </si>
  <si>
    <t>Object types to be listed in the data management requirement list</t>
  </si>
  <si>
    <t>Decide whether to list publication modules and/or IPD illustrations in the data management requirement list._x000D_</t>
  </si>
  <si>
    <t>The DMRL shall contain the data module list and not illustrations and multimedia objects. The DMRL is required and discussed  in the S1000D NCI Agency Instructions.</t>
  </si>
  <si>
    <t>Chap 4.5 Para 3.1</t>
  </si>
  <si>
    <t>BRDP-S1-00352</t>
  </si>
  <si>
    <t>Use of CSDB status list</t>
  </si>
  <si>
    <t>Decide whether to use the CSDB status list for exchange of CSDB status information._x000D_</t>
  </si>
  <si>
    <t xml:space="preserve">The CSDB status list for exchange of CSDB status information is not required.
</t>
  </si>
  <si>
    <t>BRDP-S1-00353</t>
  </si>
  <si>
    <t>Objects types to be tracked by the CSDB status list</t>
  </si>
  <si>
    <t>Decide what CSDB objects types must be tracked in the CSDB status list, and at a minimum these must be data modules, illustrations/multimedia objects and publication modules._x000D_</t>
  </si>
  <si>
    <t>NA: The CSDB status list for exchange of CSDB status information is not required.</t>
  </si>
  <si>
    <t>Chap 4.5 Para 3.2.2</t>
  </si>
  <si>
    <t>BRDP-S1-00354</t>
  </si>
  <si>
    <t>CSDB object issues to be included in the CSDB status list</t>
  </si>
  <si>
    <t>Decide whether to include only the latest issues of CSDB objects or all issues in the CSDB status list._x000D_</t>
  </si>
  <si>
    <t>003.002.002</t>
  </si>
  <si>
    <t>Chap 4.5 Para 4.1.1.2</t>
  </si>
  <si>
    <t>BRDP-S1-00355</t>
  </si>
  <si>
    <t>Data management requirement list issue date</t>
  </si>
  <si>
    <t>Decide whether the issue date of a data management requirement list must be the input date (the release to CSDB date), the cut-off date for the information, the planning date or some other more appropriate date._x000D_</t>
  </si>
  <si>
    <t>004.001.001.002</t>
  </si>
  <si>
    <t>The DMRL issue date will reflect the CSDB release date.</t>
  </si>
  <si>
    <t>Chap 4.6 Para 2</t>
  </si>
  <si>
    <t>BRDP-S1-00356</t>
  </si>
  <si>
    <t>Use of the comment form</t>
  </si>
  <si>
    <t>Decide whether to use the comment form._x000D_</t>
  </si>
  <si>
    <t>004.006</t>
  </si>
  <si>
    <t>The comment form shall be used.</t>
  </si>
  <si>
    <t>Chap 4.6.2 Para 2.2</t>
  </si>
  <si>
    <t>BRDP-S1-00359</t>
  </si>
  <si>
    <t>Allowed file types for attachments to comment forms</t>
  </si>
  <si>
    <t>Decide which file types are allowed for attachments to comment forms._x000D_</t>
  </si>
  <si>
    <t>004.006.002</t>
  </si>
  <si>
    <t>MS Excel, Word, PDF.</t>
  </si>
  <si>
    <t>Chap 4.8 Para 2.1.2</t>
  </si>
  <si>
    <t>BRDP-S1-00545</t>
  </si>
  <si>
    <t>File formats for information objects</t>
  </si>
  <si>
    <t>Decide which file formats to use._x000D_</t>
  </si>
  <si>
    <t>004.008</t>
  </si>
  <si>
    <t>Vector files are the preferred type of file. Vector files shall be in SVG format. Exceptionally, also raster files are permitted provided they are of high quality and readable when enlarged. Raster files permitted are: TIFF, PNG and JPEG.</t>
  </si>
  <si>
    <t>SVG</t>
  </si>
  <si>
    <t>Chap 4.8 Para 2.1.2.2</t>
  </si>
  <si>
    <t>BRDP-S1-00360</t>
  </si>
  <si>
    <t>Raster graphic resolution</t>
  </si>
  <si>
    <t>Decide which resolution to use for raster graphics._x000D_</t>
  </si>
  <si>
    <t>002.001.002.002</t>
  </si>
  <si>
    <t>The preferred resolution is 300 dpi.</t>
  </si>
  <si>
    <t>300 DPI</t>
  </si>
  <si>
    <t>Chap 4.8 Para 2.1.2.3</t>
  </si>
  <si>
    <t>BRDP-S1-00361</t>
  </si>
  <si>
    <t>Use of photographs</t>
  </si>
  <si>
    <t>Decide whether photographs will be used. If used, for what purposes._x000D_</t>
  </si>
  <si>
    <t>002.001.002.003</t>
  </si>
  <si>
    <t>Photographs may be used for procedural and descriptive data modules. Photographs shall not be used for IPD illustrations.</t>
  </si>
  <si>
    <t>Chap 4.9.2 Para 2.1.2</t>
  </si>
  <si>
    <t>BRDP-S1-00365</t>
  </si>
  <si>
    <t>Use of the attribute pmIssuer</t>
  </si>
  <si>
    <t>Decide on the use of the attribute pmIssuer._x000D_</t>
  </si>
  <si>
    <t>004.009.002</t>
  </si>
  <si>
    <t>The PM Issuer code will be "I9129" (NCIA).</t>
  </si>
  <si>
    <t>I9129 NCIA</t>
  </si>
  <si>
    <t>Chap 4.10.1 Para 2.3</t>
  </si>
  <si>
    <t>BRDP-S1-00564</t>
  </si>
  <si>
    <t>Single or multiple business rules document</t>
  </si>
  <si>
    <t>Decide whether to use a single or multiple business rules document data module to capture business rules. If multiple data modules are needed, identify which rules will go into which data module. Refer to Para 3.1._x000D_</t>
  </si>
  <si>
    <t>004.010.001</t>
  </si>
  <si>
    <t xml:space="preserve">NA: The BREX DM and tailoring are reserved for NCIA. </t>
  </si>
  <si>
    <t>Chap 4.10.1 Para 4.3</t>
  </si>
  <si>
    <t>BRDP-S1-00565</t>
  </si>
  <si>
    <t>Level of depth of business rules document data modules</t>
  </si>
  <si>
    <t>Decide whether to exceed five levels of depth for new data._x000D_</t>
  </si>
  <si>
    <t>Chap 4.10.1 Para 4.4</t>
  </si>
  <si>
    <t>BRDP-S1-00566</t>
  </si>
  <si>
    <t>Identification numbering</t>
  </si>
  <si>
    <t>Decide on the numbering scheme for the attribute brDecisionIdentNumber and the attribute id as applicable._x000D_</t>
  </si>
  <si>
    <t>Chap 4.10.1 Para 4.4.4.1</t>
  </si>
  <si>
    <t>BRDP-S1-00567</t>
  </si>
  <si>
    <t>Standardized responses to describe business rules decision values</t>
  </si>
  <si>
    <t>Decide whether to use standardized sentences to describe business rules decision values or not. If the decision is to use standardized responses, decide which responses must be taken from text describing BRDP values defined in the specification or by the project/organization. It is also necessary to identify which responses must be defined beyond what is already defined within the specification. If standardized responses for business rules decision values are defined, decide whether all possible business rules decision values are covered or whether there will be cases when a business rules author will need to define text for business rules decision values during business rules production._x000D_</t>
  </si>
  <si>
    <t>004.004.004.001</t>
  </si>
  <si>
    <t>Chap 4.10.2 Para 2.2</t>
  </si>
  <si>
    <t>BRDP-S1-00367</t>
  </si>
  <si>
    <t>Use of layered BREX data modules</t>
  </si>
  <si>
    <t>Decide whether to apply a layered BREX data module structure. This decision is related to, but not entirely dependent on, whether a layered business rules structure applies._x000D_</t>
  </si>
  <si>
    <t>004.010.002</t>
  </si>
  <si>
    <t>Chap 4.10.2 Para 2.3.3</t>
  </si>
  <si>
    <t>BRDP-S1-00369</t>
  </si>
  <si>
    <t>Use of the BREX data module to exchange SNS</t>
  </si>
  <si>
    <t>Decide whether to use the BREX data module for exchange of information on the applied SNS._x000D_</t>
  </si>
  <si>
    <t xml:space="preserve">The BREX data module shall not be used for exchange of information on the applied SNS.
</t>
  </si>
  <si>
    <t>Chap 4.10.2.2 Para 2.2</t>
  </si>
  <si>
    <t>BRDP-S1-00370</t>
  </si>
  <si>
    <t>Include restrictions in using various illustration, multimedia object or other data information formats</t>
  </si>
  <si>
    <t>Decide whether to use the BREX data module to impose any restrictions in the use of various formats for illustrations, multimedia objects or other data._x000D_</t>
  </si>
  <si>
    <t>004.010.002.002</t>
  </si>
  <si>
    <t>Chap 4.10.2.4 Para 2</t>
  </si>
  <si>
    <t>BRDP-S1-00368</t>
  </si>
  <si>
    <t>Applicable sets of business rules</t>
  </si>
  <si>
    <t>Decide which set or sets of business rules are allowed within the given project or the organization. Accordingly, decide which BREX data modules will be used to reflect those business rules._x000D_</t>
  </si>
  <si>
    <t>004.010.002.004</t>
  </si>
  <si>
    <t>Chap 4.12 Para 3.1</t>
  </si>
  <si>
    <t>BRDP-S1-00373</t>
  </si>
  <si>
    <t>Use of multiple instances of CSDB object</t>
  </si>
  <si>
    <t>Decide whether to generate multiple instances of CSDB objects to generate several customized instances of any one object issue. If so, decide how the attributes extensionProducer and extensionCode must be used._x000D_</t>
  </si>
  <si>
    <t>004.012</t>
  </si>
  <si>
    <t>Multiple instances are permitted for an updated and new issue of the data module as well as in-work version. Other instances shall not be used.</t>
  </si>
  <si>
    <t>Chap 4.13.1 Para 1.5</t>
  </si>
  <si>
    <t>BRDP-S1-00374</t>
  </si>
  <si>
    <t>Use of the CIR concept (internal databases for common information)</t>
  </si>
  <si>
    <t>Decide whether to use the CIR concept._x000D_</t>
  </si>
  <si>
    <t>004.013.001</t>
  </si>
  <si>
    <t>001.005</t>
  </si>
  <si>
    <t>CIR data modules shall not be used.</t>
  </si>
  <si>
    <t>BRDP-S1-00376</t>
  </si>
  <si>
    <t>Internal/External use of CIR data modules</t>
  </si>
  <si>
    <t>Decide whether the CIR data modules must be used only internally to the manufacturer or integrator, as part of the production/integration environment ("internal repositories") or if the CIR data modules are also a deliverable to the customer._x000D_</t>
  </si>
  <si>
    <t>NA: CIR data modules shall not be used.</t>
  </si>
  <si>
    <t>BRDP-S1-00377</t>
  </si>
  <si>
    <t>Types of CIR data modules to be used</t>
  </si>
  <si>
    <t>Decide which CIR data module types to be used. In order to avoid any redundancy and inconsistency, care must be paid on some types, depending on other project specific decisions, for example tailoring of the S2000M (IPD data modules vs parts CIR data module)._x000D_</t>
  </si>
  <si>
    <t>BRDP-S1-00378</t>
  </si>
  <si>
    <t>Delivery of CIR-dependent data module</t>
  </si>
  <si>
    <t>Decide whether CIR-dependent data modules are delivered to customer, as it implies a specific process to retrieve the self-standing data modules from the CIR-dependent data module and the CIR data module._x000D_</t>
  </si>
  <si>
    <t>BRDP-S1-00379</t>
  </si>
  <si>
    <t>Publishing of CIR data modules</t>
  </si>
  <si>
    <t>Decide whether and which CIR data module types to be published._x000D_</t>
  </si>
  <si>
    <t>Chap 4.13.1 Para 4</t>
  </si>
  <si>
    <t>BRDP-S1-00380</t>
  </si>
  <si>
    <t>Use of one or several data modules for a CIR type</t>
  </si>
  <si>
    <t>Decide whether there is one single or several data modules for a dedicated type of CIR data module within a project or an organization, or for a specific model identification code._x000D_</t>
  </si>
  <si>
    <t>004</t>
  </si>
  <si>
    <t>Chap 4.13.1 Para 5.1.2</t>
  </si>
  <si>
    <t>BRDP-S1-00381</t>
  </si>
  <si>
    <t>Use of implicit or explicit reference method to CIR data module</t>
  </si>
  <si>
    <t>Decide whether to use implicit or explicit references, or both, between content specific data elements and the CIR data modules._x000D_
Note_x000D_
It is recommended to use only one method to avoid difficulties which can appear during the publishing process._x000D_</t>
  </si>
  <si>
    <t>005.001.002</t>
  </si>
  <si>
    <t>Chap 4.13.3 Para 2</t>
  </si>
  <si>
    <t>BRDP-S1-00382</t>
  </si>
  <si>
    <t>Use of alternates groups in data module content</t>
  </si>
  <si>
    <t>Decide whether to use alternates group elements. If used, specify which groups and in which data modules types._x000D_</t>
  </si>
  <si>
    <t>004.013.003</t>
  </si>
  <si>
    <t>Alternates groups in data module content shall not be used.</t>
  </si>
  <si>
    <t>BRDP-S1-00383</t>
  </si>
  <si>
    <t>Mix of alternates groups and elements</t>
  </si>
  <si>
    <t>Decide whether alternates groups and elements can be mixed in a given structure._x000D_</t>
  </si>
  <si>
    <t>NA: Alternates groups in data module content shall not be used.</t>
  </si>
  <si>
    <t>Chap 4.13.4 Para 2.3.2</t>
  </si>
  <si>
    <t>BRDP-S1-00385</t>
  </si>
  <si>
    <t>Identification of container data module</t>
  </si>
  <si>
    <t>Decide which identification method to use for container data modules. The chosen method must be used systematically._x000D_</t>
  </si>
  <si>
    <t>004.013.004</t>
  </si>
  <si>
    <t>Identification of a container data module shall be through the Information code (eg: 920- Replace procedure) as  discussed in the S1000D NCI Agency Instructions.</t>
  </si>
  <si>
    <t>Chap 4.13.4 Para 2.5</t>
  </si>
  <si>
    <t>BRDP-S1-00386</t>
  </si>
  <si>
    <t>Use of applicability within container data module content</t>
  </si>
  <si>
    <t>Decide whether applicability annotations are duplicated from the referenced data modules to the container data module._x000D_</t>
  </si>
  <si>
    <t>Applicability annotations shall not be duplicated to the container DM.</t>
  </si>
  <si>
    <t>Chap 4.14 Para 2.1.2</t>
  </si>
  <si>
    <t>BRDP-S1-00387</t>
  </si>
  <si>
    <t>Use of applicability</t>
  </si>
  <si>
    <t>Decide if the project or the organization will use applicability._x000D_</t>
  </si>
  <si>
    <t>004.014</t>
  </si>
  <si>
    <t>Applicability shall be used to differentiate between installations or sites.</t>
  </si>
  <si>
    <t>BRDP-S1-00388</t>
  </si>
  <si>
    <t>Applicability functionality</t>
  </si>
  <si>
    <t>Define the required functionality for applicability._x000D_</t>
  </si>
  <si>
    <t>The ACT data module shall contain the list of different sites/installations. The reader shall be presented only with the publication selected through the ACT options.</t>
  </si>
  <si>
    <t>BRDP-S1-00389</t>
  </si>
  <si>
    <t>Use of applicability data module types (ACT, CCT and PCT)</t>
  </si>
  <si>
    <t>If functionality is limited to print and static display, decide if applicability data module types (ACT, CCT and PCT) will be used._x000D_</t>
  </si>
  <si>
    <t>The ACT data module shall be used to define applicability. The CCT and PCT data modules shall not be used.</t>
  </si>
  <si>
    <t>Chap 4.14 Para 2.1.2.1</t>
  </si>
  <si>
    <t>BRDP-S1-00390</t>
  </si>
  <si>
    <t>Product attribute and conditions naming and identification scheme</t>
  </si>
  <si>
    <t>Define a consistent naming and identification scheme for product attributes and conditions, when ACT and CCT data modules are implemented._x000D_</t>
  </si>
  <si>
    <t>Chap 4.14 Para 2.1.2.5</t>
  </si>
  <si>
    <t>BRDP-S1-00391</t>
  </si>
  <si>
    <t>Presentation of content that is not applicable</t>
  </si>
  <si>
    <t>Specify the method that content is presented which is not valid for the current maintenance context. The content can be removed, hidden or de-emphasized in some manner._x000D_</t>
  </si>
  <si>
    <t>002.001.002.005</t>
  </si>
  <si>
    <t>Non-applicable content shall not be included in data modules.</t>
  </si>
  <si>
    <t>Chap 4.14 Para 2.1.3</t>
  </si>
  <si>
    <t>BRDP-S1-00392</t>
  </si>
  <si>
    <t>Providing the human-readable part of applicability</t>
  </si>
  <si>
    <t>Decide whether to also provide the human-readable part of applicability or rely on the viewer to build the human-readable part, when providing the computer processing part of applicability._x000D_</t>
  </si>
  <si>
    <t>The viewer will provide the human readable part of applicability information.</t>
  </si>
  <si>
    <t>Chap 4.14 Para 2.2.1</t>
  </si>
  <si>
    <t>BRDP-S1-00393</t>
  </si>
  <si>
    <t>Number of ACT, CCT and PCT data module instances</t>
  </si>
  <si>
    <t>Decide whether to provide one instance of each data module types (ACT, CCT and PCT) or to segregate the project or the organization into multiple instances of each data module type, and the method for segregation._x000D_</t>
  </si>
  <si>
    <t>Only one instance of the ACT shall be created where required to differentiate different sites/installations/locations.</t>
  </si>
  <si>
    <t>Chap 4.14.1 Para 2.1.1</t>
  </si>
  <si>
    <t>BRDP-S1-00394</t>
  </si>
  <si>
    <t>Classifying product attributes and conditions in an ACT data module</t>
  </si>
  <si>
    <t>Decide how to divide the properties of the Product into product attributes or condition types._x000D_</t>
  </si>
  <si>
    <t>004.014.001</t>
  </si>
  <si>
    <t>BRDP-S1-00395</t>
  </si>
  <si>
    <t>Configuration management of product attributes in an ACT data module</t>
  </si>
  <si>
    <t>Decide on the extent of configuration management and editing access to be applied to product attributes within an ACT data module._x000D_</t>
  </si>
  <si>
    <t xml:space="preserve">Editing access to be applied to product attributes within an ACT data module shall be defined in the project specific IPSP or TPDP.
</t>
  </si>
  <si>
    <t>Chap 4.14.2 Para 2.3</t>
  </si>
  <si>
    <t>BRDP-S1-00396</t>
  </si>
  <si>
    <t>Use of the incorporation status list in a CCT data module</t>
  </si>
  <si>
    <t>Decide whether to use the incorporation status list in the CCT data module._x000D_</t>
  </si>
  <si>
    <t>004.014.002</t>
  </si>
  <si>
    <t>Chap 4.14.3 Para 2.3</t>
  </si>
  <si>
    <t>BRDP-S1-00397</t>
  </si>
  <si>
    <t>Scope of the product instances in a PCT data module</t>
  </si>
  <si>
    <t>Decide which product instances are contained in a PCT data module. Options include listing all product instances in-service or listing only the product instances within an organization._x000D_</t>
  </si>
  <si>
    <t>004.014.003</t>
  </si>
  <si>
    <t>Chap 4.14.3 Para 2.4</t>
  </si>
  <si>
    <t>BRDP-S1-00398</t>
  </si>
  <si>
    <t>Use of a published or a temporary PCT data module</t>
  </si>
  <si>
    <t>Decide whether to publish a static issue of the PCT data module or use the data module as a temporary input between an external system and a viewer._x000D_</t>
  </si>
  <si>
    <t>BRDP-S1-00399</t>
  </si>
  <si>
    <t>Management of the product instance configurations in PCT data modules</t>
  </si>
  <si>
    <t>Decide how to maintain the list of product instance configuration specifications and the associated values for product attributes and conditions._x000D_</t>
  </si>
  <si>
    <t>Chap 4.14.4 Para 1</t>
  </si>
  <si>
    <t>BRDP-S1-00400</t>
  </si>
  <si>
    <t>Use of the ACT catalog data module</t>
  </si>
  <si>
    <t>Decide whether to use the ACT catalog data module._x000D_</t>
  </si>
  <si>
    <t>004.014.004</t>
  </si>
  <si>
    <t>The ACT catalog data module shall not be used.</t>
  </si>
  <si>
    <t>Chap 4.14.4 Para 5</t>
  </si>
  <si>
    <t>BRDP-S1-00401</t>
  </si>
  <si>
    <t>Internal or external definition of supplier applicability attributes</t>
  </si>
  <si>
    <t>Decide whether the supplier applicability attributes are defined in the ACT data module or if the supplier definition is used._x000D_</t>
  </si>
  <si>
    <t>005</t>
  </si>
  <si>
    <t>The applicability attributes shall be defined in the project specific IPSP or TPDP.</t>
  </si>
  <si>
    <t>Chap 4.16 Para 2.1.1.3</t>
  </si>
  <si>
    <t>BRDP-S1-00403</t>
  </si>
  <si>
    <t>Technical information object properties to be included in the data module at delivery</t>
  </si>
  <si>
    <t>Decide which properties associated to the technical information objects (eg, names, short names) to store within the data module when delivered._x000D_</t>
  </si>
  <si>
    <t>004.016</t>
  </si>
  <si>
    <t>002.001.001.003</t>
  </si>
  <si>
    <t>No additional properties shall be added to the technical information objects.</t>
  </si>
  <si>
    <t>Chap 5.2.1.3.1 Para 2.3.1.2</t>
  </si>
  <si>
    <t>BRDP-S1-00404</t>
  </si>
  <si>
    <t>Applicable systems for land and sea products</t>
  </si>
  <si>
    <t>Decide the applicable systems for land and sea products._x000D_</t>
  </si>
  <si>
    <t>005.002.001.003.001</t>
  </si>
  <si>
    <t>Systems shall be recorded in the project specific IPSP or TPDP.</t>
  </si>
  <si>
    <t>Chap 5.2.1.4 Para 1.4.2</t>
  </si>
  <si>
    <t>BRDP-S1-00405</t>
  </si>
  <si>
    <t>How to use the element field descriptions in the wiring data description Schema</t>
  </si>
  <si>
    <t>Decide how to use the element field descriptions of the wiring data description Schema in an interactive wiring publication._x000D_</t>
  </si>
  <si>
    <t>005.002.001.004</t>
  </si>
  <si>
    <t>001.004.002</t>
  </si>
  <si>
    <t>Chap 5.2.1.4 Para 2.2.1</t>
  </si>
  <si>
    <t>BRDP-S1-00406</t>
  </si>
  <si>
    <t>Use of introduction data modules for wiring publications</t>
  </si>
  <si>
    <t>Decide whether to produce introduction data modules for wiring publications. If required, the scope of these introduction data modules must be defined._x000D_</t>
  </si>
  <si>
    <t>Chap 5.2.1.4 Para 2.2.2.2</t>
  </si>
  <si>
    <t>BRDP-S1-00407</t>
  </si>
  <si>
    <t>Optional descriptive information for connection units</t>
  </si>
  <si>
    <t>Decide whether to produce descriptive information for connection units including illustrations and tables._x000D_</t>
  </si>
  <si>
    <t>Chap 5.2.1.4 Para 2.2.2.3</t>
  </si>
  <si>
    <t>BRDP-S1-00408</t>
  </si>
  <si>
    <t>Optional descriptive information for wires and harnesses</t>
  </si>
  <si>
    <t>Decide whether to produce descriptive information for wires and harnesses including illustrations and tables._x000D_</t>
  </si>
  <si>
    <t>002.002.002.003</t>
  </si>
  <si>
    <t>Chap 5.2.1.4 Para 2.2.3</t>
  </si>
  <si>
    <t>BRDP-S1-00409</t>
  </si>
  <si>
    <t>Wiring standard practices data modules</t>
  </si>
  <si>
    <t>Define source and scope of wiring standard practices data modules. Decide whether to prepare standard wiring practice information as procedural or descriptive data modules._x000D_</t>
  </si>
  <si>
    <t>Chap 5.2.1.4 Para 2.2.4.1</t>
  </si>
  <si>
    <t>BRDP-S1-00410</t>
  </si>
  <si>
    <t>Wiring diagrams in an interactive wiring publication</t>
  </si>
  <si>
    <t>Decide whether to produce wiring diagrams for an interactive wiring publication._x000D_</t>
  </si>
  <si>
    <t>002.002.004.001</t>
  </si>
  <si>
    <t>Not applicable. The wiring publications shall not be used.</t>
  </si>
  <si>
    <t>Chap 5.2.1.4 Para 2.2.5</t>
  </si>
  <si>
    <t>BRDP-S1-00411</t>
  </si>
  <si>
    <t>Harness routing drawings</t>
  </si>
  <si>
    <t>Decide whether harness routing drawings are to be simplified and how their layout must look like._x000D_</t>
  </si>
  <si>
    <t>002.002.005</t>
  </si>
  <si>
    <t>Harness routing drawings shall not be used for static installations. If required for mobile installations, they shall be clear and i.a.w. the illustrating rules defined in the S1000D Agency Instruction.</t>
  </si>
  <si>
    <t>Chap 5.2.1.4 Para 2.2.5.1</t>
  </si>
  <si>
    <t>BRDP-S1-00412</t>
  </si>
  <si>
    <t>Coding of harness installation drawing data modules</t>
  </si>
  <si>
    <t>Decide whether to code harness installation drawing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</si>
  <si>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002.002.005.001</t>
  </si>
  <si>
    <t>Harness installation drawing data modules shall not be coded by zone information. See NCIA-411.</t>
  </si>
  <si>
    <t>BRDP-S1-00413</t>
  </si>
  <si>
    <t>Harness installation information</t>
  </si>
  <si>
    <t>Decide whether to prepare harness installation information for each major area in list form in addition to or instead of harness installation and routing drawings._x000D_</t>
  </si>
  <si>
    <t>Harness installation information shall not be in list form.  See NCIA-411.</t>
  </si>
  <si>
    <t>Chap 5.2.1.4 Para 2.2.5.2</t>
  </si>
  <si>
    <t>BRDP-S1-00414</t>
  </si>
  <si>
    <t>Coding of harness routing drawing data modules</t>
  </si>
  <si>
    <t>Decide whether to code harness routing drawing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</si>
  <si>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002.002.005.002</t>
  </si>
  <si>
    <t>Harness routing information shall not be coded by zone information. See NCIA-411.</t>
  </si>
  <si>
    <t>Chap 5.2.1.4 Para 2.2.6</t>
  </si>
  <si>
    <t>BRDP-S1-00415</t>
  </si>
  <si>
    <t>Equipment and panel location drawings</t>
  </si>
  <si>
    <t>Decide whether to produce separate data modules containing equipment and panel location illustrations._x000D_</t>
  </si>
  <si>
    <t>002.002.006</t>
  </si>
  <si>
    <t>Data modules containing equipment and panel location illustrations shall be created where there is a clear benefit to the user, and to enhance readability by avoiding duplication of information.</t>
  </si>
  <si>
    <t>Chap 5.2.1.4 Para 2.2.7</t>
  </si>
  <si>
    <t>BRDP-S1-00416</t>
  </si>
  <si>
    <t>Production of electrical standard parts data</t>
  </si>
  <si>
    <t>Decide whether to produce data modules containing electrical standard parts data._x000D_</t>
  </si>
  <si>
    <t>Chap 5.2.1.4 Para 2.2.8.1</t>
  </si>
  <si>
    <t>BRDP-S1-00417</t>
  </si>
  <si>
    <t>Definition of required electrical equipment information</t>
  </si>
  <si>
    <t>Define the required information for each electrical or electronic item of equipment that has electrical connections._x000D_</t>
  </si>
  <si>
    <t>002.002.008.001</t>
  </si>
  <si>
    <t>Chap 5.2.1.4 Para 2.2.8.2</t>
  </si>
  <si>
    <t>BRDP-S1-00418</t>
  </si>
  <si>
    <t>Coding of electrical equipment information data modules</t>
  </si>
  <si>
    <t>Decide whether to code electrical equipment information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</si>
  <si>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002.002.008.002</t>
  </si>
  <si>
    <t>Chap 5.2.1.4 Para 2.2.10</t>
  </si>
  <si>
    <t>BRDP-S1-00419</t>
  </si>
  <si>
    <t>Coding of harness data modules</t>
  </si>
  <si>
    <t>Decide whether to code harness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</si>
  <si>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002.002.010</t>
  </si>
  <si>
    <t>Chap 5.2.1.4 Para 2.3.2.1</t>
  </si>
  <si>
    <t>BRDP-S1-00420</t>
  </si>
  <si>
    <t>Generation of harness wire list data modules</t>
  </si>
  <si>
    <t>Decide whether and how to generate harness wire list data modules for a page-oriented or an interactive wiring publication from the wiring data modules that are based on the wiring Schema._x000D_</t>
  </si>
  <si>
    <t>Chap 5.2.1.4 Para 2.3.2.2</t>
  </si>
  <si>
    <t>BRDP-S1-00421</t>
  </si>
  <si>
    <t>Generation of connection list data modules</t>
  </si>
  <si>
    <t>Decide whether and how to generate connection list data modules for a page-oriented or an interactive wiring publication from the wiring data modules that are based on the wiring Schema._x000D_</t>
  </si>
  <si>
    <t>Chap 5.2.1.4 Para 2.3.2.3.1</t>
  </si>
  <si>
    <t>BRDP-S1-00422</t>
  </si>
  <si>
    <t>Generation of plug and receptacle list data modules</t>
  </si>
  <si>
    <t>Decide whether and how to generate harness plug and receptacle list data modules for a page-oriented or an interactive wiring publication from the wiring data modules that are based on the wiring Schema._x000D_</t>
  </si>
  <si>
    <t>002.003.002.003.001</t>
  </si>
  <si>
    <t>Chap 5.2.1.4 Para 2.3.2.3.2</t>
  </si>
  <si>
    <t>BRDP-S1-00423</t>
  </si>
  <si>
    <t>Generation of terminal list data modules</t>
  </si>
  <si>
    <t>Decide whether and how to generate terminal list data modules for a page-oriented or an interactive wiring publication from the wiring data modules that are based on the wiring Schema._x000D_</t>
  </si>
  <si>
    <t>002.003.002.003.002</t>
  </si>
  <si>
    <t>Chap 5.2.1.4 Para 2.3.2.3.3</t>
  </si>
  <si>
    <t>BRDP-S1-00424</t>
  </si>
  <si>
    <t>Generation of splice list data modules</t>
  </si>
  <si>
    <t>Decide whether and how to generate splice list data modules for a page-oriented or an interactive wiring publication from the wiring data modules that are based on the wiring Schema._x000D_</t>
  </si>
  <si>
    <t>002.003.002.003.003</t>
  </si>
  <si>
    <t>Chap 5.2.1.4 Para 2.3.2.3.4</t>
  </si>
  <si>
    <t>BRDP-S1-00425</t>
  </si>
  <si>
    <t>Generation of earth point list data modules</t>
  </si>
  <si>
    <t>Decide whether and how to generate earth point list data modules for a page-oriented or an interactive wiring publication from the wiring data modules that are based on the wiring Schema._x000D_</t>
  </si>
  <si>
    <t>002.003.002.003.004</t>
  </si>
  <si>
    <t>Chap 5.2.1.9 Para 2.2.1</t>
  </si>
  <si>
    <t>BRDP-S1-00427</t>
  </si>
  <si>
    <t>Level of detail to be provided in the technical descriptions in Equipment information sets</t>
  </si>
  <si>
    <t>Decide what level of detail to provide in the functional and technical descriptions._x000D_</t>
  </si>
  <si>
    <t>005.002.001.009</t>
  </si>
  <si>
    <t>Descriptive data modules shall contain information sufficient to provide the user with a comprehensive understanding f how the system/equipment is made and how it works. This shall include "Theory of operation" and technical data from system level through to LRU level.</t>
  </si>
  <si>
    <t>Chap 5.2.1.9 Para 2.2.3</t>
  </si>
  <si>
    <t>BRDP-S1-00428</t>
  </si>
  <si>
    <t>Use of Wiring Schema in Equipment information sets</t>
  </si>
  <si>
    <t>Decide whether the Wiring data Schema and the Wiring data description Schema are to be used or not. Interactive wiring publication functionalities are only to be made available if the Wiring Schema is used. Refer to Chap 3.9.5.2.9._x000D_</t>
  </si>
  <si>
    <t>The wiring schema shall not be used - PARENT</t>
  </si>
  <si>
    <t>Chap 5.2.1.9 Para 2.4</t>
  </si>
  <si>
    <t>BRDP-S1-00429</t>
  </si>
  <si>
    <t>Level of detail to be provided in the maintenance and servicing data modules in Equipment information sets</t>
  </si>
  <si>
    <t>Decide what level of detail to provide in the maintenance and servicing data modules._x000D_</t>
  </si>
  <si>
    <t>Each publication shall contain a data module/s with a table listing all maintenance and servicing  tasks relative to Operational, Internediate and Depot level tasks. The table will indicate the entity responsible for each task based on the maintenance concept of each individual project. The level of detail shall enable the user to complete maintenance/servicing tasks assigned to NATO  i.a.w. the project specific maintenance concept, this will include preliminary requirements, required materials, spares, support equipment and  references to other publications and follow-on procedures.</t>
  </si>
  <si>
    <t>Chap 5.2.1.9 Para 2.4.3</t>
  </si>
  <si>
    <t>BRDP-S1-00430</t>
  </si>
  <si>
    <t>Use of consolidated lists for Support equipment, Consumables, materials, expendables, etc, in Equipment information sets</t>
  </si>
  <si>
    <t>Decide whether to use consolidated lists for Support equipment, Consumables, materials, expendables, etc._x000D_</t>
  </si>
  <si>
    <t>002.004.003</t>
  </si>
  <si>
    <t>Each publication shall contain consolidated lists in the form of dedicated data modules (as required) i.a.w. the information code index of the S1000D Agency Instruction.</t>
  </si>
  <si>
    <t>BRDP-S1-00431</t>
  </si>
  <si>
    <t>Use of equivalent substitutes in Equipment information sets</t>
  </si>
  <si>
    <t>Decide whether to allow the use equivalent substitutes for support equipment, consumables, materials and expendables._x000D_</t>
  </si>
  <si>
    <t>Equipment information sets are not generally required: If used, equivalent substitutes may be used.</t>
  </si>
  <si>
    <t>Chap 5.2.1.9 Para 2.5</t>
  </si>
  <si>
    <t>BRDP-S1-00432</t>
  </si>
  <si>
    <t>Level of detail to be provided in the IPD data modules in Equipment information sets</t>
  </si>
  <si>
    <t>Decide what level of detail to provide in the IPD data modules._x000D_</t>
  </si>
  <si>
    <t>Equipment information sets are not generally required: If used, the IPD elements shall conform to BRDP NCIA-152.</t>
  </si>
  <si>
    <t>Chap 5.2.1.14 Para 2.1.2</t>
  </si>
  <si>
    <t>BRDP-S1-00433</t>
  </si>
  <si>
    <t>Separation of product frame and engine BDAR information in the BDARP</t>
  </si>
  <si>
    <t>Decide whether to separate the BDARP into product frame and engine BDAR information._x000D_</t>
  </si>
  <si>
    <t>005.002.001.014</t>
  </si>
  <si>
    <t>NA: The BDAR Publication shall not be used.</t>
  </si>
  <si>
    <t>Chap 5.2.1.14 Para 2.1.6</t>
  </si>
  <si>
    <t>BRDP-S1-00434</t>
  </si>
  <si>
    <t>Separate data modules for utilization degradation in BDAR information sets</t>
  </si>
  <si>
    <t>Decide whether to prepare separate data modules for degradation information, or to include this information in the damage assessment data modules._x000D_</t>
  </si>
  <si>
    <t>Not applicable. Battle Damage data module shall not be used.</t>
  </si>
  <si>
    <t>Chap 5.2.1.14 Para 2.3</t>
  </si>
  <si>
    <t>BRDP-S1-00435</t>
  </si>
  <si>
    <t>Interactive BDARP</t>
  </si>
  <si>
    <t>Decide whether to produce an interactive BDARP and define the required functionalities._x000D_</t>
  </si>
  <si>
    <t>Chap 5.2.1.16 Para 2.2.2.1</t>
  </si>
  <si>
    <t>BRDP-S1-00436</t>
  </si>
  <si>
    <t>Use of external material information in Service bulletins</t>
  </si>
  <si>
    <t>Decide whether material information must be a part of the "core" SB data module or if it can (depending on the volume) be presented in one or more referenced separate SB data modules. Refer to Fig 2._x000D_</t>
  </si>
  <si>
    <t>005.002.001.016</t>
  </si>
  <si>
    <t>Not applicable. Service Bulletin data module shall not be used.</t>
  </si>
  <si>
    <t>Chap 5.2.1.16 Para 2.2.4</t>
  </si>
  <si>
    <t>BRDP-S1-00437</t>
  </si>
  <si>
    <t>Treatment of alert and standard Service bulletins</t>
  </si>
  <si>
    <t>Decide whether or not to allow classifying Service bulletins as Alert. _x000D_</t>
  </si>
  <si>
    <t>Chap 5.2.1.16 Para 2.2.5</t>
  </si>
  <si>
    <t>BRDP-S1-00438</t>
  </si>
  <si>
    <t>Service bulletin compliance categories</t>
  </si>
  <si>
    <t>Decide whether to use the four compliance categories or to define others._x000D_</t>
  </si>
  <si>
    <t>Chap 5.2.1.16 Para 2.2.6.1.4</t>
  </si>
  <si>
    <t>BRDP-S1-00439</t>
  </si>
  <si>
    <t>Minimum impact on weight in Service bulletins</t>
  </si>
  <si>
    <t>Decide the threshold for minimum impact on weight that must be reported in a Service bulletin._x000D_</t>
  </si>
  <si>
    <t>002.002.006.001.004</t>
  </si>
  <si>
    <t>BRDP-S1-00440</t>
  </si>
  <si>
    <t>Minimum impact on balance in Service bulletins</t>
  </si>
  <si>
    <t>Decide the threshold for minimum impact on balance that must be reported in a Service bulletin. _x000D_</t>
  </si>
  <si>
    <t>BRDP-S1-00441</t>
  </si>
  <si>
    <t>Minimum impact on electrical load to be reported in Service bulletins</t>
  </si>
  <si>
    <t>Decide the threshold for minimum impact on electrical load that must be reported in a Service bulletin. _x000D_</t>
  </si>
  <si>
    <t>BRDP-S1-00442</t>
  </si>
  <si>
    <t>Definitions and use of maintenance and operational publications in Service bulletins</t>
  </si>
  <si>
    <t>Decide on the precise definitions of "maintenance publications" and "operational publications" and whether to separate them into different listings in the Impact on publications._x000D_</t>
  </si>
  <si>
    <t>Chap 5.2.1.20 Para 1.2</t>
  </si>
  <si>
    <t>BRDP-S1-00445</t>
  </si>
  <si>
    <t>Use of a set of publication list data modules or a publication module for the LOAP</t>
  </si>
  <si>
    <t>Decide whether to use a set of publication list data modules or a publication module to list the applicable publications and other documents including individual data modules._x000D_</t>
  </si>
  <si>
    <t>005.002.001.020</t>
  </si>
  <si>
    <t>001.002</t>
  </si>
  <si>
    <t>A Publication Module LOAP is not required. Each PM shall contain a LOASd (List of applicable specifications and documentation) data module listing applicable publications.</t>
  </si>
  <si>
    <t>BRDP-S1-00446</t>
  </si>
  <si>
    <t>Schema to use for the publication list data modules of the LOAP</t>
  </si>
  <si>
    <t>Decide whether to use the front matter Schema or the descriptive Schema for the publication list data modules._x000D_</t>
  </si>
  <si>
    <t xml:space="preserve">The descriptive Schema shall be used for the LOASD.
</t>
  </si>
  <si>
    <t>BRDP-S1-00447</t>
  </si>
  <si>
    <t>One consolidated or several separate publication list data modules for the LOAP</t>
  </si>
  <si>
    <t>Decide whether to deliver the publications and documents listed in one data module/publication module (with one or more lists presented as tables) or as separate data modules/publication modules (eg, by operational publications or maintenance publications)._x000D_</t>
  </si>
  <si>
    <t>A single consolidated LOASD DM with one or more tables shall be used.</t>
  </si>
  <si>
    <t>Chap 5.2.1.20 Para 2.2.1</t>
  </si>
  <si>
    <t>BRDP-S1-00448</t>
  </si>
  <si>
    <t>Inclusion of unpublished publications and documents in the LOAP</t>
  </si>
  <si>
    <t>Decide whether to include publications and documents those are not published._x000D_
Note_x000D_
When used as a contractual document, all publications and documents, published or not, must be included._x000D_</t>
  </si>
  <si>
    <t>Unpublished documents shall not be included in the LOASD.</t>
  </si>
  <si>
    <t>Chap 5.2.1.20 Para 2.2.2.4</t>
  </si>
  <si>
    <t>BRDP-S1-00449</t>
  </si>
  <si>
    <t>Markup of the publication entry as a link in the LOAP</t>
  </si>
  <si>
    <t>Decide whether to markup the publication entry as a link when using the descriptive Schema._x000D_</t>
  </si>
  <si>
    <t>002.002.002.004</t>
  </si>
  <si>
    <t>Each publication listed in the LOASD table shall contain a hyperlink to the referenced publication.</t>
  </si>
  <si>
    <t>BRDP-S1-00450</t>
  </si>
  <si>
    <t>Include the manufacturer’s part number or reference number in the LOAP</t>
  </si>
  <si>
    <t>Decide whether to include and present the manufacturer’s part number or reference number._x000D_</t>
  </si>
  <si>
    <t>The LOASD shall contain the columns listed in the S1000D Agency Instruction.</t>
  </si>
  <si>
    <t>BRDP-S1-00451</t>
  </si>
  <si>
    <t>Use of language in the LOAP</t>
  </si>
  <si>
    <t>Decide whether to include and present the language of the publication or document in the entries._x000D_</t>
  </si>
  <si>
    <t>Language will not be listed in the LOASD.</t>
  </si>
  <si>
    <t>Chap 5.2.2.4 Para 1.3.2</t>
  </si>
  <si>
    <t>BRDP-S1-00452</t>
  </si>
  <si>
    <t>Additional information in parts lists for engine maintenance information sets</t>
  </si>
  <si>
    <t>Decide whether to indicate additional information under the heading of the parts list "Remarks" (eg, modification number applicable to the item)._x000D_</t>
  </si>
  <si>
    <t>005.002.002.004</t>
  </si>
  <si>
    <t>001.003.002</t>
  </si>
  <si>
    <t>NA: Air specific information sets - Engine maintenance information shall not be used.</t>
  </si>
  <si>
    <t>Chap 5.2.2.7 Para 2.2.3.8.6</t>
  </si>
  <si>
    <t>BRDP-S1-00453</t>
  </si>
  <si>
    <t>Standards of performance data in aircrew information</t>
  </si>
  <si>
    <t>Decide on the standards of performance to be used in the calculation._x000D_</t>
  </si>
  <si>
    <t>005.002.002.007</t>
  </si>
  <si>
    <t>002.002.003.008.006</t>
  </si>
  <si>
    <t>NA: Aircrew information shall not be used.</t>
  </si>
  <si>
    <t>Chap 5.2.2.7 Para 2.2.4.2</t>
  </si>
  <si>
    <t>BRDP-S1-00455</t>
  </si>
  <si>
    <t>Select model for checklist for structures in aircrew information</t>
  </si>
  <si>
    <t>Decide which of the two models are used to structure checklists._x000D_</t>
  </si>
  <si>
    <t>002.002.004.002</t>
  </si>
  <si>
    <t>Chap 5.2.2.7 Para 2.2.4.7</t>
  </si>
  <si>
    <t>BRDP-S1-00456</t>
  </si>
  <si>
    <t>Order of drills in aircrew information</t>
  </si>
  <si>
    <t>Decide whether the order of drills will be project specific. Limitations and operating data required by the project must be included._x000D_</t>
  </si>
  <si>
    <t>002.002.004.007</t>
  </si>
  <si>
    <t>BRDP-S1-00457</t>
  </si>
  <si>
    <t>Supplementing the order of drills in aircrew information</t>
  </si>
  <si>
    <t>Decide whether to supplement the order of drills checklist listing._x000D_</t>
  </si>
  <si>
    <t>Chap 5.2.2.7 Para 2.2.4.8</t>
  </si>
  <si>
    <t>BRDP-S1-00458</t>
  </si>
  <si>
    <t>Numbering of checks within drills in aircrew information</t>
  </si>
  <si>
    <t>Decide on the numbering of checks within each drill._x000D_</t>
  </si>
  <si>
    <t>002.002.004.008</t>
  </si>
  <si>
    <t>Chap 5.2.3.1 Para 1.2.2</t>
  </si>
  <si>
    <t>BRDP-S1-00459</t>
  </si>
  <si>
    <t>Description types for Land/Sea Products for the crew/operators</t>
  </si>
  <si>
    <t>Decide on the description types to be used: functional, physical breakdown, or external equipment._x000D_</t>
  </si>
  <si>
    <t>005.002.003.001</t>
  </si>
  <si>
    <t>001.002.002</t>
  </si>
  <si>
    <t>Descriptive information for operators shall include description of function data modules, to a level of detail sufficient to correctly and safely operate the system/equipment.</t>
  </si>
  <si>
    <t>Chap 5.3.1.1 Para 2.2</t>
  </si>
  <si>
    <t>BRDP-S1-00426</t>
  </si>
  <si>
    <t>Schema to be used for front matter data modules</t>
  </si>
  <si>
    <t>Decide which Schemas to be used to capture the different front matter data module types._x000D_</t>
  </si>
  <si>
    <t>005.003.001.001</t>
  </si>
  <si>
    <t xml:space="preserve">The descriptive Schema shall be used for front matter data modules.
</t>
  </si>
  <si>
    <t>BRDP-S1-00460</t>
  </si>
  <si>
    <t>Front matter to be included in page-oriented publications and IETP, respectively</t>
  </si>
  <si>
    <t>Decide which front matter is to be included (mandatory or optional) in each of the page-oriented publications and in the IETP. The decisions must be based on the rules given in Chap 3.9.4._x000D_</t>
  </si>
  <si>
    <t>Mandatory front matter DMs are described in the S1000D Agency Instruction.</t>
  </si>
  <si>
    <t>BRDP-S1-00461</t>
  </si>
  <si>
    <t>Front matter information codes</t>
  </si>
  <si>
    <t>Decide which front matter information codes to use, the basic (eg, IC 00R) or the alternative (eg, IC 002)._x000D_</t>
  </si>
  <si>
    <t>Information codes are defined in the S1000D NCI Agency Instruction.</t>
  </si>
  <si>
    <t>Chap 5.3.1.3 Para 1.2</t>
  </si>
  <si>
    <t>BRDP-S1-00462</t>
  </si>
  <si>
    <t>IPD as a standalone publication</t>
  </si>
  <si>
    <t>Decide if the IPD must be produced as a stand-alone publication or the IPD data modules included in another publication (eg, an equipment maintenance publication including IPD)._x000D_</t>
  </si>
  <si>
    <t>005.003.001.003</t>
  </si>
  <si>
    <t>The IPD data shall be included in the Operations and Maintenance Publication Module.</t>
  </si>
  <si>
    <t>Chap 5.3.1.4 Para 1.5.8</t>
  </si>
  <si>
    <t>BRDP-S1-00464</t>
  </si>
  <si>
    <t>Use of task sets in the CMP</t>
  </si>
  <si>
    <t>Decide whether to use task sets in the CMP._x000D_</t>
  </si>
  <si>
    <t>005.003.001.004</t>
  </si>
  <si>
    <t>001.005.008</t>
  </si>
  <si>
    <t>Task sets shall not be used.</t>
  </si>
  <si>
    <t>Chap 5.3.1.4 Para 1.5.13</t>
  </si>
  <si>
    <t>BRDP-S1-00465</t>
  </si>
  <si>
    <t>Use of placeholder data modules in the CMP</t>
  </si>
  <si>
    <t>Decide whether "placeholder" data modules are required for those topics where data is not required or necessary._x000D_</t>
  </si>
  <si>
    <t>001.005.013</t>
  </si>
  <si>
    <t>Placeholder data modules shall not be used.</t>
  </si>
  <si>
    <t>Chap 5.3.1.4 Para 2.2.1</t>
  </si>
  <si>
    <t>BRDP-S1-00466</t>
  </si>
  <si>
    <t>Front matter to be used in the CMP</t>
  </si>
  <si>
    <t>Decide what front matter data modules to be used and their content._x000D_</t>
  </si>
  <si>
    <t>Mandatory front matter DMs are described in the NCIA S1000D Agency Instruction.</t>
  </si>
  <si>
    <t>Chap 5.3.1.4 Para 2.2.9</t>
  </si>
  <si>
    <t>BRDP-S1-00468</t>
  </si>
  <si>
    <t>Incorporating Service bulletins into the CMP</t>
  </si>
  <si>
    <t>Decide on the updating frequency for incorporating Service bulletins into the CMP._x000D_</t>
  </si>
  <si>
    <t>002.002.009</t>
  </si>
  <si>
    <t>NA: Sevice Bulletins shall not be used.</t>
  </si>
  <si>
    <t>Chap 5.3.1.4 Para 2.3.2.1</t>
  </si>
  <si>
    <t>BRDP-S1-00470</t>
  </si>
  <si>
    <t>Inclusion of maintenance planning information in the CMP</t>
  </si>
  <si>
    <t>Decide whether to include maintenance planning information in the CMP._x000D_</t>
  </si>
  <si>
    <t>Maintenance planning information shall be included in the OMM.</t>
  </si>
  <si>
    <t>Chap 5.3.1.4 Para 2.3.2.2</t>
  </si>
  <si>
    <t>BRDP-S1-00471</t>
  </si>
  <si>
    <t>Inclusion of removal and installation information in the CMP</t>
  </si>
  <si>
    <t>Decide whether to include removal and installation information in the CMP._x000D_</t>
  </si>
  <si>
    <t>Removal and installation information shall be included in the OMM.</t>
  </si>
  <si>
    <t>Chap 5.3.1.4 Para 2.3.2.5</t>
  </si>
  <si>
    <t>BRDP-S1-00472</t>
  </si>
  <si>
    <t>Inclusion of test support data in the CMP</t>
  </si>
  <si>
    <t>Decide whether to include manufacturer's test support data and, if so, decide the format of the data._x000D_</t>
  </si>
  <si>
    <t>002.003.002.005</t>
  </si>
  <si>
    <t>Testing information shall be included in the OMM as "Test" data modules i.a.w.the information codes described in the S1000D Agency Instruction.</t>
  </si>
  <si>
    <t>Chap 6.2 Para 1</t>
  </si>
  <si>
    <t>BRDP-S1-00473</t>
  </si>
  <si>
    <t>Use of the S1000D standard page-oriented presentation chapters</t>
  </si>
  <si>
    <t>Decide whether to use the S1000D standard page-oriented presentation given in Chap 6.2.2 and Chap 6.2.3 or to use any other rules for presentation to meet specific project or organization requirements. The business rules must specify all the requirements needed to contract the desired presentation._x000D_</t>
  </si>
  <si>
    <t>006.002</t>
  </si>
  <si>
    <t>Use the S1000D standard page-oriented presentation Ch.ters</t>
  </si>
  <si>
    <t>Chap 6.2.1 Para 1</t>
  </si>
  <si>
    <t>BRDP-S1-00474</t>
  </si>
  <si>
    <t>Use of mirrored headers and footers</t>
  </si>
  <si>
    <t>Decide whether to use mirrored headers and footers._x000D_</t>
  </si>
  <si>
    <t>006.002.001</t>
  </si>
  <si>
    <t>Hheaders and footers shall not be mirrored.</t>
  </si>
  <si>
    <t>Chap 6.2.1 Para 2.1</t>
  </si>
  <si>
    <t>BRDP-S1-00475</t>
  </si>
  <si>
    <t>Page size</t>
  </si>
  <si>
    <t>Decide which page size to be used (including sizes when foldouts are allowed) per publication._x000D_</t>
  </si>
  <si>
    <t>Page orientated publications shall be A4 size with A3 foldouts.</t>
  </si>
  <si>
    <t>BRDP-S1-00476</t>
  </si>
  <si>
    <t>Presentation of foldouts in page-oriented publications</t>
  </si>
  <si>
    <t>Decide where (eg, interspersed or at the end of the publication) the foldouts must be located in page-oriented publications._x000D_</t>
  </si>
  <si>
    <t>Foldouts in page-oriented publications shall be located i.a.w. the product breakdown and publication structure.</t>
  </si>
  <si>
    <t>Chap 6.2.1 Para 2.2</t>
  </si>
  <si>
    <t>BRDP-S1-00477</t>
  </si>
  <si>
    <t>Presentation of inwork markings</t>
  </si>
  <si>
    <t>Decide whether to present the inwork markings. The details must be documented._x000D_</t>
  </si>
  <si>
    <t>Inwork markings shall not be visible.</t>
  </si>
  <si>
    <t>Chap 6.2.1 Para 2.3</t>
  </si>
  <si>
    <t>BRDP-S1-00478</t>
  </si>
  <si>
    <t>Presentation of "Produced by" - "Printed in"</t>
  </si>
  <si>
    <t>Decide whether to present the responsible producer of the page-oriented output and/or where the publication was printed._x000D_</t>
  </si>
  <si>
    <t>NA: Publications will be provided in electronic format.</t>
  </si>
  <si>
    <t>Chap 6.2.1 Para 2.4.1.1</t>
  </si>
  <si>
    <t>BRDP-S1-00479</t>
  </si>
  <si>
    <t>Presentation of publication module code</t>
  </si>
  <si>
    <t>Decide whether to use the S1000D standard page-oriented presentation rules for the publication module code or to create project or organization specific rules for its positioning and style within the header._x000D_</t>
  </si>
  <si>
    <t>Page orientated publications shall follow standard S1000D presentation rules.</t>
  </si>
  <si>
    <t>Chap 6.2.1 Para 2.4.1.2</t>
  </si>
  <si>
    <t>BRDP-S1-00480</t>
  </si>
  <si>
    <t>Presentation of data module code</t>
  </si>
  <si>
    <t>Decide whether to use the S1000D standard page-oriented presentation rules for the data module code or to create project or organization specific rules for its positioning and style within the footer._x000D_</t>
  </si>
  <si>
    <t>Chap 6.2.1 Para 2.4.1.3</t>
  </si>
  <si>
    <t>BRDP-S1-00481</t>
  </si>
  <si>
    <t>Presentation of issue date</t>
  </si>
  <si>
    <t>Decide whether to use S1000D standard page-oriented presentation rules for the issue date or to create project or organization specific rules for its positioning in the bottom of the footer._x000D_</t>
  </si>
  <si>
    <t>002.004.001.003</t>
  </si>
  <si>
    <t>Chap 6.2.1 Para 2.4.1.4</t>
  </si>
  <si>
    <t>BRDP-S1-00482</t>
  </si>
  <si>
    <t>Presentation of page number</t>
  </si>
  <si>
    <t>Decide whether to use the S1000D standard page-oriented presentation rules for the page number or to create project or organization specific rules for its positioning in the footer._x000D_</t>
  </si>
  <si>
    <t>002.004.001.004</t>
  </si>
  <si>
    <t>BRDP-S1-00483</t>
  </si>
  <si>
    <t>Page numbering of foldout pages</t>
  </si>
  <si>
    <t>Decide whether to use double numbering of pages when printed on one (right-hand) side only (eg, 11/12, 13/14)._x000D_</t>
  </si>
  <si>
    <t>Page orientated publications shall not use double numbering for foldouts.</t>
  </si>
  <si>
    <t>Chap 6.2.1 Para 2.4.1.5</t>
  </si>
  <si>
    <t>BRDP-S1-00484</t>
  </si>
  <si>
    <t>Presentation of applicability annotation</t>
  </si>
  <si>
    <t>Decide whether to use the S1000D standard page-oriented presentation rules for the applicability annotation or to create project or organization specific rules for the presentation._x000D_</t>
  </si>
  <si>
    <t>002.004.001.005</t>
  </si>
  <si>
    <t>NA: Applicability shall not be used for page orientated publications.</t>
  </si>
  <si>
    <t>Chap 6.2.1 Para 2.4.2</t>
  </si>
  <si>
    <t>BRDP-S1-00485</t>
  </si>
  <si>
    <t>Presentation of security markings</t>
  </si>
  <si>
    <t>Decide whether to present the security markings in sentence case instead of in uppercase._x000D_</t>
  </si>
  <si>
    <t>002.004.002</t>
  </si>
  <si>
    <t xml:space="preserve">The security classification of S1000D publication modules shall be generated by the IETP viewer in uppercase bold. All other publications shall be edited to show the security classification in uppercase bold i.a.w. AGENCY INSTRUCTION AI 06.01.01 MARKING OF NCI AGENCY INFORMATION: "All NCI Agency information intended for printed form or electronic display should carry a NATO information marking at the top and/or bottom of each page, centred. Ownership, classification and administrative/category markings should be indicated in full capitals, in bold. Releasability/ dissemination limitation markings should be indicated in title case, regular script, centred, below the ownership, classification and administrative/category markings. If the latter markings are applied to both top and bottom, then the releasability/dissemination limitation marking should be applied to the top of the page only."
</t>
  </si>
  <si>
    <t>BRDP-S1-00486</t>
  </si>
  <si>
    <t>Presentation of commercial classification and/or caveat as security markings</t>
  </si>
  <si>
    <t>Decide whether to use the commercial classification (value of attribute commercialClassification) and/or national caveat (value of attribute caveat) as an alternative to the security classification (value of the attribute securityClassification)._x000D_</t>
  </si>
  <si>
    <t>The commercial classification shall not be used.</t>
  </si>
  <si>
    <t>BRDP-S1-00568</t>
  </si>
  <si>
    <t>Presentation of derivative classification markings</t>
  </si>
  <si>
    <t>Decide whether to use and when to use the derivative classification (value of the &lt;classificationAction&gt; elements within the &lt;classificationActionGroup&gt; defined by the IDREF in the attribute derivativeClassificationRefId)._x000D_</t>
  </si>
  <si>
    <t>Derivative classification markings shall not be used.</t>
  </si>
  <si>
    <t>BRDP-S1-00487</t>
  </si>
  <si>
    <t>Exclude presentation of security markings for unclassified publications</t>
  </si>
  <si>
    <t>Decide whether to exclude the presentation of security markings for unclassified publications._x000D_</t>
  </si>
  <si>
    <t>All publications shall include security markings; unclassified publications are not excluded.</t>
  </si>
  <si>
    <t>Chap 6.2.1 Para 2.4.3</t>
  </si>
  <si>
    <t>BRDP-S1-00488</t>
  </si>
  <si>
    <t>Presentation of safety classification_x000D_</t>
  </si>
  <si>
    <t>Decide whether to use the S1000D standard page-oriented presentation rules for the safety classification (attribute safetyLabel of the element &lt;productSafety&gt;) or to create project or organization specific rules for the presentation._x000D_</t>
  </si>
  <si>
    <t>NA: The element &lt;productSafety&gt; shall not be used.</t>
  </si>
  <si>
    <t>Chap 6.2.1 Para 2.4.4</t>
  </si>
  <si>
    <t>BRDP-S1-00489</t>
  </si>
  <si>
    <t>Presentation of the element &lt;logo&gt;</t>
  </si>
  <si>
    <t>Decide whether to present any of the logotypes given in the element &lt;logo&gt; and how this element is presented (eg, size, color)._x000D_</t>
  </si>
  <si>
    <t>002.004.004</t>
  </si>
  <si>
    <t>The element &lt;logo&gt; shall be used only on the title page.</t>
  </si>
  <si>
    <t>Chap 6.2.1 Para 2.4.5</t>
  </si>
  <si>
    <t>BRDP-S1-00490</t>
  </si>
  <si>
    <t>Presentation of "End of data module" statement</t>
  </si>
  <si>
    <t>Decide on the text that will be used to identify the end of a data module, either "End of data module" or "End of" followed by the data module title._x000D_</t>
  </si>
  <si>
    <t>002.004.005</t>
  </si>
  <si>
    <t>The "End of data module" statement shall not be used.</t>
  </si>
  <si>
    <t>BRDP-S1-00491</t>
  </si>
  <si>
    <t>Placement of the end of data module statement</t>
  </si>
  <si>
    <t>Decide whether to present the "End of" statement in the footer or in the body of the page._x000D_</t>
  </si>
  <si>
    <t>NA: "End of data module" statement shall not be used.</t>
  </si>
  <si>
    <t>Chap 6.2.1 Para 2.5</t>
  </si>
  <si>
    <t>BRDP-S1-00492</t>
  </si>
  <si>
    <t>Use of double column text</t>
  </si>
  <si>
    <t>Decide whether to use double column text, and under what circumstances. Typography for double column page layout must be documented._x000D_</t>
  </si>
  <si>
    <t>Double column text shall not be used.</t>
  </si>
  <si>
    <t>Chap 6.2.1 Para 2.6.1</t>
  </si>
  <si>
    <t>BRDP-S1-00493</t>
  </si>
  <si>
    <t>Double sided printing of foldout pages</t>
  </si>
  <si>
    <t>Decide whether to use double sided printing on foldout pages._x000D_
Note_x000D_
A3L paper in A3L binders are normally printed on both sides._x000D_</t>
  </si>
  <si>
    <t>Publications are provided in electronic format only.</t>
  </si>
  <si>
    <t>Chap 6.2.2 Para 2.3.1</t>
  </si>
  <si>
    <t>BRDP-S1-00494</t>
  </si>
  <si>
    <t>Presentation of the procedural step titles from the element &lt;proceduralStep&gt;</t>
  </si>
  <si>
    <t>Decide whether to present the titles for the element &lt;proceduralStep&gt; and to which level._x000D_</t>
  </si>
  <si>
    <t>006.002.002</t>
  </si>
  <si>
    <t>Procedural step titles shall not be used.</t>
  </si>
  <si>
    <t>BRDP-S1-00495</t>
  </si>
  <si>
    <t>Presentation of the crew drill step titles from the element &lt;crewDrillStep&gt;</t>
  </si>
  <si>
    <t>Decide whether to present the titles for the element &lt;crewDrillStep&gt; and to which level._x000D_
Note_x000D_
Presentation of the titles for steps on level six thru level eight are not given. The use of these elements is discouraged and their use and presentation are project decisions._x000D_</t>
  </si>
  <si>
    <t>BRDP-S1-00496</t>
  </si>
  <si>
    <t>Presentation of the document title</t>
  </si>
  <si>
    <t>Decide whether to present the document title as a Centerhead No. 1 and a Centerhead No. 2 or as a Centerhead No. 1 only (including both element &lt;techName&gt; and element &lt;infoName&gt;)._x000D_</t>
  </si>
  <si>
    <t>DM titles shall be presented as a Centerhead No. 1, the elements &lt;techName&gt; and &lt;infoName&gt; must be separated by a hyphen [-] surrounded by spaces [ ]. When given, the elements &lt;infoName&gt; must be separated by a comma [,], followed by a space.</t>
  </si>
  <si>
    <t>Chap 6.2.2 Para 2.3.2.2.1</t>
  </si>
  <si>
    <t>BRDP-S1-00497</t>
  </si>
  <si>
    <t>Number of sidehead levels to be presented in the Table of contents</t>
  </si>
  <si>
    <t>Decide whether to present more than three sidehead levels in the table of contents. The allowed number of sidehead levels must be stated in the business rules._x000D_</t>
  </si>
  <si>
    <t>002.003.002.002.001</t>
  </si>
  <si>
    <t>S1000D TOC shall be generated by the viewer. Other publications shall contain up to three levels of headings.</t>
  </si>
  <si>
    <t>Chap 6.2.2 Para 2.3.2.2.2</t>
  </si>
  <si>
    <t>BRDP-S1-00498</t>
  </si>
  <si>
    <t>Presentation of List of tables</t>
  </si>
  <si>
    <t>Decide whether to present the List of tables. _x000D_</t>
  </si>
  <si>
    <t>002.003.002.002.002</t>
  </si>
  <si>
    <t>Non S1000D publications shall contain a "List of tables".</t>
  </si>
  <si>
    <t>BRDP-S1-00499</t>
  </si>
  <si>
    <t>Present the prefix "Table" in the List of tables</t>
  </si>
  <si>
    <t>Decide whether to present the prefix "Table" before the table number in the List of tables. _x000D_</t>
  </si>
  <si>
    <t>The prefix "Table" in the List of tables shall be included.</t>
  </si>
  <si>
    <t>Chap 6.2.2 Para 2.3.2.2.3</t>
  </si>
  <si>
    <t>BRDP-S1-00500</t>
  </si>
  <si>
    <t>Presentation of List of figures</t>
  </si>
  <si>
    <t>Decide whether to present the List of figures. _x000D_</t>
  </si>
  <si>
    <t>002.003.002.002.003</t>
  </si>
  <si>
    <t>Non S1000D publications shall contain a "List of figures".</t>
  </si>
  <si>
    <t>BRDP-S1-00501</t>
  </si>
  <si>
    <t>Present the prefix "Fig" in the List of figures</t>
  </si>
  <si>
    <t>Decide whether to present the prefix "Fig" before the figure number in the List of figures._x000D_</t>
  </si>
  <si>
    <t>The prefix "Fig" in the List of figures shall be included.</t>
  </si>
  <si>
    <t>Chap 6.2.2 Para 2.3.2.3</t>
  </si>
  <si>
    <t>BRDP-S1-00502</t>
  </si>
  <si>
    <t>Presentation (layout) of titles</t>
  </si>
  <si>
    <t>Decide whether to use the S1000D standard presentation rules for titles (Sidehead 1 thru Sidehead 5 or if used thru Sidehead 8) or to create project or organization specific rules such as type size, leading and justification._x000D_</t>
  </si>
  <si>
    <t>002.003.002.003</t>
  </si>
  <si>
    <t>The S1000D standard presentation rules for titles (Sidehead 1 thru Sidehead 5) shall be used.</t>
  </si>
  <si>
    <t>BRDP-S1-00503</t>
  </si>
  <si>
    <t>Presentation of the leveled para titles from the element &lt;levelledPara&gt; on level six thru eight</t>
  </si>
  <si>
    <t>Decide whether to present the titles for the element &lt;levelledPara&gt; on level six thru eight._x000D_</t>
  </si>
  <si>
    <t>The titles for the element &lt;levelledPara&gt; on level six thru eight shall not be used.</t>
  </si>
  <si>
    <t>Chap 6.2.2 Para 2.3.2.4</t>
  </si>
  <si>
    <t>BRDP-S1-00504</t>
  </si>
  <si>
    <t>Use of the alternative method for labeling procedural steps at presentation</t>
  </si>
  <si>
    <t>Decide whether to use the preferred or the alternative method for labeling procedural steps. _x000D_</t>
  </si>
  <si>
    <t>002.003.002.004</t>
  </si>
  <si>
    <t>The alternative method for labeling procedural steps shall not be used.</t>
  </si>
  <si>
    <t>Chap 6.2.2 Para 2.4</t>
  </si>
  <si>
    <t>BRDP-S1-00505</t>
  </si>
  <si>
    <t>Presentation of paragraphs of text</t>
  </si>
  <si>
    <t>Decide whether to use the recommended presentation rules for type size, spacing and justification._x000D_</t>
  </si>
  <si>
    <t>Recommended S1000D presentation rules shall be used.</t>
  </si>
  <si>
    <t>Chap 6.2.2 Para 2.5</t>
  </si>
  <si>
    <t>BRDP-S1-00506</t>
  </si>
  <si>
    <t>Presentation of hierarchical indented steps, when used without titles in procedural steps</t>
  </si>
  <si>
    <t>Decide whether to use hierarchical indented steps, when used without titles._x000D_</t>
  </si>
  <si>
    <t>Hierarchical indented steps shall not be used.</t>
  </si>
  <si>
    <t>Chap 6.2.2 Para 2.6.2.1</t>
  </si>
  <si>
    <t>BRDP-S1-00507</t>
  </si>
  <si>
    <t>Prefixes to be used for random lists at presentation</t>
  </si>
  <si>
    <t>Decide whether to use a consistent set of prefixes for random list throughout the project._x000D_</t>
  </si>
  <si>
    <t>002.006.002.001</t>
  </si>
  <si>
    <t>Prefixes are described in the NCIA S1000D Agency Instruction.</t>
  </si>
  <si>
    <t>Chap 6.2.2 Para 2.7.1</t>
  </si>
  <si>
    <t>BRDP-S1-00508</t>
  </si>
  <si>
    <t>Presentation of footnote numbers</t>
  </si>
  <si>
    <t>Decide whether to present the footnote markers as superscripted numbers (default) or as numbers presented within parenthesis._x000D_</t>
  </si>
  <si>
    <t>The footnote number shall be presented as a numbers within a parenthesis</t>
  </si>
  <si>
    <t>Chap 6.2.2 Para 2.7.2</t>
  </si>
  <si>
    <t>BRDP-S1-00509</t>
  </si>
  <si>
    <t>Presentation of inline footnotes</t>
  </si>
  <si>
    <t>Decide whether to present the inline footnotes at the bottom of the page (default) or at the end of the data module._x000D_</t>
  </si>
  <si>
    <t>002.007.002</t>
  </si>
  <si>
    <t>Footnotes shall only be used for Tables.</t>
  </si>
  <si>
    <t>Chap 6.2.2 Para 2.7.3</t>
  </si>
  <si>
    <t>BRDP-S1-00510</t>
  </si>
  <si>
    <t>Presentation of table footnotes</t>
  </si>
  <si>
    <t>Decide whether to present the footnotes on the relevant page, if the table is split over several pages. Refer to Fig 2 and Fig 3._x000D_</t>
  </si>
  <si>
    <t>002.007.003</t>
  </si>
  <si>
    <t>The table footnotes shall only be presented after the end of the table</t>
  </si>
  <si>
    <t>Chap 6.2.2 Para 2.8.1</t>
  </si>
  <si>
    <t>BRDP-S1-00511</t>
  </si>
  <si>
    <t>Presentation of vertical lines in formal tables</t>
  </si>
  <si>
    <t>Decide whether to, in exceptional cases, allow presentation of vertical lines in formal table._x000D_
Note_x000D_
The rendering of the table must be based on the elements and attributes in the XML files._x000D_
The author must apply elements and attributes as defined in Chap 3.9.5.2.1.6 in order to achieve the layout described in this chapter._x000D_</t>
  </si>
  <si>
    <t>002.008.001</t>
  </si>
  <si>
    <t xml:space="preserve">Vertical lines in formal tables shall be used.
</t>
  </si>
  <si>
    <t>Chap 6.2.2 Para 2.9.1</t>
  </si>
  <si>
    <t>BRDP-S1-00512</t>
  </si>
  <si>
    <t>Use of the alternative individual numbering of multi sheet illustrations at presentation</t>
  </si>
  <si>
    <t>Decide whether to use one of the alternative methods for individual numbering of multi sheet illustrations. The chosen method must be used throughout the project._x000D_</t>
  </si>
  <si>
    <t>002.009.001</t>
  </si>
  <si>
    <t>The same figure number shall be used for all multiple illustration sheets accompanied by the sheet number (eg. Figure 8 - Sheet 1 of 2).</t>
  </si>
  <si>
    <t>BRDP-S1-00569</t>
  </si>
  <si>
    <t>Presentation of ICN</t>
  </si>
  <si>
    <t>Decide whether to present the ICN (content of attribute infoEntityIdent) for each illustration._x000D_</t>
  </si>
  <si>
    <t>The ICN shall not be displayed on the illustration.</t>
  </si>
  <si>
    <t>Chap 6.2.2 Para 2.10.2.1</t>
  </si>
  <si>
    <t>BRDP-S1-00513</t>
  </si>
  <si>
    <t>Presentation of warnings and cautions</t>
  </si>
  <si>
    <t>Decide whether to use the alternative rule to present the warnings before the step/para number._x000D_
Note_x000D_
Projects must be aware of potential hazards when allowing step numbers to follow the warning and ensure that there is a clear connection in the presentation between the warning and the associated steps._x000D_</t>
  </si>
  <si>
    <t>002.010.002.001</t>
  </si>
  <si>
    <t>Warnings and cautions shall be presented before the step number.</t>
  </si>
  <si>
    <t>BRDP-S1-00514</t>
  </si>
  <si>
    <t>Presentation of symbols in warnings and cautions</t>
  </si>
  <si>
    <t>Decide whether to present symbols in warnings and cautions. The symbols must be standardized and documented. _x000D_</t>
  </si>
  <si>
    <t>Chap 6.2.2 Para 2.10.2.2</t>
  </si>
  <si>
    <t>BRDP-S1-00515</t>
  </si>
  <si>
    <t>Use of symbolic presentation of warnings and cautions</t>
  </si>
  <si>
    <t>Decide whether to use symbolic presentations of warnings and cautions. _x000D_</t>
  </si>
  <si>
    <t>002.010.002.002</t>
  </si>
  <si>
    <t xml:space="preserve">Symbolic presentations of warnings and cautions shall not be used.
</t>
  </si>
  <si>
    <t>Chap 6.2.2 Para 2.10.4</t>
  </si>
  <si>
    <t>BRDP-S1-00516</t>
  </si>
  <si>
    <t>Use of numbered notes within a data module at presentation</t>
  </si>
  <si>
    <t>Decide whether to use numbered notes within a data module. _x000D_</t>
  </si>
  <si>
    <t>002.010.004</t>
  </si>
  <si>
    <t>Notes shall not be numbered within a data module.</t>
  </si>
  <si>
    <t>Chap 6.2.2 Para 2.13.1</t>
  </si>
  <si>
    <t>BRDP-S1-00517</t>
  </si>
  <si>
    <t>Display of change marks</t>
  </si>
  <si>
    <t>Decide whether to display change marks._x000D_</t>
  </si>
  <si>
    <t>002.013.001</t>
  </si>
  <si>
    <t>Change marks shall be displayed to show the changes from the previous issue.</t>
  </si>
  <si>
    <t>BRDP-S1-00518</t>
  </si>
  <si>
    <t>Presentation of change marks</t>
  </si>
  <si>
    <t>Decide whether to use an alternative visual presentation as change marker._x000D_</t>
  </si>
  <si>
    <t>The default change bar in the form of a vertical black line to the left  of the changed lines shall be used.</t>
  </si>
  <si>
    <t>BRDP-S1-00519</t>
  </si>
  <si>
    <t>Presentation of change marking of individual table rows</t>
  </si>
  <si>
    <t>Decide whether to present change marks for individual table rows._x000D_</t>
  </si>
  <si>
    <t>The change bar shall be against the row that contains the change.</t>
  </si>
  <si>
    <t>Chap 6.2.2 Para 2.14</t>
  </si>
  <si>
    <t>BRDP-S1-00570</t>
  </si>
  <si>
    <t>002.014</t>
  </si>
  <si>
    <r>
      <t xml:space="preserve">The attribute </t>
    </r>
    <r>
      <rPr>
        <sz val="10"/>
        <color rgb="FFFF0000"/>
        <rFont val="Arial"/>
        <family val="2"/>
      </rPr>
      <t>controlAuthorityRefs</t>
    </r>
    <r>
      <rPr>
        <sz val="10"/>
        <rFont val="Arial"/>
        <family val="2"/>
      </rPr>
      <t xml:space="preserve"> shall not be used.</t>
    </r>
  </si>
  <si>
    <t>Chap 6.2.2 Para 2.15.1</t>
  </si>
  <si>
    <t>BRDP-S1-00520</t>
  </si>
  <si>
    <t>Presentation of data module titles in the reference table</t>
  </si>
  <si>
    <t>Decide whether to present the data module title in the reference table ("Table 1  References")._x000D_</t>
  </si>
  <si>
    <t>002.015.001</t>
  </si>
  <si>
    <t>The data module title shall be presented in the reference table.</t>
  </si>
  <si>
    <t>BRDP-S1-00521</t>
  </si>
  <si>
    <t>Presentation of publication module/non-S1000D publication titles in the reference table</t>
  </si>
  <si>
    <t>Decide whether to present the title (element &lt;pmTitle&gt;/&lt;externalPubTitle&gt;) or the short title (element &lt;shortPmTitle&gt;/&lt;shortExternalPubTitle&gt;), or both, in the reference table ("Table 1  References")._x000D_</t>
  </si>
  <si>
    <t>The title (element &lt;pmTitle&gt;/&lt;externalPubTitle&gt;) shall be presented in the reference table.</t>
  </si>
  <si>
    <t>BRDP-S1-00522</t>
  </si>
  <si>
    <t>Order of presentation of references in the reference table</t>
  </si>
  <si>
    <t>Decide in which order the referenced document is presented in the reference table ("Table 1  References"): In order of appearance, alphabetical order, data modules before publications, etc._x000D_</t>
  </si>
  <si>
    <t>The reference table shall be generated by the IETP Viewer. Data Modules shall be presented first followed external publications.</t>
  </si>
  <si>
    <t>Chap 6.2.2 Para 2.15.2</t>
  </si>
  <si>
    <t>BRDP-S1-00523</t>
  </si>
  <si>
    <t>Inline presentation of non-S1000D publication titles</t>
  </si>
  <si>
    <t>Decide whether to present the external publication code (element &lt;externalPubCode&gt;), the title (element &lt;externalPubTitle&gt;) or the short title (element &lt;shortExternalPubTitle&gt;) as the inline reference._x000D_</t>
  </si>
  <si>
    <t>002.015.002</t>
  </si>
  <si>
    <t>The external publication title (element &lt;externalPubTitle&gt;) shall be presented as the inline reference.</t>
  </si>
  <si>
    <t>Chap 6.2.2 Para 2.16</t>
  </si>
  <si>
    <t>BRDP-S1-00097</t>
  </si>
  <si>
    <t>Presentation of the target titles in cross-references</t>
  </si>
  <si>
    <t>Decide whether to present the target titles given in the element &lt;title&gt;._x000D_
Note_x000D_
Presentation of the titles depends on the presentation system and its settings._x000D_</t>
  </si>
  <si>
    <t>002.016</t>
  </si>
  <si>
    <t xml:space="preserve">Target titles given in the element &lt;title&gt; shall be presented.
</t>
  </si>
  <si>
    <t>BRDP-S1-00524</t>
  </si>
  <si>
    <t>Presentation of the name of spares, supplies and support equipment</t>
  </si>
  <si>
    <t>Decide whether to present the name (element &lt;name&gt;) or the abbreviated alternate name (element &lt;shortName&gt;), as the cross-reference in the text._x000D_</t>
  </si>
  <si>
    <t>The name (element &lt;name&gt;) shall be presented as the cross-reference in the text.</t>
  </si>
  <si>
    <t>Chap 6.2.2 Para 2.17.1</t>
  </si>
  <si>
    <t>BRDP-S1-00525</t>
  </si>
  <si>
    <t>Use of the alternative method for presentation of applicability statements</t>
  </si>
  <si>
    <t>Decide whether to use the preferred or the alternative method for presentation of applicability statements. _x000D_</t>
  </si>
  <si>
    <t>002.017.001</t>
  </si>
  <si>
    <t>Applicability shall be used only for S1000D IETPs. The applicability statement style shall be defined by the IETP viewing tool.</t>
  </si>
  <si>
    <t>Chap 6.2.2 Para 2.17.3</t>
  </si>
  <si>
    <t>BRDP-S1-00526</t>
  </si>
  <si>
    <t>Decide on highlighting the applicability default heading and statement at presentation</t>
  </si>
  <si>
    <t>Decide whether to highlight (blue and bold) the default heading and applicability statement at presentation._x000D_
_x000D_</t>
  </si>
  <si>
    <t>002.017.003</t>
  </si>
  <si>
    <t>Chap 6.2.3.1 Para 2.2</t>
  </si>
  <si>
    <t>BRDP-S1-00527</t>
  </si>
  <si>
    <t>Elements and attributes to be presented on the Title page</t>
  </si>
  <si>
    <t>Decide which elements and attributes to be presented on the Title page._x000D_
Note_x000D_
The decisions must be coordinated/based on the decisions taken for the Business rules decision points given in Chap 3.9.4 and Chap 3.9.5.2.16._x000D_</t>
  </si>
  <si>
    <t>006.002.003.001</t>
  </si>
  <si>
    <t xml:space="preserve">The front shall include the:
− Product, project or any commercial name (optional). 
− publication title/volume
− publication module code
− issue number and issue date of the publication
− project’s logotype (NCIA logo)
− security classification
</t>
  </si>
  <si>
    <t>BRDP-S1-00528</t>
  </si>
  <si>
    <t>Size of the product illustration on the Title page</t>
  </si>
  <si>
    <t>Decide on the height of the product illustration on the Title page, if used._x000D_</t>
  </si>
  <si>
    <t>NA</t>
  </si>
  <si>
    <t>Chap 6.2.3.1 Para 2.3</t>
  </si>
  <si>
    <t>BRDP-S1-00529</t>
  </si>
  <si>
    <t>Elements and attributes to be presented on the Table of contents page</t>
  </si>
  <si>
    <t>Decide which elements and attributes to be presented on the Table of contents page._x000D_
Note_x000D_
The decisions must be coordinated/based on the decisions taken for the Business rules decision points given in Chap 3.9.4 and Chap 3.9.5.2.16._x000D_</t>
  </si>
  <si>
    <t>S1000D Publications shall not have a ToC.</t>
  </si>
  <si>
    <t>BRDP-S1-00571</t>
  </si>
  <si>
    <t>Number of levels in Table of contents</t>
  </si>
  <si>
    <t>Decide on the number of levels to be presented in Table of contents._x000D_</t>
  </si>
  <si>
    <t>Page orientated publicationsshall include up to three levels on the ToC.</t>
  </si>
  <si>
    <t>Chap 6.2.3.1 Para 2.4</t>
  </si>
  <si>
    <t>BRDP-S1-00530</t>
  </si>
  <si>
    <t>Elements and attributes to be presented on the List of effective pages</t>
  </si>
  <si>
    <t>Decide which elements and attributes to be presented on the List of effective pages._x000D_
Note_x000D_
The decisions must be coordinated/based on the decisions taken for the Business rules decision points given in Chap 3.9.4 and Chap 3.9.5.2.16._x000D_</t>
  </si>
  <si>
    <t>The LOEP shall not be used.</t>
  </si>
  <si>
    <t>Chap 6.2.3.1 Para 2.5</t>
  </si>
  <si>
    <t>BRDP-S1-00531</t>
  </si>
  <si>
    <t>Elements and attributes to be presented on the List of effective data modules</t>
  </si>
  <si>
    <t>Decide which elements and attributes to be presented on the List of effective data modules._x000D_
Note_x000D_
The decisions must be coordinated/based on the decisions taken for the Business rules decision points given in Chap 3.9.4 and Chap 3.9.5.2.16._x000D_</t>
  </si>
  <si>
    <t>Elements and attributes to be presented on the List of effective data modules are defined in the Writing Style Guide (WSG) Agency Instruction 16.3x.yy</t>
  </si>
  <si>
    <t>Chap 6.2.3.1 Para 2.7</t>
  </si>
  <si>
    <t>BRDP-S1-00532</t>
  </si>
  <si>
    <t>Elements and attributes to be presented on the Highlights data modules</t>
  </si>
  <si>
    <t>Decide which elements and attributes to be presented on the Highlights data modules._x000D_
Note_x000D_
The decisions must be coordinated/based on the decisions taken for the Business rules decision points given in Chap 3.9.4 and Chap 3.9.5.2.16._x000D_</t>
  </si>
  <si>
    <t xml:space="preserve">The element &lt;reducedPara&gt; contains the introductory paragraph of the actual Front matter. The elements Reason for update and DM ref shall be used.
</t>
  </si>
  <si>
    <t>Chap 6.2.3.3 Para 1</t>
  </si>
  <si>
    <t>BRDP-S1-00572</t>
  </si>
  <si>
    <t>Presentation of data module code extension in references and tables</t>
  </si>
  <si>
    <t>Decide whether and when to present the DME in references and tables._x000D_</t>
  </si>
  <si>
    <t>006.002.003.003</t>
  </si>
  <si>
    <t>Data module code extensions shall not be used.</t>
  </si>
  <si>
    <t>BRDP-S1-00573</t>
  </si>
  <si>
    <t>Presentation of issue number of the data module or the technical publication in references and tables</t>
  </si>
  <si>
    <t>Decide whether and when to present the issue number of the data module or the technical publication in references and tables._x000D_</t>
  </si>
  <si>
    <t xml:space="preserve">The issue number of technical publications shall be presented in references and tables.
</t>
  </si>
  <si>
    <t>Chap 6.2.3.3 Para 2.5.1</t>
  </si>
  <si>
    <t>BRDP-S1-00574</t>
  </si>
  <si>
    <t>Presentation of Production management data</t>
  </si>
  <si>
    <t>Decide whether to present Production management data._x000D_</t>
  </si>
  <si>
    <t>Production management data shall not be presented.</t>
  </si>
  <si>
    <t>Chap 6.2.3.3 Para 2.5.5.2</t>
  </si>
  <si>
    <t>BRDP-S1-00575</t>
  </si>
  <si>
    <t>Presentation of Name and Alternate name</t>
  </si>
  <si>
    <t>Decide whether to present only Name or both Name and Alternate name in the list of support equipment. _x000D_
When an Alternate name is used, this is the name that is presented in the data module when referred to by its attribute internalRefId._x000D_</t>
  </si>
  <si>
    <t>002.005.005.002</t>
  </si>
  <si>
    <t>Alternate support equipment shall not be used.</t>
  </si>
  <si>
    <t>Chap 6.3 Para 2</t>
  </si>
  <si>
    <t>BRDP-S1-00533</t>
  </si>
  <si>
    <t>Use of rules and guidance for IETP</t>
  </si>
  <si>
    <t>Decide whether to use the rules and guidance for look and feel, and printed output from an IETP detailed in Chap 6.3.1 or an alternate output specification._x000D_</t>
  </si>
  <si>
    <t>006.003</t>
  </si>
  <si>
    <t>NA: Refer to BRDP-537</t>
  </si>
  <si>
    <t>Chap 6.3.1 Para 2.4.2</t>
  </si>
  <si>
    <t>BRDP-S1-00534</t>
  </si>
  <si>
    <t>Main menu bar functions in the IETP viewer</t>
  </si>
  <si>
    <t>Decide which, if any, of the basic set of main menu bar functions to mandate._x000D_</t>
  </si>
  <si>
    <t>006.003.001</t>
  </si>
  <si>
    <t>Chap 6.3.1 Para 2.4.2.6</t>
  </si>
  <si>
    <t>BRDP-S1-00535</t>
  </si>
  <si>
    <t>Printing of classified data_x000D_</t>
  </si>
  <si>
    <t>Decide whether to allow the printing of classified data. If not allowed, the print function must be disabled when classified data is presented in the IETP viewer._x000D_</t>
  </si>
  <si>
    <t>002.004.002.006</t>
  </si>
  <si>
    <t>Classified IETPs are not allowed. 
Printing functionality of classified data shall be disabled.</t>
  </si>
  <si>
    <t>Chap 6.3.1 Para 2.4.3</t>
  </si>
  <si>
    <t>BRDP-S1-00536</t>
  </si>
  <si>
    <t>Additional information bar in the IETP viewer</t>
  </si>
  <si>
    <t>Decide on the use of an additional information bar.  If used, it must be decided which information to be available in the additional information bar._x000D_</t>
  </si>
  <si>
    <t>Chap 6.4.1 Para 2.1.1.12</t>
  </si>
  <si>
    <t>BRDP-S1-00537</t>
  </si>
  <si>
    <t>Use of the functionality matrix</t>
  </si>
  <si>
    <t>Decide whether to use the functionality matrix. If used, fill in the functionality matrix. Refer to Chap 6.4.2._x000D_</t>
  </si>
  <si>
    <t>006.004.001</t>
  </si>
  <si>
    <t>002.001.001.012</t>
  </si>
  <si>
    <t>NA: The IETP Viewer functionalities have been implemented in the IETP Viewing tool provided by NCIA.</t>
  </si>
  <si>
    <t>Chap 6.4.1 Para 2.3.4</t>
  </si>
  <si>
    <t>BRDP-S1-00538</t>
  </si>
  <si>
    <t>Modification of the functionality matrix due to selection of information sets</t>
  </si>
  <si>
    <t>Decide on which modifications are needed in the functionality matrix due to the selection of information sets. Refer to BRDP-S1-00004._x000D_</t>
  </si>
  <si>
    <t>Chap 6.4.1 Para 2.4.12.3</t>
  </si>
  <si>
    <t>BRDP-S1-00539</t>
  </si>
  <si>
    <t>Selection of functionality using the functionality matrix</t>
  </si>
  <si>
    <t>Decide on which functionality is required in the technical publications._x000D_</t>
  </si>
  <si>
    <t>002.004.012.003</t>
  </si>
  <si>
    <t>Chap 7.4.3 Para 2.1</t>
  </si>
  <si>
    <t>BRDP-S1-00540</t>
  </si>
  <si>
    <t>Population of the element &lt;externalPubCode&gt;</t>
  </si>
  <si>
    <t>Decide the preferred syntax to identify legacy data by a publication code._x000D_</t>
  </si>
  <si>
    <t>007.004.003</t>
  </si>
  <si>
    <t>The element &lt;externalPubCode&gt; shall not be used.</t>
  </si>
  <si>
    <t>BRDP-S1-00541</t>
  </si>
  <si>
    <t>Use of the attribute pubCodingScheme</t>
  </si>
  <si>
    <t>Decide whether to use the attribute pubCodingScheme. If used, decide on the set of allowed coding schemes and the syntax of those schemes._x000D_</t>
  </si>
  <si>
    <t>The attribute pubCodingScheme shall not be used.</t>
  </si>
  <si>
    <t>Chap 7.4.3 Para 2.3</t>
  </si>
  <si>
    <t>BRDP-S1-00542</t>
  </si>
  <si>
    <t>Method to include legacy information in an IETP</t>
  </si>
  <si>
    <t>Decide whether to include legacy information by encapsulating it in data modules or by referencing it as external publications using the publication module._x000D_</t>
  </si>
  <si>
    <t>Legacy information/documents remain in their original format and are encapsulated within a DM in their appropriate location based on the product map/DMRL and referenced as an external publication within the data module. Refer to the NCIA S1000D Agency Instruction.</t>
  </si>
  <si>
    <t>BRDP-S1-00543</t>
  </si>
  <si>
    <t>IETP reference format</t>
  </si>
  <si>
    <t>Decide the syntax and semantics of the links established to reference legacy data._x000D_</t>
  </si>
  <si>
    <t>Legacy data shall be referenced i.a.w. standard S1000D principles using the element &lt;externalPubRef&gt;.</t>
  </si>
  <si>
    <t>Chap 7.5.1 Para 2.1</t>
  </si>
  <si>
    <t>BRDP-S1-00544</t>
  </si>
  <si>
    <t>Use of data compression techniques</t>
  </si>
  <si>
    <t>Decide whether to use compression techniques on files being transferred and which techniques to be used._x000D_</t>
  </si>
  <si>
    <t>007.005.001</t>
  </si>
  <si>
    <t>File transfers shall use "zip" compression.</t>
  </si>
  <si>
    <t>Chap 7.8 Para 2.3</t>
  </si>
  <si>
    <t>BRDP-S1-00547</t>
  </si>
  <si>
    <t>Format of generated display text</t>
  </si>
  <si>
    <t>Decide on the format for generating the displayed applicability annotation from the computable applicability annotation that will best fulfill industry and/or customer display requirements._x000D_</t>
  </si>
  <si>
    <t>007.008</t>
  </si>
  <si>
    <t>For the printed outputs the human readable applicability information (&lt;displayText&gt;, &lt;displayName&gt; and &lt;descr&gt;) will be printed on the page.</t>
  </si>
  <si>
    <t>Chap 7.8 Para 2.4.3</t>
  </si>
  <si>
    <t>BRDP-S1-00548</t>
  </si>
  <si>
    <t>Modifying an assigned product attribute value in the PCT._x000D_</t>
  </si>
  <si>
    <t>Decide if modifications to PCT assigned values are allowed._x000D_</t>
  </si>
  <si>
    <t>Chap 8.2 Para 3</t>
  </si>
  <si>
    <t>BRDP-S1-00549</t>
  </si>
  <si>
    <t>Translation of SNS titles and definitions</t>
  </si>
  <si>
    <t>Decide whether to translate and use the SNS titles and the definitions in the languages adopted by the project._x000D_</t>
  </si>
  <si>
    <t>008.002</t>
  </si>
  <si>
    <t>003</t>
  </si>
  <si>
    <t>SNS titles and definitions shall be in the English language</t>
  </si>
  <si>
    <t>Chap 8.4 Para 2.1</t>
  </si>
  <si>
    <t>BRDP-S1-00550</t>
  </si>
  <si>
    <t>Allocation of project specific information codes</t>
  </si>
  <si>
    <t>Decide and agree on allocation of project specific information codes and give them short and full definitions._x000D_</t>
  </si>
  <si>
    <t>008.004</t>
  </si>
  <si>
    <t>Allowed Information codes are defined in the S1000D NCI Agency Instructions. Non defined IC can be derived from S1000D Issue No. 4.01 and declared in the project specific IPSP or TPDP.</t>
  </si>
  <si>
    <t>Chap 8.4 Para 3</t>
  </si>
  <si>
    <t>BRDP-S1-00551</t>
  </si>
  <si>
    <t>Translation of information code definitions</t>
  </si>
  <si>
    <t>Decide whether to translate and use the information code definitions in the languages adopted by the project._x000D_
_x000D_</t>
  </si>
  <si>
    <t>Information codes will not be translated. Information codes are  defined in the S1000D NCI Agency Instruction</t>
  </si>
  <si>
    <t>Chap 8.5 Para 3</t>
  </si>
  <si>
    <t>BRDP-S1-00552</t>
  </si>
  <si>
    <t>Translation of learn code definitions</t>
  </si>
  <si>
    <t>Decide whether to translate and use the learn code definitions in the languages adopted by the project._x000D_</t>
  </si>
  <si>
    <t>008.005</t>
  </si>
  <si>
    <t>General Civil Aviation Usage</t>
  </si>
  <si>
    <t>Component Maintenance Publications Usage</t>
  </si>
  <si>
    <r>
      <t xml:space="preserve">ATX Decision Proposal
</t>
    </r>
    <r>
      <rPr>
        <b/>
        <sz val="10"/>
        <color rgb="FFFF0000"/>
        <rFont val="Arial"/>
        <family val="2"/>
      </rPr>
      <t>(to be hidden)</t>
    </r>
  </si>
  <si>
    <t>LTH Decision (Company+Project)</t>
  </si>
  <si>
    <r>
      <t xml:space="preserve">ATX Internal Comment
</t>
    </r>
    <r>
      <rPr>
        <b/>
        <sz val="10"/>
        <color rgb="FFFF0000"/>
        <rFont val="Arial"/>
        <family val="2"/>
      </rPr>
      <t>(to be hidden)</t>
    </r>
    <r>
      <rPr>
        <b/>
        <sz val="10"/>
        <rFont val="Arial"/>
        <family val="2"/>
      </rPr>
      <t xml:space="preserve">
</t>
    </r>
  </si>
  <si>
    <t>ATX Proposal for LTH</t>
  </si>
  <si>
    <t>Style Guide
&amp; Publication Guide ID</t>
  </si>
  <si>
    <t>Incluida</t>
  </si>
  <si>
    <t>GCA+ATA CMP 
BREX ID 
(being CMP more restrictive)</t>
  </si>
  <si>
    <t>GCA+ATA CMP BREX ID (being ATA CMP more restrictive)</t>
  </si>
  <si>
    <t>BREX ID</t>
  </si>
  <si>
    <t>ATX Validation</t>
  </si>
  <si>
    <t>Classification</t>
  </si>
  <si>
    <t>The use of alpha  characters “I” and “O” in S1000D data shall be compliant with ATA iSpec 2200, Specification 2000, and the CSDD.</t>
  </si>
  <si>
    <t>Estudiar: 
ATA iSpec 2200, Specification 2000, and the CSDD</t>
  </si>
  <si>
    <t xml:space="preserve">We have not access to ATA iSpec 2200 and Specification 2000. However, we recommend not to use "I" and "O" for coding. Therefore, the decissión would be:
The characters "I" and "O" shall not be used for coding. There are no restrictions on the use of characters "I" and "O" for textual writing. </t>
  </si>
  <si>
    <t>SG-01</t>
  </si>
  <si>
    <t>V</t>
  </si>
  <si>
    <t>Decision approved during feedback week 40: Column G stays, I and O shall not be used.</t>
  </si>
  <si>
    <t>EASY</t>
  </si>
  <si>
    <t>x</t>
  </si>
  <si>
    <t>C1008 is permitted as CAGE code in this project.</t>
  </si>
  <si>
    <t>"Lufthansa Technik Ag" CAGE Code</t>
  </si>
  <si>
    <t>SG-02</t>
  </si>
  <si>
    <t>S1000D issue 4.2 shall be used.</t>
  </si>
  <si>
    <t>Equipment Information shall be used</t>
  </si>
  <si>
    <t>Ojo, porque ATA CMP dice que solo puede ser Equipment Information, y en todo caso se puede ser más restrictivo pero no menos.
Ver S1-00006 (para los schemas).
Además lo normal es tener claro antes la DTD (Document Type Definition)</t>
  </si>
  <si>
    <t>The Infosets should be defined by OES LHT to accommodate them to the project and being equal or more restrictive than the ATA CMP.</t>
  </si>
  <si>
    <t>LHT CMM have those chapters. Column K is ok.
Procedural schema for fault Isolation
Decision updated on 21/10/24: Infosets and codes to be added by LHT, ATX to send table with requirments and to be included in the StyleGuide.
Decision updated on 18/11/24: from "Infosets required
- Common Information and Data
- Description and Operation
- Fault Isolation (later stage)
- Illustrated Parts Data
- Maintenance Procedures" to "Equipment Information shall be used"</t>
  </si>
  <si>
    <t>DISCUSS</t>
  </si>
  <si>
    <t>One CMP per LRU (=project) as XML delivery package
Installation Publication per customer listing the specifics of the component installation allowed.
PDF export optional.</t>
  </si>
  <si>
    <t>La publicación CMP corresponde a un tipo de DM.</t>
  </si>
  <si>
    <t>Descriptive, Procedural and IPD schemas shall be used as per Writing Style Guide</t>
  </si>
  <si>
    <t>Ver la tabla de infosets que nos han pasado y su esquema asociado, donde hay 3 opciones:
- TDWG (aquí están los indicados en la S1-00004)
- CMP 
- AERQ</t>
  </si>
  <si>
    <t>The schemas to use, depends on the infosets defined in BRDP-S1-00004</t>
  </si>
  <si>
    <t>SG-03</t>
  </si>
  <si>
    <t>infoSets tab needs to be changed because Proced schema is going to be used for fault finding.
JMGA: The idea is to know the Manual, which can include differente infosets (It is like a PM), and inside of each infoset to know which IC will be which correspond to a specific schema (look to Infosets tab)
Decision updated on 21/10/24: Infosets and codes to be added by LHT, ATX to send table with requirments and to be included in the StyleGuide.
Decision updated on 18/11/24: from "see tab: infoSets" to "Descriptive, Procedural and IPD schemas shall be used as per Writing Style Guide"</t>
  </si>
  <si>
    <t>Refer to Section 2-3 for General Civil Aviation rules for element and attribute usage.</t>
  </si>
  <si>
    <t>Cuales son la relevant BRDPs (probablemente esté más adelante, no obstante la lista de Elements &amp; Attributes las tenemos)</t>
  </si>
  <si>
    <t>Atexis Proposal: 
Refer to Section 2-3 for General Civil Aviation rules for element and attribute usage.</t>
  </si>
  <si>
    <t>Decision changed during feedback week 40: OK</t>
  </si>
  <si>
    <t>REWORD</t>
  </si>
  <si>
    <t>As per Spec 1000BR Section 3-2-3, LHT expects and sends a Transfer Package including DDN , PM, Content DM, ACT, CIR Enterprise and ICN when referenced within a DM. PDF export optional.</t>
  </si>
  <si>
    <t>Se debe ser igual o más restrictivo que ATA CMP donde se indica  en la Section 3-2-3 que los requeridos son: 
Data Dispatch Notification  , PDF, PM, Content DM, ACT, PCT, CIR Enterprise and ICN when referenced within a DM.</t>
  </si>
  <si>
    <t>Atexis Proposal:
LHT expects and sends a Transfer Package including DDN , PDF, PM, Content DM, ACT, PCT, CIR Enterprise and ICN when referenced within a DM.
As per Spec 1000BR Section 3-2-3</t>
  </si>
  <si>
    <t>''Decision changed during feedback week 40: PDF is not part of the transfer package, rest is OK</t>
  </si>
  <si>
    <t>Exchange on demand.</t>
  </si>
  <si>
    <t>ATA CMP tiene una norma, aunque deja que los programas maduras sean on demand, por lo que se acepta la decisión.
Data Exchange: intercambio de datos con otros proyecto u organizaciones.</t>
  </si>
  <si>
    <t>Zoning rules shall not be applied for CMPs</t>
  </si>
  <si>
    <t>Parent</t>
  </si>
  <si>
    <t>SG-04</t>
  </si>
  <si>
    <t>V+ViX</t>
  </si>
  <si>
    <t>Child
S1-00012 no existe ya (aunque LTH lo tiene en su excel indicando la misma info, es como una BR repetida)</t>
  </si>
  <si>
    <t>SG-05</t>
  </si>
  <si>
    <t>Shall not be displayed.</t>
  </si>
  <si>
    <t>SG-86</t>
  </si>
  <si>
    <t xml:space="preserve">01 shall be used on the element security which is the lowest level of security classification, and its meaninig is "Unclassified". </t>
  </si>
  <si>
    <t xml:space="preserve">01 significa: "lowest level of security classification, eg, Unclassified"
El elemento &lt;security&gt; contiene la clasificación de seguridad (atributo securityClassification) y el marcado restrictivo del módulo de datos completo y sus ilustraciones contenidas o asociadas.
La Section 2-2 solo permite el valor 01 para ATA CMP. </t>
  </si>
  <si>
    <t>The attribute securityClassifications of the element &lt;security&gt; shall be used only within the Ident &amp; Status section and not within the Content section. Its value shall be 01 which is the lowest level of security classification, and its meaninig is "Unclassified".</t>
  </si>
  <si>
    <t>SG-06</t>
  </si>
  <si>
    <t>Decision changed during feedback week 40: 'OK</t>
  </si>
  <si>
    <t>Caveats shall not be applied.</t>
  </si>
  <si>
    <t>Caveat: etiqueta o marca de distribución en forma de XML que pueden indicar que la información está restringida.</t>
  </si>
  <si>
    <t>N/A, since only securityClass 01 is being used.</t>
  </si>
  <si>
    <t>Ya que siempre es la misma clasificación de seguridad, no aplica cambios.</t>
  </si>
  <si>
    <t>Shall not be used</t>
  </si>
  <si>
    <t>Según GCA, no es aplicable.
Ya que siempre es la misma clasificación de seguridad, no aplica cambios.
Aunque los DMs hayan recibido una clasificación de seguridad cuando se originaron, pueden requerir cambios por una serie de razones:
- como resultado de una revisión de seguridad,
- como resultado de la adición de nueva información clasificada
- La clasificación de los DMs también puede verse afectada por la agregación de otros DMs en una CSDB
Es responsabilidad del autor o del clasificador derivado del DMs subir o bajar de categoría el DM.
El asesoramiento debe provenir de las instrucciones de seguridad del proyecto.</t>
  </si>
  <si>
    <t>CMP: For draft deliveries, "Unverified" is acceptable. For issued DMs, only first verification will be used, and the verification type will be "Tabletop", "On-Object", or "Tabletop and On- Object".</t>
  </si>
  <si>
    <t>Se refiere a etiquetar en el DM el tipo de verificación que lleva.
 "Tabletop" (en entorno simulado o mesa), "On-Object" (experimental), or "Tabletop and On-Object" (mixta).</t>
  </si>
  <si>
    <t>SG-97</t>
  </si>
  <si>
    <t xml:space="preserve">Decide on the review cycle processes and procedures.
</t>
  </si>
  <si>
    <t>Review to be done on demand</t>
  </si>
  <si>
    <t>Se refiere a los procesos y procedimientos de revisión cíclica: incluyen la revisión, validación y actualización periódica de la información técnica contenida en los DMs.
Se valida porque es una decisión de cuando y como revisar la documentación y corresponde a LTH.</t>
  </si>
  <si>
    <t>All data modules must be written in U.S. English.</t>
  </si>
  <si>
    <t>SG-07</t>
  </si>
  <si>
    <t>All Procedural data modules must use the writing rules and vocabulary in ASD Simplified Technical English (ASD-STE100).   
To use STE is optional for other data module types</t>
  </si>
  <si>
    <t>En la DTD tenemos los Procedural DMs, que pueden refierirse a los Maintenance Procedure (infoset) o a cualquier DM con esquema Procedure</t>
  </si>
  <si>
    <t>SG-69</t>
  </si>
  <si>
    <t>As U.S. English is used (as per BRDP-S1-00020), Webster’s International Dictionary by Merriam Webster, is the dictionary commonly used in a technical publication project that uses U.S. English.</t>
  </si>
  <si>
    <t>Atexis Proposal:
As U.S. English is used (as per BRDP-S1-00020), Webster’s International Dictionary by Merriam Webster, is the dictionary commonly used in a technical publication project that uses U.S. English.</t>
  </si>
  <si>
    <t>SG-68</t>
  </si>
  <si>
    <t>The ATA Common Support Data Dictionary shall be used for Civil Aviation maintenance terminology</t>
  </si>
  <si>
    <t>Adquirir y ver como aplicar (proceso similar al de STE) la ATA Common Support Data Dictionary</t>
  </si>
  <si>
    <t>No business rule. If delivered use information code IC 005.</t>
  </si>
  <si>
    <t>IC005 = List of Abbreviations</t>
  </si>
  <si>
    <t>SG-70</t>
  </si>
  <si>
    <t xml:space="preserve">Measurements shall be provided in both S.I. (metric) and Imperial/U.S. units. The first value shall be in the units used in the original design. </t>
  </si>
  <si>
    <t>En la guia de estilo se pone, y normalmente es una de ellas va entre parentesis.</t>
  </si>
  <si>
    <t>SG-08</t>
  </si>
  <si>
    <t>Bold text only shall be used to emphasize text. 
Overline text may be used only for marking vectors.</t>
  </si>
  <si>
    <t>Ok for the BR, but for Style Guide would be convenient to delimitate or give some examples about the use of the bold text.</t>
  </si>
  <si>
    <t>SG-09</t>
  </si>
  <si>
    <t>All content DMC need to be convertible to PDF: PMC, descript, proced, fault, IPD</t>
  </si>
  <si>
    <t xml:space="preserve">Decide if schematics derived from engineering drawings include the original drawing number and revision status within the illustration reproduction area.
</t>
  </si>
  <si>
    <t>Shall be included</t>
  </si>
  <si>
    <t>Deberán darse los drawings codificados por parte de LTH</t>
  </si>
  <si>
    <t>SG-10</t>
  </si>
  <si>
    <t>ViX</t>
  </si>
  <si>
    <t>The use of color is permitted in accordance with the ATA iSpec 2200 3-1-12.4 Graphic Style Standards.</t>
  </si>
  <si>
    <t>ATA iSpec 2200 3-1-12.4 Graphic Style Standards, debemos tenerla para usar los colores indicados.</t>
  </si>
  <si>
    <t xml:space="preserve">We have not access to ATA iSpec 2200 and Specification 2000. We recommend to follow the Style Guide.
Atexis Proposal:
The use of color is permitted in accordance with the Style Guide.
</t>
  </si>
  <si>
    <t>PG-01</t>
  </si>
  <si>
    <t>Decision approved during feedback week 40: Style guide will cite ATA iSPEC2200 3-1-12.4</t>
  </si>
  <si>
    <t>Illustration annotations shall be written in sentence case. Refer to the Illustration Style Guide section of the S1000D Agency Instruction. SENTENCE CASE</t>
  </si>
  <si>
    <t>Illustration annotations shall be written in upper case.</t>
  </si>
  <si>
    <t>Illustration annotations shall be written in upper case. Refer to the Illustration Style Guide.</t>
  </si>
  <si>
    <t>Decide if annotations can be used in illustrations. If yes, we recommend the use of UPPER CASE
ATX Proposal: 
Illustration annotations shall be written in upper case.</t>
  </si>
  <si>
    <t>SG-11</t>
  </si>
  <si>
    <t>The ICN number shall not be depicted on the illustration. ICN NOT ON THE ILLUSTRATION</t>
  </si>
  <si>
    <t>The ICN number shall be included on the illustration.</t>
  </si>
  <si>
    <t>The ICN number shall not be depicted on the illustration.  (Según GCA)</t>
  </si>
  <si>
    <t>Decide if the ICN shall be presented inside the illustration. 
ATX Proposal: 
The ICN number shall not be depicted on the illustration.</t>
  </si>
  <si>
    <t>SG-12</t>
  </si>
  <si>
    <t>Decision changed during meeting on 08/10/2024: The ICN number shall be included on the illustration.</t>
  </si>
  <si>
    <t>Refer to the Illustration Style Guide.</t>
  </si>
  <si>
    <t>Line art color shall be in accordance with ATA iSpec 2200 chapter 3-1-12.4.7.4. (Según GCA).
S1000D: El color básico del arte lineal es el negro. Un proyecto puede optar por utilizar otros colores de línea para representar cosas como líneas ocultas u objetos que requieran atención. 
@Dani: poner esto más específico:
Line drawings with no color are the preferred method of graphic objects. Refer to the Illustration Style Guide.</t>
  </si>
  <si>
    <t>Please, provide a decision.
ATX Proposal: 
Line drawings with no color are the preferred method of graphic objects. Refer to the Illustration Style Guide.</t>
  </si>
  <si>
    <t>SG-13</t>
  </si>
  <si>
    <t>Decision changed during meeting on 08/10/2024: Refer to the Illustration Style Guide where ATX proposes the way of using colors for important issues.</t>
  </si>
  <si>
    <t>The generic ICN title given in the ICN metadata file shall not be used to populate figure titles in data modules.
El elemento &lt;icnTitle&gt; contiene el título del objeto ICN con el que está relacionado el archivo de metadatos ICN. Este title es un título genérico del objeto ICN destinado a apoyar la gestión del objeto. No es necesariamente relevante en ningún contexto específico en el que se utilice el objeto ICN como, por ejemplo, en el elemento &lt;figure&gt;.</t>
  </si>
  <si>
    <t>Please, provide a decision.
ATX Proposal: 
The generic ICN title given in the ICN metadata file shall not be used to populate figure titles in data modules.</t>
  </si>
  <si>
    <t>Decision changed during the meeting on 17/10/2024: from "NO INFO" to "The generic ICN title given in the ICN metadata file shall not be used to populate figure titles in data modules".</t>
  </si>
  <si>
    <t>No DM with general warnings and cautions shall be produced.</t>
  </si>
  <si>
    <t>Va en contra de la General Civil Aviation, y supongo que es porque no quieren hacer Warnings, Cautions and Notes generales como un DM a publicar, y por tanto no se incluyen en un DM Descriptivo.
No afecta mucho y se podría dejar la LTH Decision.</t>
  </si>
  <si>
    <t xml:space="preserve">Not using a DM for general warnings and cautions can cause to dedicate time to write the same warnings and cautions in multiple data modules. We recommend to define some general warnings and cautions and include them in a IC-012. At least include them in a share excel sheet.
ATX Proposal: 
General warnings and cautions shall be defined in a descriptive (IC-012) DM for each PM, therafter they shall be replicated in each DM as required.
</t>
  </si>
  <si>
    <t>SG-71</t>
  </si>
  <si>
    <t>Column K</t>
  </si>
  <si>
    <t>A Warnings and Cautions Common Information Repositories (CIRs) shall be used.</t>
  </si>
  <si>
    <t>SG-14</t>
  </si>
  <si>
    <t>The attribute vitalWarningFlag must not be used in civil aviation applications.</t>
  </si>
  <si>
    <t>vitalWainingFlag es un atributo XML para indicar si una advertencia es vital (true:1, false:0) para la seguridad del equipo</t>
  </si>
  <si>
    <t>The attribute warningType must not be used in civil aviation applications.</t>
  </si>
  <si>
    <t>The attribute cautionType must not be used in civil aviation applications.</t>
  </si>
  <si>
    <t>The attribute noteType must not be used in civil aviation applications.</t>
  </si>
  <si>
    <t>S1-00036 no existe ya -
The issue number shall be presented on the title page.  The inwork number may only be presented in unreleased documents (LOEDM).
S1-00038 no existe ya 
Not applicable (refer to BRDP-S1-00037).
S1-00039 no existe ya 
Not applicable (refer to BRDP-S1-00037).
S1-00040 no existe ya
Both issue date and issue number are required. Inwork number shall not be presented.
S1-00041 no existe ya -No Business Rule</t>
  </si>
  <si>
    <t>LOEDM will be auto-generated and LOEP shall not be used.</t>
  </si>
  <si>
    <t>LOEDM = List of Effective DM
LOEP = List of Effective Pages (de los DMs)
Afecta a la publicación y se debería revisar la LTH Decision, ya que requiere modifcación del schema.
Además AGC dice que LOEP no debe ser usado, por lo que LTH está siendo menos restrictivo.</t>
  </si>
  <si>
    <t>If LOEP is part of the final PDF delivery, it should be a physical DM, and also GCA states that LOEP shall not be used. Therefore we recommend to rewrite as:
Atexis Proposal:
LOEDM and LOEP shall not be used.</t>
  </si>
  <si>
    <t>SG-77</t>
  </si>
  <si>
    <t xml:space="preserve">Column K. That is how they did it, and they do not want to change it.
Decision changed during the WSG feedback 13/11/24: from "LOEDM is not being used. The LOEP is part of the final PDF delivery, but not available as a physical DM." to "LOEDM will be auto-generated and LOEP shall not be used."
</t>
  </si>
  <si>
    <t xml:space="preserve">S1-00043 no existe ya -
Not applicable (refer to BRDP-S1-00042).
S1-00044 no existe ya 
Not applicable (refer to BRDP-S1-00042).
S1-00045 no existe ya
Both issue date and issue number are required. Inwork number shall not be presented (TOC).
</t>
  </si>
  <si>
    <t>SG-78</t>
  </si>
  <si>
    <t>For CMP, a hierarchical TOC shall be used.</t>
  </si>
  <si>
    <t>S1-00047 no existe ya -
All Procedural data modules must use the languageIsoCode (sx). All other data modules may use sx or en (English). No Civil Aviation business rule for the value of countryIsoCode.
S1-00048 no existe ya 
The exchange of draft data modules is not requested for OEM documentation. Draft DM shall be exchanged with suppliers for quality assurance purposes in LHT projects creating their own documentation. 
inWork different from 00 allowed.</t>
  </si>
  <si>
    <t>SG-15</t>
  </si>
  <si>
    <t xml:space="preserve">Decide whether the listed publications within the Table of contents also have to be listed by their individual data modules.
</t>
  </si>
  <si>
    <t xml:space="preserve">Not Applicable GCA.
Decidir si las publicaciones que se enumeran en el TOC también deben enumerarse por sus DMs individuales.
</t>
  </si>
  <si>
    <t xml:space="preserve">Not Applicable GCA.
</t>
  </si>
  <si>
    <t>PG-58</t>
  </si>
  <si>
    <t>For DMs, the definition of the issue date is the date it is released wich means Final QA Review.</t>
  </si>
  <si>
    <t>Falta que la misma norma aplica a los PMs.
'@Dani ISSUE DATE= FINAL QA REVIEW?</t>
  </si>
  <si>
    <t>@DB: he completado, revisar.
What does released mean?
In some softwares the issue date is filled automatically when the DM is created. Released=created? 
Add also a comment for the PM.
Atexis Proposal:
For DMs, the definition of the issue date is the date it is released wich means Final QA Review. The same definition applies to PMs.</t>
  </si>
  <si>
    <t>SG-81</t>
  </si>
  <si>
    <t>Decision changed during the meeting on 17/10/2024: from "For CMP, DMs the definition of the issue date is the date it is released." to "For DMs, the definition of the issue date is the date it is released wich means Final QA Review."</t>
  </si>
  <si>
    <t>Refer to the Information Codes section</t>
  </si>
  <si>
    <t>Use only IC that are allowed for CMP in ATA_Spec1000BR_Section2-5 list</t>
  </si>
  <si>
    <t xml:space="preserve">S1-00050 no existe ya -
No business rule.
S1-00051 no existe ya 
No business rule.
El doc es el excel adjunto con el listado de ICs.
</t>
  </si>
  <si>
    <t>SG-82</t>
  </si>
  <si>
    <t>The threshold that a data module is considered revised rather than changed shall be defined in the project-specific IPSP or TPDP. Default value is 30%.
CHANGES &lt;30%= DATA MODULE REVISED
CHANGES =&gt;30%= DATA MODULE CHANGED</t>
  </si>
  <si>
    <t>Revised shall never be used. All changed data modules shall be marked as "changed" and the corresponding change marks be set.</t>
  </si>
  <si>
    <t>La GCA explica que "revised" puede ser usado.
Supongo que está decisión es más restrictiva y que no afecta demasiado al BREX, por lo que se podría dar por valida.
Possible attribute values:
issueType="changed"
issueType="revised"</t>
  </si>
  <si>
    <t>SG-83</t>
  </si>
  <si>
    <t>commercialClassification and caveat shall not be used.</t>
  </si>
  <si>
    <t xml:space="preserve">El elemento &lt;security&gt; tiene el attributo commercialClassification y caveat.
Ej:
&lt;security securityClassification="04"
commercialClassification="cc51" caveat="cv51"/&gt;
04 se definió como "secret"  </t>
  </si>
  <si>
    <t>SG-85</t>
  </si>
  <si>
    <t>securityClassification must always be 01.</t>
  </si>
  <si>
    <t>Indica que siempre tiene el mismo nivel de seguridad, es por tanto una constante.
S1-00056 no existe ya -
The copyright shall be incorporated as part of dataRestrictions.
S1-00057 no existe ya 
N/A, since no applicability is being used.
S1-00058 no existe ya -
No business rule.
S1-00059 no existe ya 
No business rule.
S1-00060 no existe ya -
No business rule.
S1-00061 no existe ya 
No business rule.
S1-00062 no existe ya -
No business rule.
S1-00063 no existe ya 
No business rule.
S1-00064 no existe ya 
&lt;restrictionInfo&gt; shall be used for incorporating the copyright.
S1-00067 no existe ya 
No business rule.
S1-00068 no existe ya -
No business rule.
S1-00069 no existe ya 
No business rule.</t>
  </si>
  <si>
    <t>Shall not be used
El elemento &lt;derivativeClassification&gt; contiene todas las acciones de clasificación derivadas realizadas (por ejemplo, material de origen, fecha de la acción, tipo de acción) a la información en la publicación completa.</t>
  </si>
  <si>
    <t>Please, provide a decision.
ATX Proposal: 
The element &lt;derivativeClassification&gt; shall not be used.</t>
  </si>
  <si>
    <t>Decision changed during the meeting on 17/10/2024: from "NO INFO" to "The element &lt;derivativeClassification&gt; shall not be used."</t>
  </si>
  <si>
    <t>The element &lt;copyright&gt; shall be used as [Refer to NCI Agency INSTR AI 15.00 Technical publications] "Copyright on the document will be handled in accordance with the arrangement with the funding authority (price proposal, legal agreement, program of work). Unless otherwise stated in any such document, all NCI Agency written Technical publications will be marked with the NCI Agency approved copyright marking.
In case of doubt as to the applicable copyright applicable, the author is invited to consult with the NCI Agency Legal Office" and [Refer to NCI Agency INSTR AI 06.01.01 Marking of NCI Agency information] "While respecting the principle that NATO is the overall owner of NCI Agency information artefacts, the NCI Agency’s most valuable resource (its intellectual property) needs to be safeguarded to the maximum extent possible. To this purpose, information artefacts of intellectual value to the NCI Agency (e.g. reports, deliverables, presentations) shall be marked with the appropriate Copyright marking, including the year of release of the information artefact and no punctuation, as follows:
Copyright 2016 NCI Agency".
See also BRDP-NCIA-066
&lt;COPYRIGHT&gt;</t>
  </si>
  <si>
    <t>Projects creating their own documentation shall have the copyright incorporated: "Copyright © 2024 by Lufthansa Technik AG.
This document and its content are copyright protected and either owned by or licensed to Lufthansa Technik AG. All rights reserved. This document and the information contained herein shall be kept strictly confidential and shall not be used, disclosed to others or reproduced for any use other than the one they were provided for without the express written consent of Lufthansa Technik AG."</t>
  </si>
  <si>
    <t xml:space="preserve">For the Element &lt;copyright&gt; </t>
  </si>
  <si>
    <t>SG-16</t>
  </si>
  <si>
    <t xml:space="preserve">Copyright information shall be populated by reference to a specific data module that contains the copyright information
See also: BRDP-NCIA-065
DATA MODULE WITH THE COPYRIGHT
</t>
  </si>
  <si>
    <t>Copyright shall be contained in all DM.</t>
  </si>
  <si>
    <t>Usa el Método 1 de la página 429 de la S1000D. Ej. Cnn los child:
&lt;copyrightPara&gt;
&lt;emphasis&gt;Copyright (C) 2016&lt;/emphasis&gt; by each of the following
organizations:
&lt;randomList&gt;
&lt;listItem&gt;
&lt;para&gt;AeroSpace and Defence Industries Associations of Europe -
ASD.&lt;/para&gt;</t>
  </si>
  <si>
    <t>SG-79</t>
  </si>
  <si>
    <t>The element &lt;enterpriseName&gt; and the attribute enterpriseCode to capture the name and CAGE code of the responsible partner company shall be used.
&lt;ENTERPRISENAME&gt; &lt;ENTERPRISECODE&gt; FOR RPC</t>
  </si>
  <si>
    <t>CAGE C1008, enterprise name: 'LUFTHANSA TECHNIK AG'</t>
  </si>
  <si>
    <t>Markup element: &lt;responsiblePartnerCompany&gt;
Attributes:
− enterpriseCode (O), containing the CAGE code of the enterprise.
Child elements:
− &lt;enterpriseName&gt;, string with the enterprise name.</t>
  </si>
  <si>
    <t>SG-88</t>
  </si>
  <si>
    <t>CAGE C1008, enterprise name: 'Lufthansa Technik AG'</t>
  </si>
  <si>
    <t>Markup element: &lt;originator&gt;
Attributes:
− enterpriseCode (O), containing the CAGE code of the enterprise.
Child elements:
− &lt;enterpriseName&gt;, string with the enterprise name.
S1-00072 no existe ya -
No business rule.
S1-00073 no existe ya 
authorityInfo to be used for linking the DM with the applicable Engineering Bulletins
S1-00074 no existe ya -
No business rule.
S1-00075 no existe ya 
No business rule.
S1-00076 no existe ya -
No business rule. In case applicRefid being used on the qa element, the supplier must explain it's usage.
S1-00078 no existe ya 
No business rule.
S1-00079 no existe ya -
No business rule.
S1-00080 no existe ya 
No business rule.
S1-00081 no existe ya 
&lt;restrictionInfo&gt; shall be used for incorporating the copyright.
S1-00082 no existe ya 
No business rule.
S1-00083 no existe ya -
No business rule.
S1-00084 no existe ya 
No business rule.
S1-00085 no existe ya 
&lt;restrictionInfo&gt; shall be used for incorporating the copyright.
S1-00086 no existe ya 
No business rule.
S1-00087 no existe ya -
No business rule.
S1-00088 no existe ya 
No business rule.</t>
  </si>
  <si>
    <t>SG-87</t>
  </si>
  <si>
    <t>Exchange of draft DM with supplier of DM. QA of "unverified" (draft DMs) allowed.</t>
  </si>
  <si>
    <t>S1-00048 no está publicada ya (fallo en la 1000BR). 
Elemento &lt;unverified&gt; identifica que el DM no ha pasado aún su 1º verificación.
Es un child del elemento &lt;qualityAssurance&gt;</t>
  </si>
  <si>
    <t xml:space="preserve">Decide whether standard sentences for reasons for update are to be used.
</t>
  </si>
  <si>
    <t>The RFU shall contain a clear and concise (non-standard) description of the change.
RFU, YES</t>
  </si>
  <si>
    <t>Refer to the Writing Style Guide</t>
  </si>
  <si>
    <t>RFU = Element &lt;reasonForUpdate&gt;
Solicitan que creemos una lista estándar de RFUs en la guia de estilo.</t>
  </si>
  <si>
    <t xml:space="preserve">Ok for the rule, but for Style guide would be convenient to agree RFU list. Atexis will proposed a list as a part of the Style Guide.
Atexis Proposal:
As part of the Style Guide, the RFU list contains a clear and a description of the changes.
</t>
  </si>
  <si>
    <t>SG-17</t>
  </si>
  <si>
    <t>Decision changed during meeting on 08/10/2024: Refer to the Writing Style Guide (RFU list should be provided).</t>
  </si>
  <si>
    <t>Shall be used</t>
  </si>
  <si>
    <t>El elemento &lt;reasonForUpdate&gt; debe ser  usado.</t>
  </si>
  <si>
    <t>SG-98</t>
  </si>
  <si>
    <t>SG-90</t>
  </si>
  <si>
    <t>Change marks shall be marked up on the individual rows within a table.</t>
  </si>
  <si>
    <t>For changes to content within a table, the element "changed" will be marked.  
For new tables, change markup will be applied to the complete table element. 
The table title will be marked only for changes to the title.</t>
  </si>
  <si>
    <t>Pag 463 S1000D v4.2
Ejemplo:
Markup nueva tabla:
&lt;table id="tab-0003" changeType="add" changeMark="1"
reasonForUpdateRefIds="rfu-0001"&gt;
&lt;title&gt;Title&lt;/title&gt;
...
&lt;/table&gt;
Para el título:
Markup example:
&lt;table id="tab-0004"&gt;
&lt;title changeType="add" changeMark="1"
reasonForUpdateRefIds="rfu-0004"&gt;Title added&lt;/title&gt;
...
&lt;/table&gt;</t>
  </si>
  <si>
    <t>SG-18</t>
  </si>
  <si>
    <t>When modifying a graphic within a figure, change markup will be applied only at the sheet level &lt;graphic&gt;. 
For new graphics added to existing figures, change markup may be applied at the sheet level and the figure level.  
For new figures, change markup will be applied to the complete figure element. 
The figure title will be marked only for changes to the title.</t>
  </si>
  <si>
    <t>Markup para una modificación de una figura:
&lt;figure id="fig-0003"&gt;
&lt;title&gt;Title&lt;/title&gt;
&lt;graphic infoEntityIdent="ICN-S3627-S1000D0800-002-01"
changeType="modify" changeMark="1"
reasonForUpdateRefIds="rfu-0002"/&gt;
&lt;/figure&gt;
Nota: diferencia entre gráfico y figura: la figura puede contener multiples gráficos (pensar en un archivo CAD)</t>
  </si>
  <si>
    <t>SG-129</t>
  </si>
  <si>
    <t xml:space="preserve">Decide on the extent of cross-referencing within data modules and the methods used for populating the various attributes.
</t>
  </si>
  <si>
    <t>Internal reference (eg. figures, tables, sections or steps) are referenced with the &lt;internalRef&gt; element.  Reference to external sections of DMs and hotspots shall use "referred fragment".
&lt;INTERNALREF&gt;</t>
  </si>
  <si>
    <t>Required Attributes:
internalRefId
internalRefTargetType (see BRDP-S1-00100)
Optional Attributes:
changeMark
changeType
reasonForUpdateRefIds
referredFragment
xLink (all)
Prohibited Attributes:
applicRefId
authorityDocument
authorityName
targetTitle
internalRef links are not to be defined to figAlts elements.</t>
  </si>
  <si>
    <t>Elemento &lt;internalRef&gt; con los atributos requeridos:
- internalRefId (O): identificación
− internalRefTargetType (O): es el tipo, y puede tener los valores:"irtt01" thru "irtt99".
Ejemplos:
"irtt01" Figure
"irtt02" Table
"irtt03" Multimedia
"irtt04" Supply
"irtt05" Support equipment
"irtt06" Spare
...
Refer to Chap 3.9.6.1. Refer to default BREX rules
BREX-S1-00045 thru BREX-S1-00060.
Nota: No usar figAlts. Sirve para descripciones alternativas de figuras</t>
  </si>
  <si>
    <t>The element &lt;internalRef&gt; in titles shall not be used - PARENT
INTERNALREF NOT IN TITLE</t>
  </si>
  <si>
    <t>The element &lt;internalRef&gt; shall not be used</t>
  </si>
  <si>
    <t>Añadir "in titles" al final de la frase (opcional)</t>
  </si>
  <si>
    <t>SG-99</t>
  </si>
  <si>
    <t xml:space="preserve">Decide whether to use the attribute targetTitle. When used (populated), it is a tooltip in a viewer application.
</t>
  </si>
  <si>
    <t>The attribute targetTitle shall be used.
TARGETTITLE ATTRIBUTE</t>
  </si>
  <si>
    <t>Attribute targetTitle shall not be used</t>
  </si>
  <si>
    <t>Está prohibido en CMP (ver S1-00094)</t>
  </si>
  <si>
    <t>The textual content of the element &lt;internalRef&gt; shall not be populated.</t>
  </si>
  <si>
    <t>Se escribe en targetTitle atributo.</t>
  </si>
  <si>
    <t>SG-101</t>
  </si>
  <si>
    <t xml:space="preserve">The identifiers of the given elements shall be printed. 
For supplies, spares and support equipment: use &lt;name&gt; element. </t>
  </si>
  <si>
    <r>
      <rPr>
        <b/>
        <sz val="10"/>
        <rFont val="Arial"/>
        <family val="2"/>
      </rPr>
      <t>Ejemplo</t>
    </r>
    <r>
      <rPr>
        <sz val="10"/>
        <rFont val="Arial"/>
        <family val="2"/>
      </rPr>
      <t xml:space="preserve">:
&lt;para&gt;Connect a &lt;internalRef internalRefId="seq-2435"
internalRefTargetType="irtt05" targetTitle="Voltmeter (range 0-
100V)"/&gt; to pin 34 and pin 38.&lt;/para&gt;
</t>
    </r>
    <r>
      <rPr>
        <b/>
        <sz val="10"/>
        <rFont val="Arial"/>
        <family val="2"/>
      </rPr>
      <t>Preentación</t>
    </r>
    <r>
      <rPr>
        <sz val="10"/>
        <rFont val="Arial"/>
        <family val="2"/>
      </rPr>
      <t xml:space="preserve"> del texto en el PDF:
"Connect a Voltmeter to pin 34 and pin 38."
</t>
    </r>
    <r>
      <rPr>
        <b/>
        <sz val="10"/>
        <rFont val="Arial"/>
        <family val="2"/>
      </rPr>
      <t>Comentario</t>
    </r>
    <r>
      <rPr>
        <sz val="10"/>
        <rFont val="Arial"/>
        <family val="2"/>
      </rPr>
      <t>: 
Voltmeter es &lt;Name&gt; dado por internalRefId="seq-2435",  dado en la tabla "Support equipment (con el elemento &lt;reqSupportEquips&gt;) 
target Title no será usado (S1-00096)</t>
    </r>
  </si>
  <si>
    <t>SG-19</t>
  </si>
  <si>
    <t>Cross references shall use the following type wording "(See Figure 1.)".
The verb in the cross-reference statement (eg “See”, “Repeat”, “Skip”) shall be manually authored. If appropriate, the label (eg “Figure”, “Para”, “Step”) shall be generated from the attribute internalRefTargetType. 
The number shall be auto-generated during the publication process.
WORDING: "SEE FIGURE 1"</t>
  </si>
  <si>
    <t>Only these elements can be referenced when using an
internal ref.
"irtt01" Figure
"irtt02" Table
"irtt03" Multimedia
"irtt04" Supply
"irtt05" Support equipment
"irtt06" Spares
"irtt07" Leveled Paragraph
"irtt08" Procedural Step
"irtt09" Graphic
"irtt10" Multimedia object
"irtt11" Hotspot
"irtt12" Parameter</t>
  </si>
  <si>
    <t>SG-20</t>
  </si>
  <si>
    <t>− Structure: prefix followed by a hyphen and a four digits number to make it unique within the data module, eg "par-0001" 
− Prefixes:
"par" for sections
"stp" for steps of procedure, fault isolation, etc
"fig" for figures
"tab" for tables
"seq" for support equipment
"spa" for spares
"sup" for supplies
"ftn" for footnotes
"hot" for hotspots, e.g. "fig-0001-hot-0002"
PAR-0001
STP-0001
FIG-0001
TAB-0001
SEQ-0001
SPA-0001
SUP-0001
HOT-0001</t>
  </si>
  <si>
    <t>Values of the cross-reference attributes id and internalRefId may be prefixed by alpha characters that identify the type of the target element. Example:
Structure: Prefix followed by a hyphen and a four digit number to make it unique within the data module (eg, "par-0001")
Prefixes:
"fig" for figures and alternates
"tab" for tables
"mma" for multimedia and alternates
"sup" for supplies
"seq" for support equipment
"spa" for spares
"par" for levelled paragraphs and alternates
"stp" for steps of procedure, fault isolation, etc, and alternates
"gra" for graphics (multiple sheets)
"mmo" for multimedia objects
"hot" for hotspots (eg, "fig-0001-hot-0002")
"pme" for parameters
"zon" for zones
"wla" for work locations
"mat" for single material or material sets
"msl" for material set lists
"acp" for access points
Note
The four digit number has no connection to, for example, the figure or table number which is generated for data module presentation. For example, the value of the attribute id can be "fig-0345" for "Fig 1". Refer to Para 2.1.
Note
Refer to Chap 3.9.5.2.1.10 for the equivalent business rule decision point regarding footnotes. Example: "ftn-0001".</t>
  </si>
  <si>
    <t xml:space="preserve">Si no tenemos patrones para las mostrar las referencias, como vamos a representarlas.
</t>
  </si>
  <si>
    <t>Despite ATA CMP mentions that patterns shall not be enforced, we can be more restrictive because not using patterns is very inadvisable. We highly recommended the following (or similar):
Atexis Proposal:
− Structure: prefix followed by a hyphen and a four digits number to make it unique within the data module, eg "par-0001" 
− Prefixes:
"par" for sections
"stp" for steps of procedure, fault isolation, etc
"fig" for figures
"tab" for tables
"seq" for support equipment
"spa" for spares
"sup" for supplies
"ftn" for footnotes
"hot" for hotspots, e.g. "fig-0001-hot-0002"
PAR-0001
STP-0001
FIG-0001
TAB-0001
SEQ-0001
SPA-0001
SUP-0001
HOT-0001</t>
  </si>
  <si>
    <t>SG-21</t>
  </si>
  <si>
    <t>Change it to:
Values of the cross-reference attributes id and internalRefId may be prefixed by alpha characters that identify the type of the target element. Example:
Structure: Prefix followed by a hyphen and a four digit number to make it unique within the data module (eg, "par-0001")
Prefixes:
"fig" for figures and alternates
"tab" for tables
"mma" for multimedia and alternates
"sup" for supplies
"seq" for support equipment
"spa" for spares
"par" for levelled paragraphs and alternates
"stp" for steps of procedure, fault isolation, etc, and alternates
"gra" for graphics (multiple sheets)
"mmo" for multimedia objects
"hot" for hotspots (eg, "fig-0001-hot-0002")
"pme" for parameters
"zon" for zones
"wla" for work locations
"mat" for single material or material sets
"msl" for material set lists
"acp" for access points
Note
The four digit number has no connection to, for example, the figure or table number which is generated for data module presentation. For example, the value of the attribute id can be "fig-0345" for "Fig 1". Refer to Para 2.1.
Note
Refer to Chap 3.9.5.2.1.10 for the equivalent business rule decision point regarding footnotes. Example: "ftn-0001".</t>
  </si>
  <si>
    <t xml:space="preserve"> The element &lt;refs&gt; shall not be manually populated
&lt;REFS&gt; BUT NOT MANUALLY POPULATED</t>
  </si>
  <si>
    <t>If used, the &lt;refs&gt; element will not be displayed in the rendered PDF</t>
  </si>
  <si>
    <t>S1-000102 no existe ya -
No business rule. See BRDP-S1-00094
S1-000103 no existe ya 
Issue information must not be used, language must not be used.
S1-000104 no existe ya -
The title of the target DM shall be used in the dmRef. The issue date must not be used.
S1-000105 no existe ya 
issue information shall be used, language must not be used.
El elemento &lt;refs&gt; se refiere a las referencias que hay a otros DMs, PMs u otra no S1000D TechPub. Contiene elementos hijos:
− &lt;dmRef&gt;.
− &lt;pmRef&gt;. 
− &lt;externalPubRef&gt;.</t>
  </si>
  <si>
    <t xml:space="preserve">Define the words before and after the elements &lt;dmRef&gt;, &lt;pmRef&gt; and &lt;externalPubRef&gt;. This is important as it has implications on the stylesheets used. Example: For one implementation, the stylesheet can automatically generate the words "Refer to data module: "when it recognizes the element &lt;dmRef&gt;. This will cause problems if the author has written "Refer to" within the paragraph before the element &lt;dmRef&gt;.
</t>
  </si>
  <si>
    <t>The words before references, like 'refer to' shall be entered manually in the data.</t>
  </si>
  <si>
    <t xml:space="preserve">Para la stylesheets.
LTH Decision indica que se debe meter a mano en el DM (ver BRDP definition que se explica bien).
Sección 3-2 es muy amplia y no es específica (obviar).
Mi opinión es que para cada tipo de refs (hay 3), se haga un estilo, por ejemplo "Refer to".
</t>
  </si>
  <si>
    <t>SG-22</t>
  </si>
  <si>
    <t xml:space="preserve">Captions shall not be used.
En algunas situaciones es conveniente para el lector del módulo de datos encontrar una luz de advertencia, pushbutton, annunciator, etc, dentro del flujo de texto en lugar de en una ilustración. 
No existe una guía de estilo normalizada para la presentación de subtítulos y grupos de subtítulos. Cada proyecto debe acordarla. </t>
  </si>
  <si>
    <t>Please, provide a decision.
ATX Proposal: 
Captions shall not be used.</t>
  </si>
  <si>
    <t>SG-23</t>
  </si>
  <si>
    <t>Decision changed during meeting on 08/10/2024: Captions shall not be used.</t>
  </si>
  <si>
    <t>Es meter figuras insertadas en el texto. Ej.: "L Fuel" or "R Fuel"
S1-000108 no existe ya -
No business rule. See BRDP-S1-00094
S1-000109 no existe ya 
Use of default value 'pf02' in all cases. The prefix generated follows the default sequence [-][•][-]
S1-000110 no existe ya -
The title of the target DM shall be used in the dmRef. The issue date must not be used.
S1-000111 no existe ya 
Captions shall not be used.
S1-000112 no existe ya -
The attribute tableOfContentType shall not be used.
S1-000113 no existe ya 
ICaptions shall not be used.
S1-000114 no existe ya -
Captions shall not be used.
S1-000115 no existe ya 
Captions shall not be used.
S1-000116 no existe ya 
Captions shall not be used.</t>
  </si>
  <si>
    <t>Titles shall be used for figures, tables and levelled paragraphs. Procedural steps shall not have titles.
NOT TITLE IN PROCEDURALS</t>
  </si>
  <si>
    <t>A primary step or paragraph in a DM must have a title, even if this replicates techName and infoName.
A step/paragraph must have a title if any of its sibling steps/paragraphs have a title.
A step/paragraph can have a title only if its parent step/paragraph has a title.</t>
  </si>
  <si>
    <t xml:space="preserve">Elemento &lt;title&gt; contiene el titulo para un paragraph, step, table or figure,
etc. 
Usados también para el Table of Contents (TOC). </t>
  </si>
  <si>
    <t>SG-24</t>
  </si>
  <si>
    <t>Cross-references from titles is not permitted
NOT CROSS-REFERENCES IN TITLES</t>
  </si>
  <si>
    <t>No links within titles and its descendants</t>
  </si>
  <si>
    <t>ATA CMP deja una excepción para figuras -&gt; definitionList.
Al ser más restrictivo está ok.</t>
  </si>
  <si>
    <t>There will be a maximum of five levels, while the fifth level must not have a title.</t>
  </si>
  <si>
    <t>ATA CMP deja una excepción para los niveles del 6 al 8 (6 incluido) para poner títulos si se trata de una conversión Legacy -&gt; S1000D.
Al ser más restrictivo está ok.
Hay un ejemplo en la Pag-522 de la S1000D</t>
  </si>
  <si>
    <t xml:space="preserve">Legacy Data will not be used as per BR-S1-00540
For not Legacy Data, check BR-S1-00186.
Atexis Proposal:
No legacy data is used. Refer to BR-S1-00540
</t>
  </si>
  <si>
    <t>SG-25</t>
  </si>
  <si>
    <t xml:space="preserve">Decision pending during meeting on 08/10/2024: There will be a maximum of five levels, while the fith level must not have a title (not only for legacy data, it applies for procedural  in DMs).
</t>
  </si>
  <si>
    <t>For paper presentations the attribute tabStyle shall have a value of "oversize" to render a table to an 11" x 17" page size. The attribute orient shall be used to select either landscape or portrait orientation of the table.
Both attributes can be used independently or in conjunction with each other.</t>
  </si>
  <si>
    <r>
      <t xml:space="preserve">Un proyecto puede definir una serie de tipos de tablas estándar, que pueden ser cualquier tipo de tablas de uso común (por ejemplo, tablas para examen).
El atributo de tabla </t>
    </r>
    <r>
      <rPr>
        <b/>
        <sz val="10"/>
        <rFont val="Arial"/>
        <family val="2"/>
      </rPr>
      <t>tabstyle</t>
    </r>
    <r>
      <rPr>
        <sz val="10"/>
        <rFont val="Arial"/>
        <family val="2"/>
      </rPr>
      <t xml:space="preserve"> puede ser utilizado por un autor para indicar que la tabla que sigue es de un tipo específico, y por lo tanto, cumplir las reglas de presentación de la tabla.
Existe un atributo </t>
    </r>
    <r>
      <rPr>
        <b/>
        <sz val="10"/>
        <rFont val="Arial"/>
        <family val="2"/>
      </rPr>
      <t>tgstyle</t>
    </r>
    <r>
      <rPr>
        <sz val="10"/>
        <rFont val="Arial"/>
        <family val="2"/>
      </rPr>
      <t xml:space="preserve"> que se puede utilizar para definir y comprobar las reglas de negocio que se aplican a estas áreas de las tablas complejas.
</t>
    </r>
    <r>
      <rPr>
        <b/>
        <sz val="10"/>
        <rFont val="Arial"/>
        <family val="2"/>
      </rPr>
      <t>Orient</t>
    </r>
    <r>
      <rPr>
        <sz val="10"/>
        <rFont val="Arial"/>
        <family val="2"/>
      </rPr>
      <t xml:space="preserve"> para la orientación de la pagina.
Faltaría la lista de tablas estandares, pero eso puede ser obviado y crearse a medida que se necesitan nuevas tablas.</t>
    </r>
  </si>
  <si>
    <t>SG-26</t>
  </si>
  <si>
    <t>Graphics must not be used for tables.</t>
  </si>
  <si>
    <t>ATA CMP deja una excepción si se trata de una conversión Legacy -&gt; S1000D.
Al ser más restrictivo está ok.</t>
  </si>
  <si>
    <t>SG-27</t>
  </si>
  <si>
    <t>Applicability is allowed at table and row levels but not at entry level.</t>
  </si>
  <si>
    <r>
      <t xml:space="preserve">Al final viene a decir que en el CIR - Applicability annotations DM y en el ACT (applicability cross-reference table) se pueden definir aplicabilidades que afecten a las tablas.
</t>
    </r>
    <r>
      <rPr>
        <b/>
        <sz val="10"/>
        <rFont val="Arial"/>
        <family val="2"/>
      </rPr>
      <t xml:space="preserve">CIR Applicability Annotations Data Module </t>
    </r>
    <r>
      <rPr>
        <sz val="10"/>
        <rFont val="Arial"/>
        <family val="2"/>
      </rPr>
      <t xml:space="preserve">es donde se definen y almacenan las anotaciones de aplicabilidad de manera centralizada.
</t>
    </r>
    <r>
      <rPr>
        <b/>
        <sz val="10"/>
        <rFont val="Arial"/>
        <family val="2"/>
      </rPr>
      <t xml:space="preserve">ACT Data Module </t>
    </r>
    <r>
      <rPr>
        <sz val="10"/>
        <rFont val="Arial"/>
        <family val="2"/>
      </rPr>
      <t xml:space="preserve">es una herramienta de mapeo que vincula esas </t>
    </r>
    <r>
      <rPr>
        <b/>
        <sz val="10"/>
        <rFont val="Arial"/>
        <family val="2"/>
      </rPr>
      <t>anotaciones</t>
    </r>
    <r>
      <rPr>
        <sz val="10"/>
        <rFont val="Arial"/>
        <family val="2"/>
      </rPr>
      <t xml:space="preserve"> con configuraciones específicas del producto, permitiendo la filtración adecuada de contenido en función de las necesidades del usuario.
Si no se usa CIR, se puede usar </t>
    </r>
    <r>
      <rPr>
        <b/>
        <sz val="10"/>
        <rFont val="Arial"/>
        <family val="2"/>
      </rPr>
      <t>Anotaciones de aplicabilidad directamente</t>
    </r>
    <r>
      <rPr>
        <sz val="10"/>
        <rFont val="Arial"/>
        <family val="2"/>
      </rPr>
      <t xml:space="preserve"> en los DMs (con &lt;applic&gt;, pero esto es descentralizado. Aunque se puede ayudar del ACT para mejorar la centralización.
</t>
    </r>
    <r>
      <rPr>
        <b/>
        <sz val="10"/>
        <rFont val="Arial"/>
        <family val="2"/>
      </rPr>
      <t xml:space="preserve">Aplicabilidad a nivel de celda ("entry"): </t>
    </r>
    <r>
      <rPr>
        <sz val="10"/>
        <rFont val="Arial"/>
        <family val="2"/>
      </rPr>
      <t xml:space="preserve">En este caso, se indica que no se permite aplicar la aplicabilidad directamente a una celda completa.
</t>
    </r>
    <r>
      <rPr>
        <b/>
        <sz val="10"/>
        <rFont val="Arial"/>
        <family val="2"/>
      </rPr>
      <t xml:space="preserve">Aplicabilidad en sub-elementos: </t>
    </r>
    <r>
      <rPr>
        <sz val="10"/>
        <rFont val="Arial"/>
        <family val="2"/>
      </rPr>
      <t>Aunque no se permite en la celda completa, se puede aplicar a elementos dentro de la celda (sub-elementos), como fragmentos de texto, imágenes u otros componentes que forman parte de esa celda.
@Dani: Cuando se indica que se permite a nivel sub-element, qué significa?</t>
    </r>
  </si>
  <si>
    <t>ATX Proposal: 
Applicability is allowed at table and row levels, and while not directly at the entry level, it is allowed on entry sub-elements.
Applicability cross-references are required when using multiple applicability annotations.</t>
  </si>
  <si>
    <t>SG-28</t>
  </si>
  <si>
    <t>Decision changed during meeting on 08/10/2024: Applicability is allowed at table and row levels but not at entry level.</t>
  </si>
  <si>
    <t>APPLIC</t>
  </si>
  <si>
    <t xml:space="preserve">Decide on the strategy for legends, if used. Legends can appear as part of the illustration or as text using the element &lt;legend&gt;. The advantage of making the legend part of the text is that:
the same illustration can have different legends wherever it appears (eg, in multi-language projects)
the text of the element &lt;legend&gt; can be searched (this might not be the case if the legend is part of the illustration)
items in the illustration can be linked to the legend by the use of hotspots
the legend in the text can save space on the illustration (particularly when the legends are long)
</t>
  </si>
  <si>
    <t>Legends shall be used and displayed as text. The element &lt;legend&gt; shall be used.
&lt;LEGEND&gt;</t>
  </si>
  <si>
    <t>Legends shall use the &lt;legend&gt; element.</t>
  </si>
  <si>
    <t xml:space="preserve">S1-000124 no existe ya 
Figure graphic applicability is required unless it is equal to the Data Module applicability.
S1-000125 no existe ya -
Hotspots to be used in the IPD.
S1-000126 no existe ya 
Shall not be used
S1-000127 no existe ya -
No leading zeros
El elemento &lt;legend&gt; contiene la leyenda o lista explicativa. </t>
  </si>
  <si>
    <t>SG-29</t>
  </si>
  <si>
    <t>Multimedia can only be used as supplemental information. The required information must be conveyed in text and graphics.</t>
  </si>
  <si>
    <t xml:space="preserve">Decide what types of multimedia objects are permitted.
</t>
  </si>
  <si>
    <t>Video (avi, wrl) and Audio (wav) files allowed</t>
  </si>
  <si>
    <t>.avi: Audio Video Interleave
.wrl: VRML (Virtual Reality Modeling Language)
.wav: Waveform Audio File Format
Debe ir a la Stylesheet.</t>
  </si>
  <si>
    <t>SG-30</t>
  </si>
  <si>
    <t>El término foldout se refiere a una hoja desplegable o página plegable que contiene gráficos, diagramas o información técnica que es demasiado grande para ser representada en una página estándar.
Tanto los gráficos como las tablas deben ser acomodados (no quita que una tabla esté en varias páginas por los datos que representa, pero los margenes deben estar incluidos en los permitidos según se indica en la S1-00121).</t>
  </si>
  <si>
    <t xml:space="preserve">Decide whether and how to use hotspots as follows:
If hotspots are to be used, decide whether hotspots can be used to link to graphical objects from local text.
If hotspots are to be used, decide whether hotspots can be used to link from graphical objects to other graphical objects or local text.
If hotspots are to be used, decide whether hotspots can be used to link from graphical objects to other data modules.
</t>
  </si>
  <si>
    <t>Hotspots shall be used in IPD and procedural data modules between graphical objects and local text.
HOTSPOTS ONLY IN IPD AND PROCEDURAL</t>
  </si>
  <si>
    <t>Hotspots can be used to link from graphics to text and from text to graphics within a data module.</t>
  </si>
  <si>
    <t>Se supone que enlaza graficos, con local text, o con DMs, o con otros gráficos (tal y como se describe en la BR)</t>
  </si>
  <si>
    <t>Please, confirm that the hotspots are only used in IPD data modules and not in descriptive and procedural data modules. We think that using hotspots everywhere is useful.
ATX Proposal: 
Hotspots to be used in the IPD and other data module types.</t>
  </si>
  <si>
    <t>SG-31</t>
  </si>
  <si>
    <t>Change to:
Hotspots can be used to link from graphics to text and from text to graphics within a data module.</t>
  </si>
  <si>
    <t xml:space="preserve">Decide whether to use the element &lt;parameter&gt; and how to use it. If used, specify the attributes to be used within the project or organization.
</t>
  </si>
  <si>
    <t xml:space="preserve">El elemento &lt;parameter&gt; y sus atributos se utilizan para pasar parámetros a objetos dentro de la escena multimedia. Estos parámetros se pueden utilizar para controlar el comportamiento
hacia o desde los objetos y para capturar eventos de clic.
El elemento &lt;parameter&gt; es hijo del elemento &lt;multimediaObject&gt;. </t>
  </si>
  <si>
    <t>SG-130</t>
  </si>
  <si>
    <t>Use of the element &lt;preliminaryRqmts&gt; is allowed.</t>
  </si>
  <si>
    <t>El elemento &lt;preliminaryRqmts&gt; contiene todos los requisitos preliminares para un procedimiento. Este elemento es obligatorio en los módulos de datos de procedural y fault isolation y opcional en los DMs de process &amp;maintenance planning.</t>
  </si>
  <si>
    <t>SG-108</t>
  </si>
  <si>
    <t xml:space="preserve">El elemento &lt;workAreaLocationGroup&gt; contiene el área donde el trabajo debe realizarse. </t>
  </si>
  <si>
    <t>Elemento hijo de &lt;workAreaLocationGroup&gt;</t>
  </si>
  <si>
    <t>Elemento hijo de &lt;workLocation&gt;</t>
  </si>
  <si>
    <t>Elemento hijo de &lt;workLocation&gt;.
Es un identificador de parte estructural de un Producto (por ejemplo, marco, nervio, larguero). Ayuda a los trabajadores a determinar la posición exacta en la que debe realizarse un trabajo.</t>
  </si>
  <si>
    <t xml:space="preserve">Atributo de &lt;productItem&gt;.
</t>
  </si>
  <si>
    <t>El elemento &lt;taskDuration&gt; contiene los tiempos transcurridos para realizar las acciones especificadas en Preliminary requirements, the Main procedure and the Requirements after job completion.</t>
  </si>
  <si>
    <t xml:space="preserve">El elemento &lt;reqCondCircuitBreaker&gt; contiene un conjunto de acciones del interruptor (abrir, cerrar, abrir-ordenar, cerrar-ordenar, comprobar abierto o comprobar cerrado) que deben ejecutarse
antes de la realización de la tarea. </t>
  </si>
  <si>
    <t xml:space="preserve">Decide whether and how to use the element &lt;reqPersons&gt;. For example, use either the element &lt;personnel&gt; or &lt;person&gt; or use both elements.
</t>
  </si>
  <si>
    <t>The element &lt;reqPersons&gt; and the element &lt;personnel&gt; shall be used. Do not use the element &lt;person&gt;.
&lt;REQPERSONS&gt; &lt;PERSONNEL&gt;
&lt;PERSON&gt;</t>
  </si>
  <si>
    <t>El elemento &lt;reqPersons&gt; contiene la información sobre el personal necesario
necesario para la tarea.
Si hay requisitos para un hombre específico, entonces se debe utilizar el elemento &lt;person&gt;. 
Al no ser usado se entiende como "As required" - como se requiera.</t>
  </si>
  <si>
    <t>We recommend the use of required personnel in order to know, at least, the number of people to carry on the task for Maintenance Procedures. The type of personnel can also be included.
ATX Proposal: 
The element &lt;reqPersons&gt; and the element &lt;personnel&gt; shall be used to know, at least, the number of people to carry on the task. . Do not use the element &lt;person&gt;.</t>
  </si>
  <si>
    <t>SG-110</t>
  </si>
  <si>
    <t xml:space="preserve">Usually only one person is needed to perform the task. If two are needed, then the info will be included as a note at the beginning of the data module.
</t>
  </si>
  <si>
    <t>Values for the attribute personCategoryCode in the element &lt;preliminaryRqmts&gt; are defined in the S3000L Agency Instruction 16.31.05
PERSONCATEGORYCODE ATTRIBUTE I.A.W. AI 16.31.05</t>
  </si>
  <si>
    <t>Elemento hijo de &lt;personnel&gt; or &lt;person&gt;, que a su vez es hijo de &lt;reqPersons&gt;.</t>
  </si>
  <si>
    <t>SG-111</t>
  </si>
  <si>
    <t>Values for the element &lt;trade&gt; in the context of the element &lt;preliminaryRqmts&gt; are defined in the LSA Agency Instruction.
S3000L Agency Instruction 16.31.05
&lt;TRADE&gt;</t>
  </si>
  <si>
    <t>Elemento hijo de &lt;personnel&gt;, que a su vez es hijo de &lt;reqPersons&gt;.</t>
  </si>
  <si>
    <t>SG-112</t>
  </si>
  <si>
    <t>El elemento &lt;reqTechInfoGroup&gt; contiene referencias a cualquier documento técnico, además del DM propiamente dicho. Por ejemplo, a información técnica no incluidos en el DMs.
S1-000148 no existe ya 
In addition to the codes listed in S1000D, Code “ti51” is to be used for “Job Instruction Card” in Civil Aviation applications.
The attribute reqTechInfoCategory will not be used.</t>
  </si>
  <si>
    <t>SG-113</t>
  </si>
  <si>
    <t>All standard and common hand tools shall be listed in the support equipment list and preliminary requirements.
STANDARD AND COMMON TOOLS IN SUPPORT EQUIPMENT</t>
  </si>
  <si>
    <t>Any tool called out in a procedure must be listed in the Preliminary requirements.</t>
  </si>
  <si>
    <t>El elemento &lt;reqSupportEquips&gt; debe contener información para enumerar cualquier
support equipment (equipos de prueba, como voltímetros, etc.). Las herramientas estándar que formen parte de un juego de herramientas no deben figurar en la lista.
Deben identificarse mediante el nombre del support equipment, la identificación y una cantidad. Como número de identificación, se recomienda el identificador CSN/ISN para proporcionar un enlace directo con el IPD en el lugar correspondiente.</t>
  </si>
  <si>
    <t>SG-117</t>
  </si>
  <si>
    <t>The attribute id on the element &lt;supportEquipDescr&gt; in the element &lt;preliminaryRqmts&gt; shall be used.</t>
  </si>
  <si>
    <t>Use of the attribute id on the element &lt;supportEquipDescr&gt; in the element &lt;preliminaryReqmts&gt; is required.</t>
  </si>
  <si>
    <t>El elemento &lt;supportEquipDescr&gt; contiene la información sobre cada support equipment.
El atributo "id" del elemento &lt;supportEquipDescr&gt; puede aplicarse para hacer referencias cruzadas.</t>
  </si>
  <si>
    <t>SG-114</t>
  </si>
  <si>
    <t>@materialUsage shall not be used</t>
  </si>
  <si>
    <t xml:space="preserve">materialUsage (O), define un conjunto de materiales del support equipment, del supply o de spare. El atributo puede tener uno de los siguientes valores:
- «mu01» a «mu99». </t>
  </si>
  <si>
    <t xml:space="preserve">Decide which of the elements &lt;catalogSeqNumberRef&gt;, &lt;natoStockNumber&gt;, &lt;identNumber&gt;, &lt;toolRef&gt;, &lt;supplyRef&gt;, &lt;supplyRqmtRef&gt;, &lt;partRef&gt;, &lt;functionalItemRef&gt; and &lt;materialSetRef&gt; to use for identification and how to populate these elements.
</t>
  </si>
  <si>
    <t xml:space="preserve">General Civil Aviation usage applies with the following exceptions:
• In &lt;supportEquipmentDescr&gt;, the element
&lt;materialSetRef&gt; shall not be used.
• In &lt;spareDesc&gt; the elements
&lt;functionalItemRef&gt; and &lt;materialSetRef&gt;
shall not be used.
For the allowed elements, see the following table for how to populate the elements
</t>
  </si>
  <si>
    <t>Está incompleta. Se debe aplicar GCA con las restricciones de ATA CMP.
Para identificarlos se usan los siguientes elementos:
− &lt;catalogSeqNumberRef&gt;, the CSN. Refer to Chap 3.9.5.2.7.
− &lt;natoStockNumber&gt;, the NATO stock number. Refer to Chap 3.9.5.2.7.
− &lt;identNumber&gt;, the identification number. Refer to Para 2.5.1.3.1.
− &lt;toolRef&gt;, the tool reference. Refer to Para 2.5.1.3.6.
It is substituted with the elements &lt;supplyRef&gt; and
&lt;supplyRqmtRef&gt;for supplies.
It is substituted with the elements &lt;partRef&gt; and
&lt;functionalItemRef&gt;for parts.
− &lt;materialSetRef&gt;, the material set reference. Refer to Para 2.5.1.3.7</t>
  </si>
  <si>
    <t>We recommend to establish which part numbers should be inserted in to the data modules, and an order of preference for those ones e.g.: NSN, LHT part number and manufacturer part number.
ATA CMP proposal is:
The element &lt;natoStockNumber&gt; shall not be used. 
For &lt;supportEquipmentDescr&gt;, the elements &lt;toolRef&gt;, &lt;identNumber&gt; may be used. The element &lt;catalogSeqNumberRef&gt; and &lt;materialSetRef&gt; shall not be used.
For &lt;supplyDescr&gt;, the elements &lt;supplyRef&gt;,
&lt;supplyRqmtRef&gt;, &lt;materialSetRef&gt; or &lt;identNumber&gt;
may be used. The element &lt;catalogSeqNumberRef&gt;
shall not be used.
For &lt;spareDescr&gt;, the elements
&lt;catalogSeqNumberRef&gt;, &lt;identNumber&gt;, and &lt;partRef&gt; may be
used. The elements
&lt;functionalItemRef&gt; and &lt;materialSetRef&gt;
shall not be used.
For the allowed elements, see the following table for how to populate the elements (table should be attached)</t>
  </si>
  <si>
    <t>SG-32</t>
  </si>
  <si>
    <t>Column I</t>
  </si>
  <si>
    <t>The attribute id on element &lt;supplyDescr&gt; in the element &lt;preliminaryRqmts&gt; shall be used.</t>
  </si>
  <si>
    <t>S1-000154 no existe ya 
No business rule.
El elemento &lt;supplyDescr&gt; contiene la información sobre cada supply.
El atributo "id" del elemento &lt;supplyDescr&gt; puede aplicarse para hacer referencias cruzadas.</t>
  </si>
  <si>
    <t>SG-115</t>
  </si>
  <si>
    <t>The attribute id on element &lt;spareDescr&gt; in the element &lt;preliminaryRqmts&gt; shall be used.</t>
  </si>
  <si>
    <t>El elemento &lt;spareDescr&gt; contiene la información sobre cada spare.
El atributo "id" del elemento &lt;spareDescr&gt; puede aplicarse para hacer referencias cruzadas.</t>
  </si>
  <si>
    <t>SG-116</t>
  </si>
  <si>
    <t>El elemento &lt;closeRqmts&gt; contiene cualquier acción que se requiera después de que el procedimiento se haya completado</t>
  </si>
  <si>
    <t>SG-118</t>
  </si>
  <si>
    <t>circuitBreakerAction shall not be used.</t>
  </si>
  <si>
    <t>CircuitBreakerAction (O) es un atributo del elemento &lt;circuitBreakerRef&gt; que contiene la acción a realizar sobre el interruptor y puede tener uno de los siguientes valores:
- «open», «close» », «verify-open» y verify-close»</t>
  </si>
  <si>
    <t>checkSum (O) es un atributo del elemento &lt;circuitBreakerRef&gt; para ver la integridad de los datos.</t>
  </si>
  <si>
    <t>&lt;inlineSignificantData&gt; shall not be used.</t>
  </si>
  <si>
    <t>Atributo "significantParaDa
taType" del elemento
&lt;inlineSignificantData&gt; que contiene datos con un significado significativo, como un código de lubricante o de fabricante, siendo "significantParaDataType (M)" el siginificado del dato con los valores:"psd01" thru "psd99". Refer to Chap 3.9.6.1. 
S1-000161 no existe ya 
Text element &lt;quantity&gt; shall not be used.
S1-000162 no existe ya 
No business rule.</t>
  </si>
  <si>
    <t>If &lt;quantityValue&gt; is used, any associated tolerances must also be tagged using the &lt;quantityTolerance&gt; element. This does not preclude providing a range of values using the quantityGroupType attribute.</t>
  </si>
  <si>
    <t>El elemento &lt;quantity&gt; corresponde a un valor numérico con un significado especial, como un valor de par de apriete, y puede ser desglosado en varios a través del elemento hijo &lt;quantityGroupType&gt;.
Dos elementos hijos del anterior son: &lt;quantityValue&gt;, el valor y una unidad de medida opcional. Véase el apartado 2.1.4.1.1.
- &lt;quantityTolerance&gt;, el valor de tolerancia. Véase el apartado 2.1.4.1.2.</t>
  </si>
  <si>
    <t xml:space="preserve">If using the value and tolerance decomposition, decide at which level of the markup the attribute quantityUnitOfMeasure must be included. Allowable locations are on the parent element &lt;quantityGroup&gt; which applies to all child elements or on the individual child elements &lt;quantityValue&gt; and &lt;quantityTolerance&gt;. A consistent usage of the attribute quantityUnitOfMeasure is required to produce a consistent display or printout to the user.
</t>
  </si>
  <si>
    <t>quantityUnitOfMeasure to be used includes child elements</t>
  </si>
  <si>
    <t>S1-000165 no existe ya 
No business rule.
Ejemplo del atributo "quantityUnitOfMeasure" usandose a nivel child (sobre el elemento &lt;QuantityValue&gt;):
&lt;para&gt;The windshield assembly weighs approximately
&lt;quantity&gt;
&lt;quantityGroup quantityGroupType="nominal"&gt;
&lt;quantityValue quantityUnitOfMeasure="kg"&gt;40&lt;/quantityValue&gt;
&lt;/quantityGroup&gt;
&lt;/quantity&gt;
and requires two persons ...
&lt;/para&gt;
The display of this markup can be as follows:
"The windshield assembly weighs approximately 40 kg and requires two persons ..."
Más ejemplos en Pag653 S1000Dv4.2</t>
  </si>
  <si>
    <t xml:space="preserve">Decide whether and how to use the element &lt;zoneRef&gt;. Consideration for duplication and mismatch of data given in the maintenance planning information has to be taken.
</t>
  </si>
  <si>
    <t xml:space="preserve">El elemento &lt;zoneRef&gt; contiene la información de zonificación (una o más), Chap 3.4. </t>
  </si>
  <si>
    <t>El elemento &lt;accessPointRef&gt; describe/identifica cualquier punto de acceso como como paneles, puertas y escotillas. 
S1-000168 no existe ya 
No business rule.</t>
  </si>
  <si>
    <t>SG-123</t>
  </si>
  <si>
    <t xml:space="preserve">El elemento &lt;indexFlag&gt; se utiliza para contener el texto que se
debe incluir en un Index generado automáticamente. Este índice suele ser una lista alfabética de palabras clave.
S1-000170 no existe ya 
Only "em01" / bold will be supported
</t>
  </si>
  <si>
    <t>&lt;symbol&gt; may be used where needed as inline graphic.</t>
  </si>
  <si>
    <t>El elemento &lt;symbol&gt; contiene ilustraciones y gráficos destinados a presentarse en línea dentro del texto normal. Los símbolos deben controlarse mediante la ICN.</t>
  </si>
  <si>
    <t>SG-33</t>
  </si>
  <si>
    <t>&lt;footnote&gt; shall not be used.</t>
  </si>
  <si>
    <t>El elemento &lt;footnote&gt; contiene referencias bibliográficas o explicaciones
que ocuparían demasiado espacio para el lector en el texto.
El elemento &lt;footnote&gt; es una nota a pie de página y suele generar un marcador (por ejemplo, un número en superíndice) en el lugar del flujo de texto en el que aparece.</t>
  </si>
  <si>
    <t>SG-72</t>
  </si>
  <si>
    <t>Puesto que el elemento &lt;footnote&gt; no se permite, el tipo de marker que lo representa tampoco.
S1-000174 no existe ya 
If used, acronymType may contain only values “at01”, “at02”, “at03”, or “at04”.
&lt;acronym&gt; shall be used with acronymType "at01" only.
S1-000175 no existe ya 
&lt;verbatimText&gt; shall not be used.</t>
  </si>
  <si>
    <t xml:space="preserve">Decide whether the project can use OEM renamed part numbers instead of part numbers allocated by the part design authority in the attribute partNumberValue.
</t>
  </si>
  <si>
    <t>The attribute partNumberValue shall contain the part numbers allocated by the part design authority.
PARTNUMBERVALUE ATTRIBUTE</t>
  </si>
  <si>
    <t>Only part numbers allocated by the design authority shall be used in the attribute partNumberValue.</t>
  </si>
  <si>
    <t>The attribute partNumberValue shall contain the part numbers allocated by the part design authority.
El elemento &lt;partRef&gt; se utiliza para marcar una pieza y permite hacer referencia a su posición en el repositorio de información común de piezas.
partNumberValue (M), el número de pieza de un artículo asignado por la autoridad de diseño del equipo, o cuyo nombre es cambiado por el OEM para su uso en publicaciones técnicas.</t>
  </si>
  <si>
    <t>Please, provide a decission at this point. It should be a company decission to show their own part numbers to the customer or to show the OEM part numbers.</t>
  </si>
  <si>
    <t>Controlled content shall not be used.</t>
  </si>
  <si>
    <t>Cuando se aplica un control sobre un elemento, el efecto del control se propaga hacia abajo y se aplica a todos los hijos de ese elemento. El atributo authorityName debe utilizarse para registrar el nombre de la autoridad que requiere que se controle el contenido.
Opcionalmente, el atributo authorityDocument puede utilizarse para registrar el documento de autoridad que lo quiere registrar.
Ejemplo:
&lt;proceduralStep&gt;
&lt;para&gt;This is normal procedural step content&lt;/para&gt;
&lt;proceduralStep&gt;
&lt;para&gt;This is normal originator owned content&lt;/para&gt;
&lt;/proceduralStep&gt;
&lt;proceduralStep authorityName="xyz" authorityDocument="xyz-prod1"&gt;
&lt;para&gt;This content is controlled by data receiver xyz&lt;/para&gt;
&lt;/proceduralStep&gt;
&lt;/proceduralStep&gt;
El elemento &lt;dataRestrictions&gt; contiene las instrucciones e
información, aplicables al DM, que se refieren al uso, almacenamiento y manipulación. Además de contener información de aplicabilidad contiene los atributos siguientes:authorityName y authorityDocument, y es así como GCA permite controlar el contenido. 
"Refer to Spec 1000BR Section 3-2 Chapter 1.8 and 1.8.1" (pag 242)"
1000BR indica los siguiente:
Las Regulatory statements  usan dos atributos que se utilizan para indicar que se aplica la información reglamentaria son:
- @authorityName: indicar la organización que tiene autoridad de la información reglamentaria especificada (por ejemplo, la FAA). Es opcional y no se muestra en el PDF.
- @authorityDocument: se utiliza para indicar el requisito normativo aplicable
(por ejemplo, CDCCL). Si se muestra en el PDF.
Ver FIG pag 246.</t>
  </si>
  <si>
    <t xml:space="preserve">Decide whether to use the element &lt;commonInfo&gt; in business rules exchange, common repositories, fault, maintenance checklist, maintenance planning, procedural, process, and service bulletin data modules. If decided to be used, then determine the circumstances for its use for each related data module type, and give guidance and rules that will make sure it is consistently used.
</t>
  </si>
  <si>
    <t>&lt;commonInfo&gt; may be used in procedures.</t>
  </si>
  <si>
    <t>El elemento &lt;commonInfo&gt; contiene información descriptiva que se aplica a un DM completo.
Contiene los siguientes elementos hijos:
&lt;title&gt;,&lt;figure&gt;,&lt;note&gt;, &lt;para&gt;,&lt;commonInfoDescrPara&gt;, …
Si se va usar solo en Procedures, ¿en qué circunstancia y bajo que regla?</t>
  </si>
  <si>
    <t>SG-34</t>
  </si>
  <si>
    <t>&lt;note&gt;, &lt;para&gt; and &lt;commonInfoDescrPara&gt; shall be used.</t>
  </si>
  <si>
    <t>El common information text puede marcarse utilizando uno de estos dos métodos. 1. Un método utiliza un elemento opcional &lt;note&gt;, uno o más elementos &lt;para&gt;, y un elemento opcional y repetible &lt;commonInfoDescrPara&gt;. 
2. El otro método utiliza uno o varios elementos &lt;commonInfoDescrPara&gt;.
Se ha seleccionado el método 1.
S1-000179 no existe ya 
No business rule.</t>
  </si>
  <si>
    <t xml:space="preserve">Decide on the maximum number of levelled paragraphs allowed in a descriptive data module. Exceeding five levels of depth is strongly discouraged in development of new data. It is recommended that additional levels are only used in a conversion effort where the existing data is authored to this depth (maximum eight levels) and restructuring of data is not feasible.
</t>
  </si>
  <si>
    <t>Maximum five subordinate levelled paragraphs in a descriptive data module.
DESCRIPTIVE 5 LEVELS</t>
  </si>
  <si>
    <t>Level of depth will be restricted to 5 levels.</t>
  </si>
  <si>
    <t>El elemento &lt;levelledPara&gt; es el equivalente de un párrafo encabezado y
subpárrafos. Puede tener uno o más elementos &lt;levelledPara&gt; anidados en su interior</t>
  </si>
  <si>
    <t>SG-35</t>
  </si>
  <si>
    <t xml:space="preserve">It is acceptable to have only 1 child &lt;levelledPara&gt;. </t>
  </si>
  <si>
    <t>ATA CMP permite 1 elemento hijo &lt;levelledPara&gt; anidado, siendo esto más restrictivo que no tener BR. 
S1-000182 no existe ya 
No business rule.
S1-000183 no existe ya 
skillLevelCode shall not be used on &lt;maintProcedure&gt; and &lt;proceduralStep&gt;.
S1-000184 no existe ya 
independentCheck shall not be used on &lt;maintProcedure&gt; and &lt;proceduralStep&gt;.</t>
  </si>
  <si>
    <t xml:space="preserve">ATX Proposal: 
It is acceptable to have only 1 child &lt;levelledPara&gt;. </t>
  </si>
  <si>
    <t>SG-36</t>
  </si>
  <si>
    <t xml:space="preserve">Decision changed during meeting on 08/10/2024: It is acceptable to have only 1 child &lt;levelledPara&gt;. </t>
  </si>
  <si>
    <t>Alternates shall not be used.</t>
  </si>
  <si>
    <t>ATA CMP indica lo siguiente como posibilidad, además aplica al BREX:
"The alt concept can be used for only the first level
(//content/procedure/mainProcedure/proceduralStepAlts)"
Pero como no usarlo es más restrictivo, se acepta.</t>
  </si>
  <si>
    <t>SG-119</t>
  </si>
  <si>
    <t>Maximum five step levels in a procedure; reccomended = two.
PROCEDURAL 5 LEVELS, 2 RECOMMENDED</t>
  </si>
  <si>
    <t>GCA es menos restrictiva que LTH Decision, por lo que podemos validarlo.</t>
  </si>
  <si>
    <t>SG-37</t>
  </si>
  <si>
    <t>Decision changed during meeting on 21/10/2024: from "No more than 5 levels shall be used." to "There will be a maximum of five levels, while the fifth level must not have a title." to fit with BRDP-S1-00120</t>
  </si>
  <si>
    <t>A minimum of two sub-steps is required</t>
  </si>
  <si>
    <t>ATA CMP permite 1 substep por step.
S1-000188 no existe ya 
The attribute keepWithNext shall not be used.
S1-000189 no existe ya 
The attribute itemCharacteristic shall not be used.
S1-000190 no existe ya 
No business rule.
S1-000191 no existe ya 
If used, the element &lt;title&gt; shall be used to name the procedural step or sequence of steps, but shall not contain the action steps themselves.</t>
  </si>
  <si>
    <t>We recommend that single substeps shall not be used; minimum two.</t>
  </si>
  <si>
    <t>SG-38</t>
  </si>
  <si>
    <t>Decision changed during meeting on 08/10/2024: A minimum of two sub-steps is required</t>
  </si>
  <si>
    <t>Fault Schema not to be used</t>
  </si>
  <si>
    <t>El elemento &lt;correlatedFault&gt; contiene la información sobre fallos correlacionados
Ejemplo:
&lt;correlatedFault id="CFS0001"&gt;
&lt;basicCorrelatedFaults&gt;
&lt;bitMessage&gt;&lt;fault faultCode="100FC01"/&gt;
&lt;faultDescr&gt;
&lt;descr&gt;The pedal mechanism is jammed&lt;/descr&gt;
&lt;/faultDescr&gt;
&lt;/bitMessage&gt;
&lt;/correlatedFault&gt;</t>
  </si>
  <si>
    <t xml:space="preserve">Son elementos hijos del elemento &lt;correlatedFault&gt; </t>
  </si>
  <si>
    <t>SG-121</t>
  </si>
  <si>
    <t xml:space="preserve">GCA tiene una excepción pero LTH decision es más restrictiva, por lo cual se acepta. Sin embargo la BRDP-S1-00004 y la BRDP-S1-00006 dicen que SI se usará el Schema Fault (aclarar primero estas BRs)
El elemento &lt;faultIsolation&gt; identifica y describe el fallo y proporciona la ruta de diagnóstico para aislar un elemento defectuoso.
A su vez contiene un elemento hijo: &lt;faultIsolationProcedure&gt;. 
A su vez contiene los elementos hijos:
&lt;isolationProcedure&gt;, &lt;isolationStep&gt; y &lt;isolationProcedureEnd&gt; que tienen el atributo "independentCheck", que indica si el procedimiento al completarse debe ser comprobado por un supervisor con una cualificación determinada
</t>
  </si>
  <si>
    <t>BRDP-S1-00004 and la BRDP-S1-00006 should be clarified before accepting that Fault Schema will not be used.</t>
  </si>
  <si>
    <t>SG-120</t>
  </si>
  <si>
    <t>Procedural schema for fault Isolation</t>
  </si>
  <si>
    <t>NO INFO</t>
  </si>
  <si>
    <t xml:space="preserve">Not Applicable GCA.
(Maintenance Inspections are not included)
Los DMs de inspección enumeran las tareas de mantenimiento preventivo.
Requisitos preliminares de alto nivel se indicarán utilizando el elemento &lt;reqSupportEquips&gt;.
</t>
  </si>
  <si>
    <t>Please, provide a decision.
ATX Proposal: 
Not used for CMPs and not applicable to GCA.</t>
  </si>
  <si>
    <t>Decision changed during the meeting on 17/10/2024: from "NO INFO" to "Not used for CMPs and not applicable to GCA.."</t>
  </si>
  <si>
    <t>Schedule DM shall not be used.</t>
  </si>
  <si>
    <t xml:space="preserve">S1-000196 no existe ya 
If used, the element &lt;title&gt; shall be used to name the step or sequence of steps, but shall not contain the action steps themselves.
El esquema maintenance planning ("schedule") no se utilizará.
inspectionTypeCategory (M), atributo para la clasificación textual de la inspección. </t>
  </si>
  <si>
    <t xml:space="preserve">No aplica a CMP.
El elemento &lt;taskGroup&gt; contiene una lista de tareas que pertenecen a la inspección. </t>
  </si>
  <si>
    <t>No aplica a CMP.
markerType (M), atributo que marca la naturaleza de los datos en el elemento &lt;taskDescr&gt;. Se utiliza para indicar si la tarea se realiza interna o externa al Producto.
S1-000200 no existe ya 
Schedule DM shall not be used.
S1-000201 no existe ya 
Schedule DM shall not be used.</t>
  </si>
  <si>
    <t>No aplica a CMP.
El elemento &lt;rqmtSource&gt; contiene la información que permite identificar al autor que es la fuente del requisito y necesidad de mantenimiento, y su atributo sourceOfRqmt (M), es el código que indica el origen de la exigencia (p. ej, «MRB», “MPD” y “AD”)
S1-000203 no existe ya 
Schedule DM shall not be used.</t>
  </si>
  <si>
    <t>No aplica a CMP.
En el contexto de tarea de mto., el elemento &lt;preliminaryRqmts&gt; contiene toda la información sobre los recursos que se requieren antes de la realización de la tarea de mto &lt;taskDefinition&gt;.
S1-000203 no existe ya 
Schedule DM shall not be used.
S1-000203 no existe ya 
Schedule DM shall not be used.
S1-000203 no existe ya 
Schedule DM shall not be used.
S1-000205 no existe ya 
Schedule DM shall not be used.
S1-000206 no existe ya 
Schedule DM shall not be used.
S1-000207 no existe ya 
Not applicable for civil aviation applications.
S1-000208 no existe ya 
Not applicable for civil aviation applications.
S1-000209 no existe ya 
Not applicable for civil aviation applications.
S1-000210 no existe ya 
Not applicable for civil aviation applications.
S1-000211 no existe ya 
Not applicable for civil aviation applications.
S1-000212 no existe ya 
Not applicable for civil aviation applications.
S1-000213 no existe ya 
Not applicable for civil aviation applications..
S1-000214 no existe ya 
Not applicable for civil aviation applications.
S1-000215 no existe ya 
The attribute initialProvisioningProjectNumber shall not be used.
S1-000216 no existe ya 
The element &lt;natoStockNumber&gt; shall not be used.
S1-000217 no existe ya 
No Civil Aviation business rule. Special functionality in eDoc must be implemented.
S1-000218 no existe ya 
The attribute partStatus shall be used.  See chapter 3.9.6.1 for allowable Civil Aviation values.</t>
  </si>
  <si>
    <t xml:space="preserve">Not used for CMP.
El elemento &lt;timeLimitCategory&gt; se utiliza para clasificar el límite de tiempo de una tarea.
timeLimitCategoryValue (M), una enumeración que representa las categorías de límites de tiempo. Valores:
- «1» - relacionado con la seguridad
- 2» - no relacionado con la seguridad
La interpretación de estos valores puede ser definida por una BR, sin embargo, la interpretación por defecto de los valores es la indicada anteriormente.
</t>
  </si>
  <si>
    <t>Decision changed during the meeting on 17/10/2024: from "For CMP, DMs the definition of the issue date is the date it is released." to "Not used for CMPs and not applicable to GCA.."</t>
  </si>
  <si>
    <t xml:space="preserve">Decide whether to use the element &lt;partSegment&gt; to store the part data in the IPD data module each time the part is listed, or store the part data once externally in the part CIR data module.
Note
The element &lt;partSegment&gt; must be used for S2000M IPD data modules.
</t>
  </si>
  <si>
    <t>&lt;partSegment&gt; shall be used.</t>
  </si>
  <si>
    <t>El elemento &lt;itemSeqNumber&gt;, ISN, contiene el número de secuencia del artículo. También contiene elementos que almacenan metadatos como:
El elemento &lt;partSegment&gt; contiene datos relativos a la pieza, y es opcional, ya que los datos de la pieza también pueden almacenarse en el CIR de la pieza. 
Para un proyecto S2000M, el elemento &lt;partSegment&gt; corresponde  al part identity segment  (PAS) 
S1-000220 no existe ya 
If used, &lt;partKeyword&gt; must contain the value provided in the ATA Spec 2000 Initial Provisioning data.</t>
  </si>
  <si>
    <t xml:space="preserve">ATEXIS Proposal:
PAS S2000M message contains &lt;itemSeqNumber&gt; element with its child  &lt;partSegment&gt; and their attributes. The CSDB should be prepared to read this PAS message, so it will depend on the CSDB. If LHT uses Xignal, they will add the feature LHT prefers, &lt;partSegment&gt; or &lt;partRepository&gt;. 
ATX proposes to comply with the PAS message by default using &lt;partSegment&gt; as it should be independent of the chosen CSDB. </t>
  </si>
  <si>
    <t>SG-122</t>
  </si>
  <si>
    <t>Decision changed during the meeting 09/10/24: Parts CIR DM shall be used. 
Decision updated on 21/20/24: Can S2000M connect to our CIR?. If so, no problem. If not, we might have to re-author at a later stage.
PAS S2000M message contains &lt;itemSeqNumber&gt; element with its child  &lt;partSegment&gt; and their attributes. The CSDB should be prepared to read this PAS message, so it will depend on the CSDB. If LHT uses Xignal, they will add the feature LHT prefers, &lt;partSegment&gt; or &lt;partRepository&gt;. 
ATX proposes to comply with the PAS message by default using &lt;partSegment&gt; as it should be independent of the chosen CSDB.  
Decision changed during the WSG feedback 13/11/24: approved previous comment.</t>
  </si>
  <si>
    <t>CIR</t>
  </si>
  <si>
    <t>&lt;physicalSecurityPilferageCode&gt; shall not be used.</t>
  </si>
  <si>
    <t>El elemento &lt;techData&gt; contiene las propiedades técnicas relacionadas con la pieza.
El elemento &lt;physicalSecurityPilferageCode&gt; indica el
grado de riesgo de seguridad o controles de hurto para el almacenamiento y recuperación de activos físicos.</t>
  </si>
  <si>
    <t xml:space="preserve">Decide on the range and definitions of the values for the attribute unitOfMeasure.
Note
When the IPD data modules are created from S2000M, the list of allowed unit of measure (UOM) values must contain those defined in the data definition in S2000M. When S2000M is used, it is strongly recommended to use the S2000M UOM values throughout the project.
</t>
  </si>
  <si>
    <t xml:space="preserve">The attribute unitOfMeasure in the element shall not be used.
UOM
</t>
  </si>
  <si>
    <t>The attribute unitOfMeasure shall not be used.</t>
  </si>
  <si>
    <t xml:space="preserve">Recomendada cuando trabajamos con S2000M.
El elemento &lt;unitOfIssueQualificationSegment&gt; identifica en
S2000M el segmento de cualificación de unidad de emisión (PCS).
Siendo el atributo unitOfMeasure (M),la unidad de medida.
</t>
  </si>
  <si>
    <t>Optional parts shall be identified by Part Number and Manufacturer Code.</t>
  </si>
  <si>
    <t>Reescribiría tal que: 
Optional parts shall be identified by Part Number and Manufacturer Code (allowing then to refer to the part CIR DM by the element &lt;partRef&gt; and attribute partNumberValue and manufacturerCodeValue)
partNumberValue (M), el número de pieza de un artículo asignado por la autoridad de diseño del equipo o renombrado por el OEM para su uso en documentos técnicos.
manufacturerCodeValue (M), el código CAGE del fabricante.
El elemento &lt;partRefGroup&gt; contiene los diferentes tipos de relaciones con otras partes.
Se usará el elemento &lt;optionalPart&gt; para mostrar un PN opcional.
Proporciona una o varias  opciones de piezas
iguales (forma y función) pero con fabricantes diferentes.
Ejemplo:
Part number 2 is optional to part number 1
&lt;partSpec&gt;
&lt;partIdent partNumberValue="1".../&gt;
...
&lt;partRefGroup&gt;
&lt;optionalPart&gt;
&lt;partRef partNumberValue="2".../&gt;
&lt;/optionalPart&gt;
&lt;/partRefGroup&gt;
&lt;/partSpec&gt;</t>
  </si>
  <si>
    <t>Preferred spare parts shall be identified by Part Number and Manufacturer Code.</t>
  </si>
  <si>
    <t>Reescribiría tal que: 
Preferred spare parts shall be identified by Part Number and Manufacturer Code (allowing then to refer to the part CIR DM by the element &lt;partRef&gt; and attribute partNumberValue and manufacturerCodeValue)
El elemento &lt;preferredSparePart&gt; proporciona uno o varios recambios preferidos.
Ejemplo:
Part number 3 is preferred to part number 1
&lt;partSpec&gt;
&lt;partIdent partNumberValue="1".../&gt;
...
&lt;partRefGroup&gt;
&lt;preferredSparePart&gt;
&lt;partRef partNumberValue="3".../&gt;
&lt;/preferredSparePart&gt;
&lt;/partRefGroup&gt;
&lt;/partSpec&gt;</t>
  </si>
  <si>
    <t>Altered from parts shall be identified by Part Number and Manufacturer Code.</t>
  </si>
  <si>
    <t>Reescribiría tal que: 
Altered parts shall be identified by Part Number and Manufacturer Code (allowing then to refer to the part CIR DM by the element &lt;partRef&gt; and attribute partNumberValue and manufacturerCodeValue)
El elemento &lt;alteredFromPart&gt; proporciona una o varias piezas a partir de las cuales se ha modificado la pieza principal. Indica que se haya realizado una modificación y puede facilitarse la descripción de la modificación.</t>
  </si>
  <si>
    <t>Manufactured from parts shall be identified by Part Number and Manufacturer Code.</t>
  </si>
  <si>
    <t>Reescribiría tal que: 
Manufactured from parts shall be identified by Part Number and Manufacturer Code (allowing then to refer to the part CIR DM by the element &lt;partRef&gt; and attribute partNumberValue and manufacturerCodeValue)
El elemento &lt;localFabricationMaterial&gt; especifica una o varias
piezas brutas a partir de las cuales se puede fabricar la pieza definida y sus dimensiones o cantidad.
S1-000227 no existe ya 
No business rule.
S1-000228 no existe ya 
No business rule.</t>
  </si>
  <si>
    <t>El elemento &lt;usableOnCodeEquip&gt; contiene las variantes y
configuraciones en las que la pieza es aplicada.
El elemento &lt;applicabilitySegment&gt; identifica un segmento de aplicabilidad para la S2000M.</t>
  </si>
  <si>
    <t>El elemento &lt;usableOnCodeAssy&gt; contiene las variantes de ensamblaje y variantes de configuración en las que la pieza es aplicada.
Aunque ATA CMP hace una excepción no es relevante porque aplica a la S2000M, y LTH es más restrictiva.</t>
  </si>
  <si>
    <t>El elemento &lt;interchangeability&gt; contiene la intercambiabilidad de
dos o más elementos en la misma ubicación. El elemento &lt;interchangeability&gt; sólo se rellenará si el elemento &lt;reasonForSelection&gt; no contiene «0».</t>
  </si>
  <si>
    <t>S1-00232
thru S1-
00235</t>
  </si>
  <si>
    <t>El elemento &lt;service&gt; identifica el servicio de usuario al que son
específicos.
El elemento &lt;locationRcmdSegment&gt; identifica una recomendación de segmento de localización en la S2000M</t>
  </si>
  <si>
    <t>SMR Codes are defined in the LSA Agency Instruction.
SMR CODE</t>
  </si>
  <si>
    <t>El elemento &lt;sourceMaintRecoverability&gt; identifica las actividades de mantenimiento que se realizan en un elemento.
Nota: Tiene una tabla con códigos para usarse.</t>
  </si>
  <si>
    <t>The element &lt;modelVersion&gt; may be used. When used, it shall be defined in the project-specific IPSP or TPDP.
&lt;MODELVERSION&gt;</t>
  </si>
  <si>
    <t>El elemento &lt;modelVersion&gt; identifica la versión específica del producto (descrita por el model identification code) en la que está instalado un elemento en esta ubicación.</t>
  </si>
  <si>
    <t>El elemento &lt;effectivity&gt; identifica la gama de productos en los que el
elemento está equipado en esta ubicación.
Nota: En general, S1000D no lo usa, sin embargo, se incluye en el IPD
schema porque refleja esa parte en S2000M.
S1-000236 no existe ya 
Shall not be used</t>
  </si>
  <si>
    <t xml:space="preserve">The BREX shall not be used for the definition of the non-S2000M elements.
</t>
  </si>
  <si>
    <t>S1-000238 no existe ya 
Wiring data description data modules shall not be used.</t>
  </si>
  <si>
    <t>SG-127</t>
  </si>
  <si>
    <t>Wiring Schema shall not be used</t>
  </si>
  <si>
    <t>El elemento &lt;wireType&gt; proporciona información sobre el tipo de cable. Normalmente, el tipo de cable se define de forma codificada. La tabla 7 muestra ejemplos de codificación de tipos de cable.</t>
  </si>
  <si>
    <t>El elemento &lt;wireSeqNumber&gt; contiene el número secuencial de un cable, que puede formar parte de la identificación completa del cable.
El número secuencial del cable debe utilizarse si la identificación completa del cable, incluido su número secuencial, no se indica en el elemento &lt;wireNumber&gt;.
En el caso de proyectos u organizaciones que contengan el número secuencial de cable en el elemento &lt;wireNumber&gt; de la identificación del cable, la población del elemento &lt;wireSeqNumber&gt; no es necesaria.</t>
  </si>
  <si>
    <t>El elemento &lt;electricalEquipConnection&gt; proporciona información sobre las conexiones eléctricas que pertenecen a unaconexión transversal. 
S1-000242 no existe ya 
The Process data module is not applicable for civil aviation applications.
S1-000243 no existe ya 
The Process data module is not applicable for civil aviation applications.</t>
  </si>
  <si>
    <t>The Process data module is not applicable for civil aviation applications.</t>
  </si>
  <si>
    <t>S1-000245 no existe ya 
The Process data module is not applicable for civil aviation applications.</t>
  </si>
  <si>
    <t>S1-000250 no existe ya 
No business rule.</t>
  </si>
  <si>
    <t>The attribute altNumber shall not be used.</t>
  </si>
  <si>
    <t>Propondría cambiar por "functional items CIR DMs shall not be used."
El módulo de datos Repositorio Común de Información (CIR) de elementos funcionales se utiliza para almacenar
información sobre elementos funcionales dentro del Producto. 
El elemento &lt;functionalItem&gt; contiene información que describe el
elemento funcional y proporciona más información relacionada con el elemento funcional basada en la configuración del producto.
Debe garantizarse la coherencia de la configuración entre los distintos elementos funcionales alternativos, esto significa que, para una configuración de Producto y en unas condiciones operativas dadas debe darse un elemento funcional determinado.
Donde 1 atributo es altNumber (O),y corresponde con el número alternativo para identificar al alternativo.
Ejemplo:
&lt;functionalItem altNumber="00001" applicRefId="applic-001"
normativeComponentFlag="1"&gt;
&lt;location&gt;&lt;zoneRef zoneNumber="292"/&gt;&lt;/location&gt;
&lt;/functionalItem&gt;</t>
  </si>
  <si>
    <t>Atexis Proposal:
Functional items CIR data modules shall not be used, and nor the use of the attribute altNumber.</t>
  </si>
  <si>
    <t>Propondría cambiar por "circuit breaker CIR DMs shall not be used."
El circuit breakers Common Information Repository (CIR) DM se utiliza para almacenar información de identificación única sobre los interruptores y sus funciones eléctricas dentro de la red.
El atributo altNumber (O),y corresponde con el número alternativo para identificar al alternativo del elemento &lt;circuitBraker&gt;</t>
  </si>
  <si>
    <t>Propondría cambiar por "Zones CIR DMs shall not be used."
Atributo zoneRefType (M), el tipo de relación entre las dos zonas secundarias. Pertenece al elemento &lt;zoneRefGroup&gt;, que relaciona los tipos de zonas.</t>
  </si>
  <si>
    <t>Propondría cambiar por "Zones CIR DMs shall not be used."
El atributo altNumber (O),y corresponde con el número alternativo para identificar al alternativo del elemento &lt;zone&gt;</t>
  </si>
  <si>
    <t>Propondría cambiar por "Access Point CIR DMs shall not be used."
Atributo accessPointRefType (M), el tipo de relación entre las dos access points. Pertenece al elemento &lt;accessPointRefGroup&gt;, que relaciona los tipos de access points.</t>
  </si>
  <si>
    <t>Propondría cambiar por "Access Point CIR DMs shall not be used."
El atributo altNumber (O),y corresponde con el número alternativo para identificar al alternativo del elemento &lt;accessPoint&gt;
S1-000257 no existe ya 
No business rule.
S1-000258 no existe ya 
No business rule.
S1-000259 no existe ya 
No business rule.</t>
  </si>
  <si>
    <t>"No rule" as the attributes are not defined yet, but Tools CIR DM shall be used.</t>
  </si>
  <si>
    <t>Propondría cambiar por "Tools CIR DMs shall not be used."
Atributo toolRefType (M), el tipo de relación con el support equipment y las tools (por ejemplo, simetría, relación de sustitución) Pertenece al elemento &lt;toolRefGroup&gt;, que relaciona los support equipments.</t>
  </si>
  <si>
    <t xml:space="preserve">Pending of attribute, but the decision changed during the meeting 09/10/24: Tools CIR DM shall be used. </t>
  </si>
  <si>
    <t>Propondría cambiar por "Tools CIR DMs shall not be used."
El atributo altNumber (O),y corresponde con el número alternativo para identificar al alternativo del elemento &lt;toolSpec&gt;</t>
  </si>
  <si>
    <t xml:space="preserve"> "No rule" as the attributes are not defined yet.</t>
  </si>
  <si>
    <t>Propondría cambiar por "Tools CIR DMs shall not be used."
El elemento &lt;taskCategory&gt; especifica el uso del support equipment (por ejemplo, servicio, mantenimiento, revisión, reparación).
Y su atributo taskCategoryCode (M), el valor de la categoría de la tarea del support equipment</t>
  </si>
  <si>
    <t>Propondría cambiar por "Functional and/or physical CIR DMs shall not be used."
El elemento &lt;functionalPhysicalAreaIdent&gt; identifica semánticamente
el área funcional y/o física
Y su atributo systemDiffCode (O), para indicar a qué código de diferencia de sistema pertenece el área funcional y/o física.</t>
  </si>
  <si>
    <t>Propondría cambiar por "Functional and/or physical CIR DMs shall not be used."
El elemento &lt;functionalPhysicalAreaIdent&gt; identifica semánticamente
el área funcional y/o física
Y sus atributos disassyCode (O), el código de desmontaje del área funcional y/o física. 
disassyCodeVariant (O), el código de desmontaje del área funcional y/o física variante. 
S1-000265 no existe ya 
The container DM shall not be used.
S1-000266 no existe ya 
No business rule.</t>
  </si>
  <si>
    <t>Not applicable for Civil Avaition applications.</t>
  </si>
  <si>
    <t xml:space="preserve">Not Applicable GCA.
Las subestructuras del elemento &lt;learning&gt; incluyen en varias ubicaciones apariciones opcionales del elemento &lt;title&gt;. Para lograr una presentación legible y sin ambigüedades, los títulos deben proporcionarse de una manera sensata.
</t>
  </si>
  <si>
    <t>Please, provide a decision.
ATX Proposal: 
Not applicable to GCA.</t>
  </si>
  <si>
    <t>Decision changed during the meeting on 17/10/2024: from "NO INFO." to "Not applicable for Civil Avaition applications."</t>
  </si>
  <si>
    <t>S1-000272 no existe ya 
Shall not be used</t>
  </si>
  <si>
    <t>El atributo weightingFactor acepta valores numéricos para indicar la importancia relativa de un elemento de interacción dentro de un esquema de evaluación.</t>
  </si>
  <si>
    <t>SG-39</t>
  </si>
  <si>
    <t>El atributo attempts (O), el número de intentos permitidos en una evaluación. Este atributo acepta valores numéricos.
S1-000275 no existe ya 
Shall not be used
S1-000276 no existe ya 
Shall not be used
S1-000277 no existe ya 
Shall not be used
S1-000278 no existe ya 
Shall not be used</t>
  </si>
  <si>
    <t>SG-40</t>
  </si>
  <si>
    <t>Checklist schema type shall not be used.</t>
  </si>
  <si>
    <t xml:space="preserve">Propondría cambiar por "Maintenance checklists and inspections shall not be used."
El elemento &lt;checkListProcedure&gt; contiene una breve descripción de cada comprobación que debe realizarse, así como cualquier información necesaria para llevar a cabo una comprobación o servicio.
El elemento &lt;checkListStep&gt; contiene las declaraciones </t>
  </si>
  <si>
    <t>Atexis Proposal:
Maintenance checklists and inspections shall not be used.</t>
  </si>
  <si>
    <t>SG-41</t>
  </si>
  <si>
    <t>Decision changed during meeting on 08/10/2024: Checklist schema type shall not be used.</t>
  </si>
  <si>
    <t>CMP rule:
The Service Bulletin schema shall not be used.</t>
  </si>
  <si>
    <t>El elemento &lt;sbRevisionInfo&gt; contiene la información relativa al
motivo de la emisión de la revisión actual del Boletín de servicio y su historial.
El elemento &lt;sbTopic&gt; contiene la información necesaria para describir temas principales de los boletines de servicio (información de revisión, resumen, información de planificación adicional).
sbTopicType (M), el tipo de tema. Identifica los diferentes tipos de topics incluidos en un Boletín de servicio. Debe rellenarse de acuerdo con el tema principal en el que se utilice el elemento &lt;sbTopic&gt; con uno de los siguientes valores: «sbtt01» a «sbtt99».</t>
  </si>
  <si>
    <t>El elemento &lt;sbSummary&gt; contiene el resumen del boletín de servicio para dar una visión general del propósito y contenido del boletín de Servicio.</t>
  </si>
  <si>
    <t xml:space="preserve">El elemento &lt;sbPlanningInfo&gt; contiene la información necesaria para
determinar si el boletín de Servicio debe aplicarse y para planificar su realización. </t>
  </si>
  <si>
    <t>El elemento &lt;sbAdditionalInfo&gt; contiene la información adicional para
apoyar los procedimientos o instrucciones que se encuentran en el boletín de Servicio.
S1-000284 no existe ya 
No business rule.
S1-000285 no existe ya 
No business rule.
S1-000286 no existe ya 
No business rule.</t>
  </si>
  <si>
    <t>Más información buscar los elementos (son demasiados). Hacer esto cuando se requiera usar el Service Bulletin DM</t>
  </si>
  <si>
    <t>Más información buscar los elementos (son demasiados). Hacer esto cuando se requiera usar el Service Bulletin DM
S1-000289 no existe ya 
No business rule.
S1-000290 no existe ya 
No business rule.
S1-000291 no existe ya 
No business rule.
S1-000292 no existe ya 
No business rule.
S1-000293 no existe ya 
No business rule.</t>
  </si>
  <si>
    <t>@Dani: no entiende estas BRDP porque se necesitará crear el FrontMatter (Title page - TITLE, TOC; LOEP, LOEDM y HIGH):
El FrontMatter si se permite usar, lo que no aplicar es el uso del elemento &lt;productIntroName&gt;. Debido a esta premisa la pongo en validated (GCA dice además que no es aplicable)
Front Matter:
El elemento &lt;productIntroName&gt; contiene el nombre del producto o proyecto documentado en la publicación o cualquier nombre comercial que se presente en la portada.</t>
  </si>
  <si>
    <t>SG-42</t>
  </si>
  <si>
    <t>Front Matter:
El elemento &lt;productAndModel&gt; contiene uno o varios nombres de productos y nombres de modelo asociados y sus identificadores que están documentados en la publicación.</t>
  </si>
  <si>
    <t>For your information:
According to this BRDP, the FrontMatter data module will not be used. 
Instead, the title page, TOC, etc., which are usually edited in the FrontMatter, will be created in other data modules that the publication module will control for later publication.
Refer to Spec 1000BR Section 3-2</t>
  </si>
  <si>
    <t xml:space="preserve">Decide whether and how to use the element &lt;dataRestrictions&gt; and its child elements.
</t>
  </si>
  <si>
    <t>Front Matter:
El elemento &lt;dataRestrictions&gt; contiene las instrucciones e
información, aplicables a la publicación completa, que se refieren al uso, almacenamiento y manipulación.
El elemento se utiliza con frecuencia para incluir sólo una declaración de derechos de autor utilizando el elemento &lt;copyright&gt;.
El elemento &lt;frontMatterTitlePage&gt; contiene la página de título
información.</t>
  </si>
  <si>
    <t>Front Matter:
El elemento &lt;enterpriseSpec&gt; contiene información sobre el
fabricante del producto, como el nombre de la empresa, la unidad de negocio y la dirección.</t>
  </si>
  <si>
    <t xml:space="preserve">Front Matter:
El elemento &lt;enterpriseLogo&gt; contiene logotipos del fabricante de
producto. La primera aparición del elemento &lt;symbol&gt; será por defecto la presentada en la portada página. </t>
  </si>
  <si>
    <t>Front Matter:
El elemento &lt;publisherLogo&gt; contiene logotipos del editor de la publicación. La primera aparición del elemento &lt;symbol&gt; será por defecto la presentada en la portada página. Véase el capítulo 6.2.3.1.
Nota: Dado que un módulo de publicación puede incluir varios símbolos (en el elemento &lt;logo&gt; de la sección de identificación), debe establecerse un método para determinar qué logotipo se utilizará como
logotipo de la editorial.</t>
  </si>
  <si>
    <t>Front Matter:
El elemento &lt;barCodeSymbol&gt; contiene la representación gráfica del código de barras.</t>
  </si>
  <si>
    <t>Front Matter:
El elemento &lt;frontMatterInfo&gt; contiene información diversa sobre la portada.
(p. ej., información del fabricante, notificación de errores, declaraciones de disponibilidad o generales, incluido un título introductorio). Pueden darse varios conjuntos de información de portada y tipos. Los títulos deben codificarse con el atributo emphasisType valor em01.</t>
  </si>
  <si>
    <t>Front Matter:
El elemento &lt;frontMatterInfo&gt; no es usado, por tanto el elemento &lt;title&gt; dentro de él tampoco. (ver BRDP-S1-00301).
El elemento &lt;title&gt; contiene el título de la Front matter information</t>
  </si>
  <si>
    <t xml:space="preserve">Front Matter:
El elemento &lt;frontMatterTableOfContent&gt; contiene el TOC. Existen dos tipos de índices posibles:
- Una estructura no jerárquica (plana). Véase la Fig. 15.
- Una estructura jerárquica. Véase la Fig. 16.
Ambos tipos enumeran los DMs y cualquier publicación o publicaciones externas en el orden dado.
El elemento &lt;reducedPara&gt; contiene el párrafo introductorio del
TOC. Para la presentación orientada a páginas estándar S1000D, se utiliza el siguiente párrafo introductorio siguiente:
"The listed documents are included in issue XXX, dated YYYY-MM-DD, of this publication."
"XXX" is the issue number given in the element &lt;issueInfo&gt; and "YYYY-MM-DD" is the issue date given in the element &lt;issueDate&gt;
</t>
  </si>
  <si>
    <t>S1-000304 no existe ya 
shall not be used
S1-000306 no existe ya 
shall not be used
S1-000308 no existe ya 
shall not be used
Front Matter:
El elemento &lt;frontMatterList&gt; contiene la información para la: LOEP, LOEDM y HIGH.
El elemento &lt;reducedPara&gt; contiene el párrafo introductorio del Front matter.
Ejemplo:
For the S1000D standard 
LOEP (value "fm01") se usa:
"This publication includes the following pages after insertion of issue XXX, dated YYYY-MM-DD.
C = Changed page
N = New page"</t>
  </si>
  <si>
    <t>Front Matter:
El elemento &lt;frontMatterPmEntry&gt; contiene la entry del PM.
&lt;footnoteRemarks&gt; el elemento puede utilizarse para almacenar el número total de páginas que se presentarán</t>
  </si>
  <si>
    <t>FrontMatter:
El elemento &lt;frontMatterExternalPubEntry&gt; contiene la entry de una no S1000D publicación externa.
&lt;footnoteRemarks&gt; igual que la anterior.
S1-000312 no existe ya 
shall not be used</t>
  </si>
  <si>
    <t>SCO content DM:
Un SCO externo es una agregación existente de contenido a con SCORM gestionado fuera de S1000D.</t>
  </si>
  <si>
    <t>SCO content DM no se usa.</t>
  </si>
  <si>
    <t xml:space="preserve">Decide how to use the element &lt;applic&gt; and to populate its child elements and attributes across the project or the organization.
</t>
  </si>
  <si>
    <t>Use &lt;applic&gt; element</t>
  </si>
  <si>
    <t>Applicability:
Cuando la applicability CIR DM no se usa, lo que se usa es el elemento &lt;applic&gt; (identification y status) y &lt;referencedApplicGroup&gt; (in  content section).
Applicability information basada en computable decisions usa los elementos &lt;assert&gt; y &lt;evaluate&gt; para filtrar la información a mostrar.
Usar &lt;applic&gt; element significa que no se usará CIR DM para aplicabilidades, por lo tanto se realizarán de forma interna DM a DM.
El elemento &lt;referencedApplicGroup&gt; es un container para las aplicabilidades del DM. Y tiene un elemento hijo &lt;applic&gt; para detallar cada aplicabilidad.
El elemento &lt;applicRef&gt; sr usa de forma externa para el CIR DM.
The element &lt;applic&gt; must contain one of the following options for content:
− &lt;displayText&gt;
− &lt;assert&gt; with optional &lt;displayText&gt; (un solo test: ej: tipo de producto)
− &lt;evaluate&gt; with optional &lt;displayText&gt; (tests adicionales)</t>
  </si>
  <si>
    <t>SG-94</t>
  </si>
  <si>
    <t xml:space="preserve">Decide whether the element &lt;displayText&gt; is populated by the technical author or generated from the computable branch or some other source when using the human-readable branch of applicability.
</t>
  </si>
  <si>
    <t>&lt;displayText&gt; shall be systematically generated</t>
  </si>
  <si>
    <t>El elemento &lt;displayText&gt; no se rellena por el autor, si no que es generado from the computable branch.
Esto tiene que realizarse con alguna herramienta informatica: CSDB que interpreta las assert y evaltuation y luego muestra en la salida, por ejemplo, en el PDF o el IETP.
El proyecto puede optar por generar sistemáticamente el elemento &lt;displayText&gt; o no, y corresponde a la IETP( generar la anotación de aplicabilidad legible por humanos a partir de la fórmula computable que se le proporcione. 
Si se usa la anotación de aplicabilidad legible por humanos &lt;displayText&gt;, su autoría será manual y debe ser:
- Para resumir una fórmula compleja, o
- Cuando no sea posible ninguna fórmula.
Si se utiliza &lt;displayText&gt;, deberá ser equivalente a la anotación de aplicabilidad computable.</t>
  </si>
  <si>
    <t xml:space="preserve">Decide whether to use the attribute applicDisplayClass when using the computable applicability annotation branch.
</t>
  </si>
  <si>
    <t>The attribute applicDisplayClass shall not be used.</t>
  </si>
  <si>
    <t xml:space="preserve">El elemento &lt;displayText&gt; es generado automáticament según la BRDP anterior.
El atributo applicDisplayClass no debe ser usado según ATA CMP.
El atributo applicDisplayClass proporciona información que puede utilizarse para dar formato a la anotación de aplicabilidad.
</t>
  </si>
  <si>
    <t>Textual applicability annotations in the element &lt;assert&gt; are not allowed.</t>
  </si>
  <si>
    <t>Por tanto, cada elemento &lt;assert&gt; debe hacer referencia a un a "product attribute" o "condition".</t>
  </si>
  <si>
    <t>SG-95</t>
  </si>
  <si>
    <t xml:space="preserve">Decide whether to specify the allowable values for a product attribute achieved by using both the attribute valuePattern and the element &lt;enumeration&gt; or to allow open text without using the attribute valuePattern and the element &lt;enumeration&gt;.
</t>
  </si>
  <si>
    <t xml:space="preserve">Values for a product attribute can be achieved by using both the attribute valuePattern and the element &lt;enumeration&gt; </t>
  </si>
  <si>
    <t>Applicability cross-reference table (ACT DM) es usado para declarar atributos de producto (ej: modelo, serie, ...).
El elemento &lt;productAttribute&gt; se utiliza para declarar un único atributo de producto, como «número de serie» o «modelo».
El elemento &lt;enumeration&gt; contiene los valores permitidos para el atributo product. Los valores permitidos pueden utilizarse para ayudar al autor técnico a crear anotaciones de aplicabilidad. Usa el atributo applicPropertyValues que representa los valores y rangos.
valuePattern (O), un patrón que especifica la estructura permitida para cada valor del atributo applicPropertyValues en el elemento &lt;enumeration&gt;.
Decida si desea especificar los valores permitidos para un atributo de producto alcanzado utilizando tanto el atributo valuePattern como el elemento &lt;enumeration&gt; o permitir texto abierto sin utilizar el atributo valuePattern ni el elemento &lt;enumeration&gt;.
Según GCA, o se usa el atributo valuePattern o se usa el elemento &lt;enumeration&gt;, pero ambos no. Aun así es una decisión de proyecto el descartarlo todo.</t>
  </si>
  <si>
    <t>According to BRDP-S1-00316, applicability is used. Then, the ACT must be populated. We recommend to use the valuePattern or enumeration.
If not, please explain how applicability is going to be used.</t>
  </si>
  <si>
    <t xml:space="preserve">Decision changed during the meeting 17/10/24: ACT with Applicability Annotations will be used. Also, values for a product attribute can be achieved by using both the attribute valuePattern and the element &lt;enumeration&gt;   </t>
  </si>
  <si>
    <t>&lt;displayName&gt; should correspond to the component version. The element in the ACT is &lt;enumeration&gt;</t>
  </si>
  <si>
    <t xml:space="preserve">El elemento &lt;displayName&gt; define un texto que puede utilizarse para ayudar a la generación automática del texto de una anotación de aplicabilidad.
Supongo que ALL se refiere a que es válido cualquier tipo de texto.
Ejemplo:
&lt;productAttribute id="serialNumber"&gt;
&lt;name&gt;Serial number&lt;/name&gt;
&lt;displayName&gt;SN&lt;/displayName&gt;
&lt;descr&gt;Serial number etched on the bicycle frame&lt;/descr&gt;
&lt;prompt&gt;
&lt;paraBasic&gt;Serial Number (locate under the bottom bracket where
the two pedal cranks meet)&lt;/paraBasic&gt;
&lt;/prompt&gt;
&lt;/productAttribute&gt; </t>
  </si>
  <si>
    <t>If applicability is used, the the displayName should not be "ALL". The display name should coincide with the applicability of the text, the table, the DM, etc where the apllicability is applied.</t>
  </si>
  <si>
    <t>Decision updated on 21/20/24: from "&lt;displayName&gt; is ALL" to "&lt;displayName&gt; should correspond to the component version. The element in the ACT is &lt;enumeration&gt;"</t>
  </si>
  <si>
    <t xml:space="preserve">Decide whether to use a single element &lt;enumeration&gt; containing the entire set or to use multiple elements &lt;enumeration&gt; which each contains only one value or range.
</t>
  </si>
  <si>
    <t>Multiple elements &lt;enumeration&gt; shall be user</t>
  </si>
  <si>
    <t>Por la BRDP S1-00320 no se permite el uso del elemento &lt;enumeration&gt;, por lo que redefiniría la LTH Decision a: "Refer to BRDP-S1-00320"</t>
  </si>
  <si>
    <t>Atexis Proposal:
Multiple elements &lt;enumeration&gt; shall be user</t>
  </si>
  <si>
    <t>Decision changed during the meeting 17/10/24: ACT with Applicability Annotations will be used. Also, multiple elements &lt;enumeration&gt; shall be user</t>
  </si>
  <si>
    <t>CCT shall not be used</t>
  </si>
  <si>
    <t>@Dani: es raro que para el ACT no se permite usar y aquí en el CCT sí (quizás por la naturaleza de las conditions)
El Conditions Cross-reference Table (CCT DM) se utiliza para declarar cualquier condición que puede afectar a la aplicabilidad de los datos. Las condiciones pueden ser técnicas, operativas, medioambientales o de cualquier otro tipo (ej: normas reglamentarias, temperatura, velocidad del viento) que puedan afectar a los datos técnicos. Las condiciones técnicas suelen estar vinculadas a la configuración del producto, como SBs o modificaciones.
Por ejemplo, para que SB «B» en un producto, el SB «A» debe ser implementado primero.
Otro ejemplo es, para realizar la Prueba A el avión debe estar conectado a
a tierra y para que el avión esté conectado a tierra, primero debe estar en tierra.
El elemento &lt;condType&gt; define una única clase de condición del Producto.
El elemento &lt;enumeration&gt; contiene los valores permitidos para los tipos de condición. Los valores permitidos pueden utilizarse para ayudar al autor técnico a crear anotaciones de aplicabilidad. Usa el atributo applicPropertyValues que representa los valores y rangos.
valuePattern (O), un patrón que especifica la estructura permitida para cada valor del atributo applicPropertyValues en el elemento &lt;enumeration&gt;.
Ejemplo:
&lt;condType id="SB"&gt;
&lt;name&gt;Service bulletin&lt;/name&gt;
&lt;descr&gt;Generic Service bulletin type&lt;/descr&gt;
&lt;enumeration applicPropertyValues="Pre|Post"/&gt;
&lt;/condType&gt;</t>
  </si>
  <si>
    <t>Atexis Proposal:
Refer to BR-S1-00320</t>
  </si>
  <si>
    <t>Decision changed during meeting on 09/10/2024 (Applicability meeting):
From "Only one of &lt;enumeration&gt; or valuePattern may be used for a given condType." to "CCT shall not be used"</t>
  </si>
  <si>
    <t xml:space="preserve">Decide whether to use a single element &lt;enumeration&gt; containing the entire set or to use multiple elements &lt;enumeration&gt; which each contain only one value or range.
</t>
  </si>
  <si>
    <t>Si no hay BR se puede hacer de dos formas distintas y no se recomienda. 
La recomendación es " use multiple elements &lt;enumeration&gt; which each contain only one value or range.", ya que es más polivalente.</t>
  </si>
  <si>
    <t xml:space="preserve">Atexis Proposal:
Refer to BR-S1-00320 and BR-S1-00323
</t>
  </si>
  <si>
    <t>Decision changed during meeting on 09/10/2024 (Applicability meeting):
From "No business rule." to "CCT shall not be used"</t>
  </si>
  <si>
    <t>El elemento &lt;displayName&gt; define un texto que puede utilizarse para ayudar a la generación automática del texto de una anotación de aplicabilidad.
Supongo que no tener BR es como tener "ALL" (BR-S1-00321) que se refiere a que es válido cualquier tipo de texto.</t>
  </si>
  <si>
    <t>If CCT is used, then the use of DisplayName must coincide with the applicability of the text, the table, the DM, etc where the apllicability is applied.</t>
  </si>
  <si>
    <t>Decision changed during meeting on 09/10/2024 (Applicability meeting):
From "No Civil Aviation business rule." to "CCT shall not be used"</t>
  </si>
  <si>
    <t xml:space="preserve">Decide whether to constrain allowable conditions based on other condition values by use of the element &lt;dependency&gt;.
</t>
  </si>
  <si>
    <t xml:space="preserve">El elemento &lt;dependency&gt; identifica una condición que depende de la existencia de otra condición y sirve para poner restricciones a la hora de asignar aplicabilidades.
Hay un ejemplo de uso claro en la pag1764 de S1000D.
Si no hay Business Rule, se supone que el uso está permitido, por lo que mejor indicar: "use of the element &lt;dependency&gt; in the element &lt;cond&gt; is allowed" </t>
  </si>
  <si>
    <t xml:space="preserve">If CCT is used, then dependancy could be used. Define the use or not of &lt;dependency&gt;.
Atexis Proposal:
Use of the element &lt;dependency&gt; in the element &lt;cond&gt; is allowed"  </t>
  </si>
  <si>
    <t>PCT shall not be used</t>
  </si>
  <si>
    <t xml:space="preserve">El Products Cross-reference Table (PCT DM) es un repositorio para definir instancias de productos y asociar valores a los atributos y condiciones de cada instancia de producto.
Una instancia de producto es un Producto físico real, por ejemplo una bicicleta Brook trekker Mk9 con número de serie 1B070643.
</t>
  </si>
  <si>
    <t>Decision changed during meeting on 09/10/2024 (Applicability meeting):
From "Filtering per variant needed within certain model identifiers, so ACT per model identifier is needed
Filtering per pre-/post-SB is planned for the future" to "ACT with Applicability Annotations in the DMs"</t>
  </si>
  <si>
    <t>No translation required, since language chosen is U.S. or Simplified Technical English.</t>
  </si>
  <si>
    <t>Authoring - Attributes chapter</t>
  </si>
  <si>
    <t>No specific attribute values shall be used.</t>
  </si>
  <si>
    <t>Attributes - Project configurable values chapter
ATA_Spec1000BR_Section2-2 es un PDF con todos los posibles valores de los atributos.
Reescribir tal como restringe la GCA: 
!Project-configurable attribute values and their meanings shall be registered and published in Section 2-2 of ATA Spec 1000BR.!</t>
  </si>
  <si>
    <t>No project specific attribute values shall be used.</t>
  </si>
  <si>
    <t>Decidir si se necesitan valores extras para el atributos. Si es necesario, decida qué valores específicos y
asignar interpretaciones de proyecto adecuadas.
Sin embargo se decide no atribuir valores especificos al atributo quantityUnitOfMeasure.
Ver Table 2 (WSG) quantityUnitOfMeasure - Quantity data unit of measure, donde:
"um51" - "um99" Available for projects, de los cuales los 3 primeros están reservados y no se pueden usar (ver tabla de la BRDP-S1-00329</t>
  </si>
  <si>
    <t>SG-43</t>
  </si>
  <si>
    <t>Refer to BRDP-S1-00332 through BRDP-S1-00349.</t>
  </si>
  <si>
    <t>Escribir:
"Refer to BRDP-S1-00332 through BRDP-S1-00349."</t>
  </si>
  <si>
    <t>We recommend rewrite the decission.
Atexis Proposal:
Refer to BRDP-S1-00332 through BRDP-S1-00349.</t>
  </si>
  <si>
    <t>Decision changed during the meeting on 17/10/2024: from "NO INFO" to "Refer to BRDP-S1-00332 through BRDP-S1-00349."</t>
  </si>
  <si>
    <t>DMC</t>
  </si>
  <si>
    <t xml:space="preserve">Decide which model identification codes to use for the Product and/or project.
</t>
  </si>
  <si>
    <t>LHTCPM, LHTSTD</t>
  </si>
  <si>
    <t xml:space="preserve">Aunque correcto, se debería indicar para qué es cada código. Si son solo dos, se supone que la estrategia es documentar 2 productos? o dos lineas de empresa /plataformar? La recomendación es darlo de alta mediante solictud en Email: spec2000m@nspa.nato.int.
El atributo modelIdentCode del elemento &lt;dmCode&gt; se utiliza para almacenar el código de identificación del modelo.
El código de identificación del modelo identifica el Producto al que se aplican los datos y es el punto de referencia para toda la información sobre aplicabilidad. </t>
  </si>
  <si>
    <t>SG-44</t>
  </si>
  <si>
    <t>Use S1000D, ATABREX, LHTSTD, LHTCPM</t>
  </si>
  <si>
    <t xml:space="preserve">Aunque correcto, se refiere a si va a ver ramificaciones de los códigos de la BRDP-S1-00332, no obstante, está correcto el no tener ramificaciones. </t>
  </si>
  <si>
    <t>No need for SDC seen, use default
SDC to be used if different LRUs are in identical SNS</t>
  </si>
  <si>
    <t>El código de diferencias del sistema identifica versiones alternativas del sistema identificadas por el SNS sin afectar a la identidad del tipo, modelo o variante.
Son las variantes, si no hay variantes, no se necesitan.</t>
  </si>
  <si>
    <t>SG-46</t>
  </si>
  <si>
    <t>Si no hay variantes, no se tiene por qué usar calsificación UOC (es una tabla con códigos para marcar las variantes)</t>
  </si>
  <si>
    <t>CMPs shall use the structure YY-YY-YY and in accordance
with ATA iSpec 2200 Chapter 3-1-3, Paragraph 1.8, ATA
Standard Number Breakdown.
Leave the assies open, they are to be defined in a project - specific BREX that will be created once we create data. 
In a layered BREX (that we intend to have) the SNS can be pulled from a project-BREX and the standards from the LHTCMP BREX</t>
  </si>
  <si>
    <t>Standard numbering system (SNS)
Este sistema está diseñado para proporcionar normalización en la disposición datos. 
System YY - Subsystem Y Sub-Subsystem Y - Unit or Assembly YY
Nota: ATA iSpec 2200 Chapter 3-1-3, Paragraph 1.8 no la tenemos, pero nos fiamos de que sea YY-YY-YY</t>
  </si>
  <si>
    <t>ATA iSpec 2200 Chapter 3-1-3, Paragraph 1.8 OR the Issue_4.2_Project_Decision_Points_OES-001-01.xlsm (BREX-SNS tab)?
Note: ATA CMP Brex containts the snsRules and it should be overrides by the new selection in the LHT Brex.</t>
  </si>
  <si>
    <t>SG-47</t>
  </si>
  <si>
    <t>Document sent on 14/10/24. 
Decision updated on 21/20/24:
ATX needs some valid data examples to see what needs to be put into SNS
LHT to enhance existing exampledown to the assy level: e.g. 44-11-34 XXXXX
Decision updated on 18/11/24: from "CMP rule:
CMPs shall use the structure YY-YY-YY and in accordance
with ATA iSpec 2200 Chapter 3-1-3, Paragraph 1.8, ATA
Standard Number Breakdown." to "CMPs shall use the structure YY-YY-YY and in accordance
with ATA iSpec 2200 Chapter 3-1-3, Paragraph 1.8, ATA
Standard Number Breakdown. Leave the assies open, they are to be defined in a project - specific BREX that will be created once we create data. 
In a layered BREX (that we intend to have) the SNS can be pulled from a project-BREX and the standards from the LHTCMP BREX"</t>
  </si>
  <si>
    <t xml:space="preserve">ATA iSpec 2200 Chapter 3-1-3, Paragraph 1.8. </t>
  </si>
  <si>
    <t>Sería una tercera letra en el Sistema YY -&gt; YYY, y según la BRDP-S1-00336 no está permitido.</t>
  </si>
  <si>
    <t>Two characters to be used</t>
  </si>
  <si>
    <t>Sería una tercera y cuarta letra en el Assembly YY -&gt; YYYY, y según la BRDP-S1-00336 no está permitido.</t>
  </si>
  <si>
    <t>SG-48</t>
  </si>
  <si>
    <t>GCA dice NO Aplicable.
Es un codigo especial para IPD sin capitulos.
'@Dani: este no lo entendí muy bien porque no se lo que es un non-chapterized IPD DM, solo para que verifiques.</t>
  </si>
  <si>
    <t>The RPC code values are defined in the NCIA S1000D Agency Instruction 16.31.07; deviations shall be listed in the project specific IPSP or TPDP.
RPC= N</t>
  </si>
  <si>
    <t>Proyecto dice NO usar.
Es un codigo especial para IPD sin capitulos.
'@Dani: este no lo entendí muy bien porque no se lo que es un non-chapterized IPD DM, solo para que verifiques.</t>
  </si>
  <si>
    <t>The dassembly code variant values are defined in the S1000D NCI Agency Instructions.
DCV= 1 CHARACTER</t>
  </si>
  <si>
    <r>
      <t xml:space="preserve">La variante del código de desmontaje se rellena con uno, dos o tres caracteres alfanuméricos.
La variante de código de desmontaje designa elementos alternativos de equipos que difieren ligeramente en su diseño, pero no lo suficiente como para justificar un cambio del código.
La longitud variable de la variante de código de desmontaje permite el uso del «Número de control logístico alternativo (ALC)» o del “Alternate Indentured Product Code (AIPC)” de los registros LSA.
Nota: CMP BR está mal en el documento, por lo que nos regimos por la GCA. 
Nota: Los caracteres suelen ser numéricos. No obstante, pueden ampliarse cuando se necesiten más de 99 identificadores. La extensión debe comenzar con «A1» a «A9», «B1» a «B9» y así sucesivamente hasta «Z9», continuando con «AA» a «AZ», «BA» a «BZ» y así sucesivamente hasta «ZZ».
El disassembly code también se utiliza para la numeración secuencial de los módulos de datos cuando se utiliza más de un módulo de datos para el mismo SNS.
</t>
    </r>
    <r>
      <rPr>
        <b/>
        <sz val="10"/>
        <rFont val="Arial"/>
        <family val="2"/>
      </rPr>
      <t>Corresponde a los distintos tipos de desmontajes posibles.</t>
    </r>
    <r>
      <rPr>
        <sz val="10"/>
        <rFont val="Arial"/>
        <family val="2"/>
      </rPr>
      <t xml:space="preserve">
S1-000343 no existe ya 
Numeric values are not allowed.</t>
    </r>
  </si>
  <si>
    <t>SG-49</t>
  </si>
  <si>
    <t>Base ICN on model identifier</t>
  </si>
  <si>
    <t>Information Control Number (ICN). Cada hoja de ilustración, objeto multimedia u otro dato adjunto a un módulo de datos debe estar identificado por un ICN.
Usarán el "model identification code" descrito en BRDP-S1-00332.
S1-000345 no existe ya 
ICN to be presented outsicde the illustration reproduction area
S1-000346 no existe ya 
No business rule.
S1-000347 no existe ya 
The unique identifier consists of five alphanumeric characters chosen at discretion of AEC.
Issue Number = 001 (increments of 1)
Security Classification = 01</t>
  </si>
  <si>
    <t>SG-50</t>
  </si>
  <si>
    <t xml:space="preserve">Decide which values on responsible partner company codes to be used.
</t>
  </si>
  <si>
    <t>"L" shall be used</t>
  </si>
  <si>
    <t>La empresa asociada responsable es la empresa u organización responsable de la ilustración, objeto multimedia u otros datos independientemente de su uso en módulos de datos.
Supongo que es L de Lufthansa. 
S1-000349 no existe ya 
securityClassification to be used is 01</t>
  </si>
  <si>
    <t>SG-51</t>
  </si>
  <si>
    <t>The DMRL shall be used.</t>
  </si>
  <si>
    <t>Con Xignal, la DMRL se genera.
Recordemos que contiene todos los módulos de datos y módulos de publicación que se espera crear, por lo que en un momento dado contendrá módulos de datos y módulos de publicación que existen y que aún no existen en la CSDB. En esto se diferencia de la lista de estado de la CSDB.</t>
  </si>
  <si>
    <t>PM and IPD ICN shall be listed in the DMRL.</t>
  </si>
  <si>
    <t xml:space="preserve">En circunstancias normales, un DMRL no debe contener ilustraciones ni objetos multimedia. Las excepciones son las ilustraciones de IPD para un proyecto en el que los IPD DMs son creados utilizando las ilustraciones generadas por terceros.
El DMRL debe contener los títulos y datos de la empresa asociada responsable de cada uno de los DM y PM. 
La DMRL no cambia a medida que se crean o actualizan DMs o PMs, a menos que se produzca un cambio en los títulos u otros detalles, o que sea necesario crear nuevos DMs. </t>
  </si>
  <si>
    <t>CSL shall be delivered with each delivery.</t>
  </si>
  <si>
    <t>El propósito de una Lista de Estado de la CSDB (CSL) es intercambiar información sobre el estado de la CSDB. Por ejemplo, en un proyecto con varios socios</t>
  </si>
  <si>
    <t xml:space="preserve">Decide what CSDB objects types must be tracked in the CSDB status list, and at a minimum these must be data modules, illustrations/multimedia objects and publication modules.
</t>
  </si>
  <si>
    <t>The CSL of any shall include all objects that are valid at the time of delivery.</t>
  </si>
  <si>
    <t>Como minimum: data modules, ilustrations/ multimedia objects and publication modules</t>
  </si>
  <si>
    <t>Only the latest issue of the object delivered as part of the package will be included in the CSL.</t>
  </si>
  <si>
    <t>Issue: version</t>
  </si>
  <si>
    <t xml:space="preserve">Decide whether the issue date of a data management requirement list must be the input date (the release to CSDB date), the cut-off date for the information, the planning date or some other more appropriate date.
</t>
  </si>
  <si>
    <t>The date of (planned) release to the customers is to be used.</t>
  </si>
  <si>
    <t>Podría haber sido la fecha de entrada (la fecha de entrega a la CSDB), la fecha de corte de la información, la fecha de planificación u otra fecha más apropiada.</t>
  </si>
  <si>
    <t>The comment form shall not be used.</t>
  </si>
  <si>
    <t xml:space="preserve">Not applicable GCA.
Los comentarios y los informes sobre cuestiones planteadas en los DMs o PMs durante el proceso de verificación y la fase en servicio del Producto. (es como un DM aparte)
S1-000357 no existe ya 
The element &lt;commentPriority&gt; shall not be used.  See BRDP S1-00356.
S1-000358 no existe ya 
The element &lt;commentPriority&gt; shall not be used.  See BRDP S1-00356.
</t>
  </si>
  <si>
    <t>The element &lt;commentPriority&gt; shall not be used.  See BRDP S1-00356.</t>
  </si>
  <si>
    <t>Aunque cambiaría la descripción a: "The comment form shall not be used. See BRDP S1-00356."</t>
  </si>
  <si>
    <t>Vector files are the preferred type of file. Vector files shall be in SVG format. Exceptionally, also raster files are permitted provided they are of high quality and readable when enlarged. Raster files permitted are: TIFF, PNG and JPEG.
SVG</t>
  </si>
  <si>
    <t>Only S1000D standard, SVG, and ATA CGM Profile file formats are permitted and photographs are allowed.
Data formats allowed: JPEG, GIF, PNG (Refer to BRDP-S1-00361)</t>
  </si>
  <si>
    <t>Según ATA CMP.</t>
  </si>
  <si>
    <t>Make a decission about the valid formats. It is important because the use (or not) of photography and images in their original format underlies this decision.
Refer to BRDP-S1-00361</t>
  </si>
  <si>
    <t>SG-52</t>
  </si>
  <si>
    <t>361: Photographs are allowed
data formats allowed: JPEG, GIF, PNG</t>
  </si>
  <si>
    <t>Vector graphics recommended. If raster is needed, 300dpi shall be used</t>
  </si>
  <si>
    <t>La norma de datos para gráficos ráster binarios (es decir, monocromos) es:
- Continuous Acquisition and Life-cycle Support (CALS) raster CCITT Gr 4 según se define en MILPRF-28002, pero limitado aquí al subtipo de datos «Type 1 - untiled». La resolución preferida es de 300 dpi. 
- Tagged Image File Format (TIFF) basado en la definición dada en el Cap 7.3.2 de esta especificación.</t>
  </si>
  <si>
    <t>SG-53</t>
  </si>
  <si>
    <t>Photographs are allowed.
Data formats allowed: JPEG, GIF, PNG</t>
  </si>
  <si>
    <t>La GCA da una excepción de uso, pero la LTH es más restrictiva, así que se queda tal que LTH Decision.
'@Dani: no te parece curioso que no se permita? Los tipos que permite S1000D son: JPEG,  GIF y  PNG.
S1-000362 no existe ya 
Shall not be used.
S1-000363 no existe ya 
&lt;systemBreakdownCode&gt; shall not be used.
S1-000364 no existe ya 
&lt;remarks&gt; shall not be used.</t>
  </si>
  <si>
    <t>Currently, your illustrations are screenshots or photographs. Forbid the use of photographs means illustrate all the illustrations in isometric perspective, using a dedicated software. We recommend to permit the use of photographs and delimitate the cases in which photographs can be used.
Notice that S1000D allows JPEG,  GIF y  PNG formats.
Refer to BRDP-S1-00545</t>
  </si>
  <si>
    <t>SG-54</t>
  </si>
  <si>
    <t>Photographs are allowed
data formats allowed: JPEG, GIF, PNG</t>
  </si>
  <si>
    <t>C1008 shall be used</t>
  </si>
  <si>
    <t>Para el PM, CAGE Code debe ser usado según GCA en el atributo pmIssuer. 
S1-000366 no existe ya 
LHT BREX to be used</t>
  </si>
  <si>
    <t>SG-89</t>
  </si>
  <si>
    <t>Not applicable for Civil Aviation applications.</t>
  </si>
  <si>
    <t xml:space="preserve">Not Applicable GCA.
Se puede crear un único DM de BRs que cubra todas las decisiones. Una alternativa es crear una colección de DMs de BRs, que pertenezcan a la misma capa de las reglas de negocio bajo la responsabilidad del proyecto.
</t>
  </si>
  <si>
    <t>Decision changed during the meeting on 17/10/2024: from "NO INFO" to "Not applicable for Civil Aviation applications."</t>
  </si>
  <si>
    <t xml:space="preserve">Not Applicable GCA.
El elemento &lt;brLevelledPara&gt; es el equivalente a un párrafo encabezado y también puede contener subpárrafos. De forma similar al elemento &lt;levelledPara&gt; en un DM descriptivo, el elemento &lt;brLevelledPara&gt; puede tener una o más ocurrencias del elemento &lt;brLevelledPara&gt; anidadas dentro de él. La profundidad de esta estructura es ilimitada, sin embargo, se recomienda no superar los cinco niveles de profundidad. 
</t>
  </si>
  <si>
    <t xml:space="preserve">Decide on the numbering scheme for the attribute brDecisionIdentNumber and the attribute id as applicable.
</t>
  </si>
  <si>
    <t xml:space="preserve">Not Applicable GCA.
El elemento &lt;brDecision&gt; contiene una única decisión.
brDecisionIdentNumber (M), es el identificador de &lt;brDecision&gt;. El esquema de codificación del atributo brDecisionIdentNumber es una decisión de proyecto. 
Su funcionalidad es para poder compartir con otros proyectos.
Decidir el esquema de numeración para el atributo brDecisionIdentNumber.
</t>
  </si>
  <si>
    <t xml:space="preserve">Decide whether to use standardized sentences to describe business rules decision values or not. If the decision is to use standardized responses, decide which responses must be taken from text describing BRDP values defined in the specification or by the project/organization. It is also necessary to identify which responses must be defined beyond what is already defined within the specification. If standardized responses for business rules decision values are defined, decide whether all possible business rules decision values are covered or whether there will be cases when a business rules author will need to define text for business rules decision values during business rules production.
</t>
  </si>
  <si>
    <t xml:space="preserve">Not Applicable GCA.
Decidir si va a utilizar frases normalizadas para describir los valores de las BRs o no.  </t>
  </si>
  <si>
    <t>A layered BREX data structure shall be used.</t>
  </si>
  <si>
    <t>Ejemplo de "layered":
Un DM BREX del proyecto puede basarse en un DM BREX de la empresa y hacer referencia a él.
En el nivel superior se encuentran el módulo de datos BREX predeterminado de S1000D y los esquemas XML, que reflejan las normas impuestas por la propia especificación.
Cualquier módulo de datos BREX estratificado sólo debe contener restricciones a las reglas definidas.</t>
  </si>
  <si>
    <t>The SNS shall be coded in the BREX data module.</t>
  </si>
  <si>
    <t>El DM BREX puede contener:
- SNS
- especificaciones de elementos y atributos que deben o no aplicarse a los objetos de la CSDB. 
- definiciones de los values permitidos/utilizados para determinados elementos y/o atributos
- descripciones de la finalidad de los elementos y atributos (markups).
Posee 3 elementos claves:
 - &lt;snsRules&gt;. Refer to Chap 4.10.2.1.
− &lt;contextRules&gt;. Refer to Chap 4.10.2.2.
− &lt;nonContextRules&gt;. Refer to Chap 4.10.2.3</t>
  </si>
  <si>
    <t>The BREX shall not be used to impose restrictions on the formats for graphic/multimedia objects.</t>
  </si>
  <si>
    <t>BREX DM - Context  rules
Tiene 2 elementos:
1. El elemento &lt;notationRuleList&gt; contiene reglas relativas a qué tipos
de objetos de la CSDB pueden contener ilustraciones u objetos multimedia.
2. El elemento &lt;structureObjectRuleGroup&gt; especifica todas las reglas sobre el uso específico del proyecto de elementos y atributos para todos los diversos tipos de documentos (Schema) utilizados en el proyecto.
Subelementos:
− &lt;brDecisionRef&gt;.
− &lt;objectPath&gt;. 
− &lt;objectUse&gt;. 
− &lt;objectValue&gt;. 
 El elemento &lt;objectPath&gt; contiene una dirección XPath que define donde ocurre el elemento o atributo en la estructura del esquema. 
Ejemplo:
&lt;structureObjectRule&gt;
&lt;objectPath
allowedObjectFlag="2"&gt;//graphic/@boardno&lt;/objectPath&gt;
&lt;objectUse&gt;Responsible partner company code in ICN must be an
uppercase A&lt;/objectUse&gt;
&lt;/structureObjectRule&gt;</t>
  </si>
  <si>
    <t>A project BREX DM will be created based on the decisions in this document.</t>
  </si>
  <si>
    <t>Por tanto, solo 1 DM BREX.
S1-000371 no existe ya 
shall not be used
S1-000372 no existe ya 
shall not be used</t>
  </si>
  <si>
    <t xml:space="preserve">Decide whether to generate multiple instances of CSDB objects to generate several customized instances of any one object issue. If so, decide how the attributes extensionProducer and extensionCode must be used.
</t>
  </si>
  <si>
    <t>DME shall not be used</t>
  </si>
  <si>
    <t>Este capítulo describe la gestión de múltiples instancias del «mismo» objeto CSDB.
La necesidad más destacada de múltiples instancias de un objeto de la CSDB se da en la relación entre un fabricante y sus clientes. Normalmente, los fabricantes tienen que mantener info, es decir, DMs para todas las configuraciones de un producto, mientras que un cliente, que posee un número limitado de configuraciones, sólo le interesa la información que aplica a sus configuraciones específicas.
Cuando se permiten múltiples instancias, el identificador de objeto se amplía con dos atributos (extensionProducer &amp; extensionCode ) precedentes y el código del objeto se renombra como sigue:
DM code (DMC) será Extended data module code (DM code - Extended (DME))</t>
  </si>
  <si>
    <t>The CIR concept shall be used. See BRDP-S1-00377</t>
  </si>
  <si>
    <t>Debería ser "The CIR concept shall be used. See BRDP-S1-00377". Puede ser más restrictiva la LTH Decision, y así ha sido, ya que Applicability no la han puesto y eso que aparece en la CMP como opcional.
El concepto CIR respalda los principios de optimización, no redundancia y reutilización de la información.
S1-000375 no existe ya 
No business rule.</t>
  </si>
  <si>
    <t>We suggest rewording.
Atexis Proposal
The CIR concept shall be used. See BRDP-S1-00377</t>
  </si>
  <si>
    <t>SG-126</t>
  </si>
  <si>
    <t>The decision changed during the meeting 09/10/24: LHT approved the list of CIR DMs.</t>
  </si>
  <si>
    <t>CIR data modules are a deliverable to the customer. The Enterprises CIR data module must be provided as a deliverable to the customer. Other CIRs must also be provided if referenced in the delivered data module.</t>
  </si>
  <si>
    <t>CIR concept shall be used for warnings, cautions, tools, enterprise codes, parts (for IPL), supplies</t>
  </si>
  <si>
    <t>@Dani: si no usa CIR para la aplicabilidades, las aplicabilidades se harán de forma directa en cada DM, cierto?</t>
  </si>
  <si>
    <t xml:space="preserve">There is a misalignment about Tools CIR because BR-S1-00260,BR-S1-00261 and BR-S1-00262 does not allow Tools CIR DM.
We suggest to clarify and reword them.
Atexis Proposal:
CIR concept shall be used for:
- Warnings and Cautions (Refer to BR-S1-00031)
- Enterprise Information (Refer to BR-S1-00008)
- Parts (Refer to BR-S1-00219)
- Supplies 
- Tools (Refer to BR-S1-00260,BR-S1-00261 and BR-S1-00262)
</t>
  </si>
  <si>
    <t>260, 261, 262 set to "no rule" as the attributes are not defined yet. A tools CIR will come in handy.</t>
  </si>
  <si>
    <t>The CIR-dependent DM shall be delivered.</t>
  </si>
  <si>
    <t>Existen dos métodos básicos de producción (creación) y entrega (publicación) de DMs:
− Utilizando únicamente DMs independientes. Es el método básico.
− Utilizando DMs CIR (caution, applicability annotations, ...) como parte necesaria de la entrega. Este método implica que los DMs "ordinarios" se entregan dependientes del CIR.</t>
  </si>
  <si>
    <t>All CIRs shall be delivered to the end users. No CIR shall be delivered in PDF list format.
Refer to BRDP-S1-000377 for the CIR DMs list.</t>
  </si>
  <si>
    <t>CIR no es uno específico, debe quitarse de la LTH Decision. Nuestro consejo para homogeneizar es que se seleccionen los mismos de la BRDP-S1-000377.</t>
  </si>
  <si>
    <t>The decision is not clear. Shall only the 'warning/caution CIR' be published? 
Refer to BRDP-S1-000377</t>
  </si>
  <si>
    <t>All CIRs shall be delivered to the end users. No CIR shall be delivered in PDF list format.
The decision changed during the meeting 09/10/24: LHT approved the list of CIR DMs.</t>
  </si>
  <si>
    <t>There shall be only one instance of each CIR type allowed/delivered.</t>
  </si>
  <si>
    <t>Explicit references shall be used.</t>
  </si>
  <si>
    <t>Las referencias de los DMs de mantenimiento a objetos de información comunes y sus propiedades en un DM CIR se realizan utilizando elementos de datos específicos del contenido (por ejemplo, &lt;zoneRef&gt;, &lt;partRef&gt;, ...). Se pueden usar dos métodos:
− Implícito, que utiliza solo el identificador del objeto
− Explícito, que utiliza el identificador del objeto y una referencia al módulo de datos CIR</t>
  </si>
  <si>
    <t>ATA CMP dice que hagamos referencia a BRDP-S1-00185, en la cual se dice que: "Alternates shall not be used", siendo esta la LTH Decision que debería tener. Por tanto, debe ser: 
Refer to BRDP-S1-00185</t>
  </si>
  <si>
    <t>We recommend rewording.
Atexis Proposal:
"Alternates shall not be used"
or
"Refer to BRDP-S1-00185"</t>
  </si>
  <si>
    <t>Decision changed during the meeting on 17/10/2024: from "No business rule." to "Alternates shall not be used."</t>
  </si>
  <si>
    <t>Refer to BRDP-S1-00185
S1-000384 no existe ya 
No Civil Aviation business rule.</t>
  </si>
  <si>
    <t>The container schema shall not be used.</t>
  </si>
  <si>
    <t>El DM Container es un mecanismo de gestión de producción para asociar varios DMs que representan la misma información.
Ej: DM Container Remove Pump ABC, contiene 2 DMs:
1-Remove Pump ABC-100
2-Remove Pump ABC-200
El agrupamiento de módulos de datos puede utilizarse cuando varios DMs logran el mismo objetivo de mto, pero los procedimientos difieren debido a la configuración del producto, el entorno de mantenimiento u otras condiciones. 
Dado que el módulo de datos contenedor es una herramienta de gestión de datos, no hay una necesidad específica de mostrarlo al usuario final.  IETP mostrar solo el DM alternativo 1 o el 2.</t>
  </si>
  <si>
    <t>ATA CMP Decision</t>
  </si>
  <si>
    <t>Civil Aviation must use applicability.</t>
  </si>
  <si>
    <t>ACT, CCT y PCT</t>
  </si>
  <si>
    <t>SG-91</t>
  </si>
  <si>
    <t>ACT with Applicability Annotations in the DMs, filtering by PartNumbers-Version as unique variable declared in the ACT</t>
  </si>
  <si>
    <t xml:space="preserve">Filter por variant y por SBs aplicados (Pre/POST) será la funcionalidad mayormente usada. </t>
  </si>
  <si>
    <t>Decision changed during meeting on 09/10/2024 (Applicability meeting):
From "Filtering per variant needed within certain model identifiers, so ACT per model identifier is needed
Filtering per pre-/post-SB is planned for the future" to "ACT with Applicability Annotations in the DMs, filtering by PartNumbers-Version as unique variable declared in the ACT."</t>
  </si>
  <si>
    <t>Only ACT shall be used</t>
  </si>
  <si>
    <t>@Dani: creo que aquí puedes aportar tu experiencia y dar tu opinión sobre la LTH Decision (a mi me parece coherente).</t>
  </si>
  <si>
    <t>What does "partnumber values" means? PCT is to declare all the possible combinations of the ACT variables.</t>
  </si>
  <si>
    <t>Decision changed during meeting on 09/10/2024 (Applicability meeting):
From "Use ACT for defining the part number and SB as filtering criteria, and PCT for the partnumber values, CCT for SB values" to "Only ACT shall be used."</t>
  </si>
  <si>
    <t>Only ACT product attributes will be added including PartNumbers-Versions as LHT will declare per each component</t>
  </si>
  <si>
    <t xml:space="preserve">Ponerlo como "Refer to BRDP-S1-00327". It refers to Product attributes and conditions to include in the PCT </t>
  </si>
  <si>
    <t>We recommend rewording.
Atexis Proposal:
Refer to BRDP-S1-00327</t>
  </si>
  <si>
    <t>Decision changed during meeting on 09/10/2024 (Applicability meeting):
From "Open" to "Only ACT product attributes will be added including PartNumbers-Versions as LHT will declare per each component"</t>
  </si>
  <si>
    <t xml:space="preserve">Specify the method that content is presented which is not valid for the current maintenance context. The content can be removed, hidden or de-emphasized in some manner.
</t>
  </si>
  <si>
    <t>Current maintenance context is defined by  applicability and additional filtering methods. No content shall be removed that could be valid for any realistic maintenenace context.</t>
  </si>
  <si>
    <t>@Dani: LTH dice que debe ir en el "Stylesheet topic", lo controlas?. Lo suyo es indicar que vaya ocultado y ya está.
Especifique el método en el que se presenta el contenido que no es válido para el contexto de mantenimiento actual. El contenido puede ser eliminado, ocultado o resaltado de manera atenuada de alguna forma.</t>
  </si>
  <si>
    <t>This decision needs further discussion. If a content is not valid for the current maintenance context, it should be removed for simplicity.</t>
  </si>
  <si>
    <t>SG-84</t>
  </si>
  <si>
    <t xml:space="preserve">Decide whether to also provide the human-readable part of applicability or rely on the viewer to build the human-readable part, when providing the computer processing part of applicability.
</t>
  </si>
  <si>
    <t xml:space="preserve">Provide human readable values for applicability.
</t>
  </si>
  <si>
    <t xml:space="preserve">BRDP-S1-00317 se refiere a la manera de meter los datos donde se comenta que el elemento &lt;displayText&gt; no se rellena por el autor, si no que es generado from the computable branch.
Esto tiene que realizarse con alguna herramienta informatica (CSDB) que interpreta las assert y evaltuation y luego muestra en la salida, por ejemplo, en el PDF o el IETP.
Ahora, hay que decidir si proporcionar la parte legible para humanos de la aplicabilidad o confiar en que el visor construya la parte legible para humanos, la salida visual.
La anotación de aplicabilidad se divide en dos partes:
− una parte diseñada para ser legible por humanos
− una parte diseñada para el procesamiento por computadora
El proyecto o la organización deben determinar qué partes de la aplicabilidad implementar, dependiendo de los requisitos.
Un proyecto que necesite soportar una visualización impresa o electrónica estática y no requiera filtros solo necesitará utilizar la parte legible por humanos de la anotación de aplicabilidad. La parte de procesamiento por computadora de la anotación de aplicabilidad, así como los módulos de datos ACT, CCT y PCT, no son necesarios. Un proyecto  que necesite soportar el filtrado de la vista final o entregas personalizadas deberá utilizar la parte de procesamiento por computadora. 
En este caso siguiendo la GCA, debe ser diseñada legible por humanos (el modelo de input de datos ya fue definido en otras BRDPs).
Ejemplo: displayName en la S1-00325
</t>
  </si>
  <si>
    <t>SG-92</t>
  </si>
  <si>
    <t xml:space="preserve">Decide whether to provide one instance of each data module types (ACT, CCT and PCT) or to segregate the project or the organization into multiple instances of each data module type, and the method for segregation.
</t>
  </si>
  <si>
    <t>Only one instance is allowed for ACT. Refer to BRDP-S1-00389.</t>
  </si>
  <si>
    <t>SG-93</t>
  </si>
  <si>
    <t>Decision changed during meeting on 09/10/2024 (Applicability meeting):
From "Only one instance is allowed for ACT, PCT, and CCT per CMP. Refer to BRDP-S1-00389." to "Only one instance is allowed for ACT. Refer to BRDP-S1-00389."</t>
  </si>
  <si>
    <t>Refer to BRDP-S1-00390.</t>
  </si>
  <si>
    <t>BRDP-S1-00327:Product instance identifiers:
Required:
1. Part Number (PNR): product attribute id = pnr
2. Manufacturer Code (MFR): product attribute id = mfr
One or more required:
1. Model: product attribute id = model
2. Component Nomenclature: product attribute id = cmpnom
Condition types:
1. Service bulletins: condition type id = sb, enumeration =
PRE|POST.
The only allowable service bulletin applicability assertion values for DMs are "PRE" and "POST".
When using PRE|POST in a PCT, the service bulletin applicability assertion value of:
• PRE resolves to true if the SB condition is PRE, or
• PRE resolves to false if the SB condition is POST, or
• POST resolves to true if the SB condition is POST, or
• POST resolves to false if the SB condition is PRE, or
• PRE and POST each resolve to true if the SB condition is null or missing.</t>
  </si>
  <si>
    <t>Decision changed during meeting on 09/10/2024 (Applicability meeting):
From "Refer to BRDP-S1-00327." to "Refer to BRDP-S1-00390."</t>
  </si>
  <si>
    <t>It is allowed to add product attribute values or new product attributes.
It is not allowed to change product attribute names without advance communication and agreement with customers. Communication 6 months before the change is recommended.</t>
  </si>
  <si>
    <t>No business rules siginifica que aplica la regla más restrictiva, siendo esta la GCA (TDWG)</t>
  </si>
  <si>
    <t>Decision changed during the meeting on 17/10/2024: from "No business rule." to "It is allowed to add product attribute values or new product attributes.
It is not allowed to change product attribute names without advance communication and agreement with
customers. Communication 6 months before the change is recommended."</t>
  </si>
  <si>
    <t xml:space="preserve">Se utiliza para documentar qué condiciones técnicas han sido incorporadas en las publicaciones o DMs asociados. Tiene la capacidad de hacer referencia a una condición definida anteriormente. </t>
  </si>
  <si>
    <t xml:space="preserve">Decide which product instances are contained in a PCT data module. Options include listing all product instances in-service or listing only the product instances within an organization.
</t>
  </si>
  <si>
    <t>El Products Cross-reference Table  (PCT DM) es un repositorio de instancias de productos y los valores de los atributos y condiciones de cada instancia de producto.
La lista de productos según LTH se definirá según los PNs de los equipos que producen.
'@Dani: crees que esta filosfía es la correcta?</t>
  </si>
  <si>
    <t>Decision changed during meeting on 09/10/2024 (Applicability meeting):
From "Use PCT for the partnumber values" to "PCT shall not be used"</t>
  </si>
  <si>
    <t>Muchas organizaciones ya poseen y mantienen sistemas para realizar un seguimiento de la configuración de sus instancias de producto.
Estas organizaciones no querrán mantener también un módulo de datos PCT. En estos casos, el DM PCT puede generarse a partir de la fuente de datos y utilizarse como archivo temporal a modo de visor.
En cualquier caso, la decisión de LTH es que debe ser publicado el PCT.
Se debería reescribir, tal que  "The PCT must be delivered as published PCT DM"</t>
  </si>
  <si>
    <t>The PCT must be delivered as static published PCT DM</t>
  </si>
  <si>
    <t>Decision changed during meeting on 09/10/2024 (Applicability meeting):
From "Shall be delivered" to "PCT shall not be used"</t>
  </si>
  <si>
    <t>As there is no external system to manage product instance configurations, it shall be done manually by updating ACT DM.</t>
  </si>
  <si>
    <t>Supuestamente no se decide, porque no tienen herramienta a la que conectarse como BBDD de productos (PNs) para mantener el control de configuración (Ver BRDP-S1-00398), por lo se funcionará como una publicación estática.
Se debería reescribir, tal que  "Not required, refer to BRDP-S1-00398"</t>
  </si>
  <si>
    <t>As there is no external system to manage product instance configurations, it shall be done manually by updating PTC DM. Refer to BRDP-S1-00398</t>
  </si>
  <si>
    <t>Decision changed during meeting on 09/10/2024 (Applicability meeting):
From "As there is no external system to manage product instance configurations, it shall be done manually by updating PTC DM. Refer to BRDP-S1-00398" to "As there is no external system to manage product instance configurations, it shall be done manually by updating ACT DM"</t>
  </si>
  <si>
    <t>El catálogo Applicability Cross-reference Table (ACT Catalog) es un DM específico que se utiliza en el contexto de proyectos u organizaciones con varios módulos de datos ACT.
El objetivo es coordinar diferentes conjuntos ACT/CCT en el mismo proyecto.</t>
  </si>
  <si>
    <t>The minimum supplier applicability attributes shall be defined in the CMP ACT DM (the internal method).</t>
  </si>
  <si>
    <t xml:space="preserve">Si un integrador desea utilizar atributos de aplicabilidad de proveedor deberá declarar un identificador para estos atributos de aplicabilidad en sus propios DMs ACT y/o CCT.
Por ejemplo, se puede añadirla aplicabilidad en términos de modelo de motor de un fabricante X en sus DMs. En este caso, deberá crearse un atributo de producto para el modelo de motor.
Si hace referencia a la BRDPS1-00327 significa que atribuye los mismo atributos internos (los de LTH) para los suppliers (ej.: atributo Manufacturer Code) </t>
  </si>
  <si>
    <t>Decision changed during meeting on 09/10/2024 (Applicability meeting):
From "The minimum supplier applicability attributes shall be defined in the CMP ACT DM (the internal method). Refer to BRDPS1-00327." to "The minimum supplier applicability attributes shall be defined in the CMP ACT DM (the internal method)."</t>
  </si>
  <si>
    <t>No business rule.</t>
  </si>
  <si>
    <t>Por lo general es posible añadir un nombre o un nombre abreviado para añadir info extra por legibilidad.
Si no hay Business Rules se deja abierto su uso.</t>
  </si>
  <si>
    <t xml:space="preserve">Mejor redefinir tal que: "Not applicable GCA".
</t>
  </si>
  <si>
    <t>We recommend rewording
Atexis Proposal:
Not applicable</t>
  </si>
  <si>
    <t>Decision changed during the meeting on 17/10/2024: from "No business rule." to "Not applicable for Civil Aviation applications."</t>
  </si>
  <si>
    <t>La preparación y codificación de DMs para el cableado, y la preparación de publicaciones de cableado interactivas deben seguir las normas indicadas.
- el elemento &lt;fieldName&gt; contiene convenciones de nombres específicas del proyecto.
Mejor redefinir tal que: "Not applicable GCA".</t>
  </si>
  <si>
    <t>En caso necesario, los  introduction DMs contienen una explicación de la finalidad, el ámbito de aplicación, la estructura, el formato especial y el uso del contenido.</t>
  </si>
  <si>
    <t>No wiring publications</t>
  </si>
  <si>
    <t>Debe proporcionarse una descripción del sistema de identificación eléctrica utilizado en el Producto. Esto incluye también una lista de los sistemas eléctricos y electrónicos /aviónicos del Producto con sus códigos de sistema y subsistema.
Y pueden describirse todos los tipos de unidades de conexión utilizadas en el Producto, como conectores, placas de bornes, placas de bornes modulares, empalmes, uniones, etc.</t>
  </si>
  <si>
    <t xml:space="preserve">Decide whether to produce descriptive information for wires and harnesses including illustrations and tables.
</t>
  </si>
  <si>
    <t>Idem que el anterior pero para wires and harnesses</t>
  </si>
  <si>
    <t>Descriptive data modules must not be used to deliver procedural information.</t>
  </si>
  <si>
    <t>Estos DMs deben contener prácticas estándar de mantenimiento eléctrico e información sobre reparaciones específicas del proyecto. Decidir si usar descriptivos o procedural DTD.</t>
  </si>
  <si>
    <t>Interactividad en Wiring "Not used for CMP".</t>
  </si>
  <si>
    <t>Estos DMs contienen únicamente los planos de los arneses y muestran los recorridos nombrándolos. Estos dibujos pueden simplificarse y la identificación de los recorridos puede realizarse utilizando vistas en perspectiva.</t>
  </si>
  <si>
    <t>SG-55</t>
  </si>
  <si>
    <t>Estos DMs de instalación incluyen ilustraciones. Deben realizarse para cada área principal, zona o subzona del Producto, según proceda, y deben mostrar la instalación de cada arnés en el Producto.Necesitaria identificar las zonas en el SNS.</t>
  </si>
  <si>
    <t>No en CMPs. Decidir si va a preparar la información de instalación de los harnesses en forma de lista o no.</t>
  </si>
  <si>
    <t>No en CMPs. Igual que la  BRDP-S1-00412, pero en lugar del código de la instalación, del ruteado.</t>
  </si>
  <si>
    <t>No en CMPs. Sería DMs con ilustraciones que muestren los equipos y sus localizaciones.</t>
  </si>
  <si>
    <t xml:space="preserve">No en CMPs. Son DMs que añade "Standard parts list - Connectors e info sobre estas piezas" </t>
  </si>
  <si>
    <t>Para cada elemento de equipo eléctrico o electrónico que tenga conexiones eléctricas, el proyecto debe definir la información a presentar del equipo. BRDP-S1-00415 no incluye estos DMs.</t>
  </si>
  <si>
    <t>BRDP-S1-00415 no incluye estos DMs., por tanto tampoco su codificación en el SNS.</t>
  </si>
  <si>
    <t>Estos DMs deben incluir toda la información pertinente necesaria para describir los arneses del Producto. CMP indica que no serán usados estos DMs, y por tanto no es necesaria su codificación.</t>
  </si>
  <si>
    <t>The Wiring schema will not be used for CMPs. Harness wire list data modules will use the Descript schema.</t>
  </si>
  <si>
    <t>Wire List DM -&gt; no se usa. CMP indica que en caso de usarse (que tampoco se usará en LTH), se use el esquema Descritivo.</t>
  </si>
  <si>
    <t>The Wiring schema will not be used for CMPs. Connection list data modules will use the Descript schema.</t>
  </si>
  <si>
    <t>Generation of connection List DM -&gt; no se usa. CMP indica que en caso de usarse (que tampoco se usará en LTH), se use el esquema Descritivo.</t>
  </si>
  <si>
    <t>The Wiring schema will not be used for CMPs. Harness plug list data modules will use the Descript schema.</t>
  </si>
  <si>
    <t>Generation of plug and receptacle List DM -&gt; no se usa. CMP indica que en caso de usarse (que tampoco se usará en LTH), se use el esquema Descritivo.</t>
  </si>
  <si>
    <t>The Wiring schema will not be used for CMPs. Terminal list data modules will use the Descript schema.</t>
  </si>
  <si>
    <t>Generation of terminal List DM -&gt; no se usa. CMP indica que en caso de usarse (que tampoco se usará en LTH), se use el esquema Descritivo.</t>
  </si>
  <si>
    <t>The Wiring schema will not be used for CMPs. Splice list data modules will use the Descript schema.</t>
  </si>
  <si>
    <t>Generation of splice List DM -&gt; no se usa. CMP indica que en caso de usarse (que tampoco se usará en LTH), se use el esquema Descritivo.</t>
  </si>
  <si>
    <t>The Wiring schema will not be used for CMPs. Earth point list data modules will use the Descript schema.</t>
  </si>
  <si>
    <t xml:space="preserve">Generation of earth point  List DM -&gt; no se usa. CMP indica que en caso de usarse (que tampoco se usará en LTH), se use el esquema Descritivo.
</t>
  </si>
  <si>
    <t>General rule is not possible.</t>
  </si>
  <si>
    <t>Para los support equipments: 
Estos DMs descriptivos contienen una breve descripción de la naturaleza del artículo. También todas las características y parámetros físicos, eléctricos/electrónicos, mecánicas. y de funcionamiento. Como mínimo, facilite uno o varios esquemas del elemento que muestren las características de control y las conexiones.
'@DB: leer PB 000 - DESCRIPTION/OPERATION (pag 18 y 19).</t>
  </si>
  <si>
    <t>Atexis Proposal:
To fill in the infosets table with the manuals, and later ATEXIS will provide a PM draft considering the PB 000 - DESCRIPTION/OPERATION but following the S1000D rules.</t>
  </si>
  <si>
    <t>SG-131</t>
  </si>
  <si>
    <t>Document sent on 14/10/24.
Decision updated on 21/20/24: 
Document does not describe needed information, perhaps a new version is needed. No general rule possible - leave out the document reference.
Update decision from "Level of detail per Aircraft Document Definition Specification S-00-00/215" to "General rule is not possible"</t>
  </si>
  <si>
    <t>Aircraft Document Definition Specification S-00-00/215</t>
  </si>
  <si>
    <t>No en CMPs. (Los Wiring Schemas no se usan, además de que LTH no ha aceptado ninguna BR de trabajar con Wiring DMs)</t>
  </si>
  <si>
    <t xml:space="preserve">@DB: leer PB 200 - MAINTENANCE PRACTICES (pag 21 y 22), y PB 300 - SERVICING (pag 23). </t>
  </si>
  <si>
    <t>Atexis Proposal:
To fill in the infosets table with the manuals, and later ATEXIS will provide a PM draft considering the MAINTENANCE PRACTICES and PB 300 - SERVICING but following the S1000D rules.</t>
  </si>
  <si>
    <t>SG-132</t>
  </si>
  <si>
    <t>Document sent on 14/10/24. 
Decision updated on 21/20/24: 
Document does not describe needed information, perhaps a new version is needed. No general rule possible - leave out the document reference.
Update decision from "Level of detail per Aircraft Document Definition Specification S-00-00/215" to "General rule is not possible"</t>
  </si>
  <si>
    <t>Lists of consumables, materials, expendables, standard SE, special SE, and tools will be generated from the preliminary requirements.</t>
  </si>
  <si>
    <t>Idem que CMP.</t>
  </si>
  <si>
    <t>Equivalent substitutes shall be allowed. If substitute equipment and materials can be used, the phrase, "equivalent substitutes may be used" shall be included in the appropriate DM.</t>
  </si>
  <si>
    <t>Añadir el comentario de la GCA para definir la frase a incluir.
Comentario:
Equivalent substitutes shall be allowed. If substitute equipment and materials can be used, the phrase, "equivalent substitutes may be used" shall be included.</t>
  </si>
  <si>
    <t>@DB: validar
We recommend rewording as per General Civil Aviation Usage.
Atexis Proposal:
Equivalent substitutes shall be allowed. If substitute equipment and materials can be used, the phrase, "equivalent substitutes may be used" shall be included in the appropriate DM.</t>
  </si>
  <si>
    <t>Decision changed during the meeting on 17/10/2024: from "Equivalents to be named in the appropriate DM." to "Equivalent substitutes shall be allowed. If substitute equipment and materials can be used, the phrase, "equivalent substitutes may be used" shall be included in the appropriate DM."</t>
  </si>
  <si>
    <t>@DB: leer Detailed Definitions IPC-S (pag 33-39)</t>
  </si>
  <si>
    <t>Atexis Proposal:
To fill in the infosets table with the manuals, and later ATEXIS will provide a PM draft considering the IPC-Sbut following the S1000D rules.</t>
  </si>
  <si>
    <t>SG-128</t>
  </si>
  <si>
    <t>Document sent on 14/10/24. 
Decision updated on 21/20/24: Document does not describe needed information, perhaps a new version is needed. No general rule possible - leave out the document reference.
Update decision from "Level of detail per Aircraft Document Definition Specification S-00-00/215" to "General rule is not possible"</t>
  </si>
  <si>
    <t>S1-00433
thru S1-00435</t>
  </si>
  <si>
    <t xml:space="preserve">No es aplicable. DMs de información sobre evaluación y reparación de daños de guerra - Battle Damage Assessment and Repair (BDAR) </t>
  </si>
  <si>
    <t xml:space="preserve">Decide whether material information must be a part of the "core" SB data module or if it can (depending on the volume) be presented in one or more referenced separate SB data modules. Refer to Fig 2.
</t>
  </si>
  <si>
    <t>SB schema shall not be used, information as procedural data.</t>
  </si>
  <si>
    <t>@Dani. Al no usarse el SB schema, el external material information deberá presentarse según las reglas del Procedural Schema. Sin embargo, ¿existe una regla en el Procedural Schema para representar la External Material Info? Si no existe se supone que a de incluirse en el propio Procedural Schema.</t>
  </si>
  <si>
    <t>Hay 2 tipos de SBs: Alert and Standard.
'@Dani. Al no usarse el SB schema, el tipo no deberá presentarse según las reglas del Procedural Schema. Sin embargo, ¿existe una regla en el Procedural Schema para representar el tipo? Si no existe se supone que no a de incluirse en el propio Procedural Schema.</t>
  </si>
  <si>
    <t xml:space="preserve">Decide whether to use the four compliance categories or to define others.
</t>
  </si>
  <si>
    <t>4 categories: accomplished, recommended to be accomplished ,  introduce improvements and  for convenience or option.
Attribute "sbComplianceCategory" in Section 2-2 (PDF)
'@Dani. Al no usarse el SB schema, las categorías no deberá presentarse según las reglas del Procedural Schema. Sin embargo, ¿existe una regla en el Procedural Schema para representar las categorías? Si no existe se supone que no a de incluirse en el propio Procedural Schema.</t>
  </si>
  <si>
    <t>Información útil y/o requerida por los usuarios finales y/o las autoridades reguladoras para gestionar el proceso de utilización de una SB.
Impacto de los SBs: 
- Impacto en el peso y el equilibrio: Indica si la SB tiene un impacto significativo en el peso del producto.
ATA iSpec no la tenemos, y es la recomendación de la GCA.
'@Dani. Al no usarse el SB schema, el mínimo impacto en peso del producto no deberá presentarse según las reglas del Procedural Schema. Sin embargo, ¿existe una regla en el Procedural Schema para representar el mínimo impacto en peso del producto? Si no existe se supone que no a de incluirse en el propio Procedural Schema.</t>
  </si>
  <si>
    <t>@Dani. Al no usarse el SB schema, el mínimo impacto en equilibrio del producto no deberá presentarse según las reglas del Procedural Schema. Sin embargo, ¿existe una regla en el Procedural Schema para representar el mínimo impacto en equilibrio del producto? Si no existe se supone que no a de incluirse en el propio Procedural Schema.</t>
  </si>
  <si>
    <t>@Dani. Al no usarse el SB schema, el mínimo impacto en carga eléctrica no deberá presentarse según las reglas del Procedural Schema. Sin embargo, ¿existe una regla en el Procedural Schema para representar el mínimo impacto en carga eléctrica? Si no existe se supone que no a de incluirse en el propio Procedural Schema.</t>
  </si>
  <si>
    <t>Repercusión en las publicaciones: mantenimiento u operativa: Debe rellenarse cuando la incorporación de esta SB requiera también que los operadores modifiquen sus publicaciones de mantenimiento u operativas.
'@Dani. Al no usarse el SB schema, la repercusión del SB en el mto &amp; op no deberá presentarse según las reglas del Procedural Schema. Sin embargo, ¿existe una regla en el Procedural Schema para representar la repercusión del SB en el mto &amp; op? Si no existe se supone que no a de incluirse en el propio Procedural Schema.
S1-000443 no existe ya 
No business rule.
S1-000444 no existe ya 
No business rule.</t>
  </si>
  <si>
    <t>List of applicable publications (LOAP).
2 opciones: o listado de DMs, o LOAP
Usar regla CMP -&gt; ninguna de las opciones.</t>
  </si>
  <si>
    <t>SG-76</t>
  </si>
  <si>
    <t>Usar regla CMP -&gt; ni se usa el Scehma descriptivo ni el FrontMatter para LOAP.</t>
  </si>
  <si>
    <t>Usar regla CMP -&gt; ni se usa 1 DM LOAP consolidado ni una serie de ellos.</t>
  </si>
  <si>
    <t>Usar regla CMP -&gt; no se añaden "unpublished" publications ya que LOAP no se hará.</t>
  </si>
  <si>
    <t>Usar regla CMP -&gt; no se añaden makers ya que LOAP no se hará.</t>
  </si>
  <si>
    <t>Usar regla CMP  -&gt; no se añaden PNs de facricantes ni número de referencia ya que LOAP no se hará.</t>
  </si>
  <si>
    <t>Usar regla CMP -&gt; no se usa lenguaje  ya que LOAP no se hará.</t>
  </si>
  <si>
    <t>Air specific information sets - Engine maintenance information (DMs for Engine Shop Maintenance (ESM) information) -&gt; no se usará y por tanto tampoco el uso de información adicional.</t>
  </si>
  <si>
    <t>S1-00453
thru S1- 00459</t>
  </si>
  <si>
    <t>Air specific information sets - Aircrew information (Abarca las normas para la preparación de la información necesaria para proporcionar a la tripulación aérea el grado necesario de comprensión del vehículo aéreo y sus sistemas y los procedimientos para operar el vehículo aéreo, sus sistemas y equipos a su máximo potencial en condiciones normales y de fallo):
Varias normas de performance pueden ser apropiadas en función de los niveles de riesgo determinados por la función operativa del vehículo aéreo. Dichas normas deben acordarse.
No aplicable según GCA.
S1-000454 no existe ya 
Shall not be used</t>
  </si>
  <si>
    <t>Air specific information sets - Aircrew information.
Modelos de CL.
No aplicable según GCA.</t>
  </si>
  <si>
    <t>SG-56</t>
  </si>
  <si>
    <t>Air specific information sets - Aircrew information.
El orden de ejercicios a realizar en los CL.
No aplicable según GCA.</t>
  </si>
  <si>
    <t>Air specific information sets - Aircrew information.
Decidir si habrá ejercicios suplementarios a realizar en los CL.
No aplicable según GCA.</t>
  </si>
  <si>
    <t>Air specific information sets - Aircrew information.
Numero chequeos por ejercicio o tarea en los CL.
No aplicable según GCA.</t>
  </si>
  <si>
    <t>SG-57</t>
  </si>
  <si>
    <t xml:space="preserve">Decide on the description types to be used: functional, physical breakdown, or external equipment.
</t>
  </si>
  <si>
    <t>Air specific information sets - Aircrew information.
Decidir sobre los 3 tipos de descripciones para definir productos de tierra/mar (unctional, physical breakdown, or external equipment) .
No aplicable según GCA.</t>
  </si>
  <si>
    <t>The Front Matter schema shall not be used.</t>
  </si>
  <si>
    <t>Front Matter
FrontMatter puede seleccionar distintos tipos de schemas. 
¿entonces qué schema se usa?
No aplicable según GCA.</t>
  </si>
  <si>
    <t>If front matter schema shall not be used, which schema will be used to develop the front matter as per the next decision (Title page, LOEDM, HIGH, LOA, TOC)
It looks like an error of the GCA.</t>
  </si>
  <si>
    <t>SG-73</t>
  </si>
  <si>
    <t>The ATA Spec 1000BR identifies the following front matter items as either “generated” (no DM required) or “static content” (DM required):
•              Title page                                                                                            (TP)                        “generated”
•              Configuration                                                                                   (CONF)                 “static content”
•              Copyright statements                                                                  (COPY)                 “static content”
•              Administrative and legal statements                                    (ADMIN)              “static content”
•              Safety statements                                                                          (SAFE)                  “static content”
•              List of effective data modules                                                  (LOEDM)             “generated”
•              Change record                                                                                 (CR)                       “static content”
•              Highlights                                                                                           (HIGH)                  “generated”
•              List of abbreviations                                                                      (LOA)                    “generated”
•              List of terms                                                                                      (LOT)                     “generated”
•              List of symbols                                                                                 (LOS)                    “generated”
•              Technical standard record                                                         (TSR)                     “static content”
•              Table of contents                                                                            (TOC)                    “generated”
•              List of illustrations                                                                          (LOI)                      “generated”
•              List of tables                                                                                     (LOTBL)               “generated”
•              List of applicable specifications and documentation                (LOASD)              “generated”
•              List of suppliers                                                                               (LOSUP)              “generated”
•              List of support equipment                                                          (LOSE)                  “generated”
•              List of supplies                                                                                (LOSU)                 “generated”
•              List of spares                                                                                    (LOSP)                  “generated”
•              Introduction                                                                                      (INTRO)               “static content”
Because the 1000BR spec clearly defines what MUST be “generated” in the front matter, there is NO option (like in the “standard” S1000D stylesheets) to turn OFF the “generated” content.</t>
  </si>
  <si>
    <t>Title page, LOEDM, HIGH, LOA, TOC</t>
  </si>
  <si>
    <t xml:space="preserve">Front Matter
Según GCA: 
Title: obligatorio
LOEDM: opcional
HIGH: obligatorio para publicaciones que no sean SBs
LOA: opcional
TOC: obligatorio en page-oriented.
Siendo LTH Decision más restrictiva por lo que ok.
</t>
  </si>
  <si>
    <t>PG-59</t>
  </si>
  <si>
    <t xml:space="preserve">Decide which front matter information codes to use, the basic (eg, IC 00R) or the alternative (eg, IC 002).
</t>
  </si>
  <si>
    <t>Civil Aviation shall use the basic front matter information codes (third character alpha).</t>
  </si>
  <si>
    <t xml:space="preserve">(eg, IC 00R) </t>
  </si>
  <si>
    <t>SG-75</t>
  </si>
  <si>
    <t>IPD to be integrated in CMP</t>
  </si>
  <si>
    <t>Common requirements - Illustrated parts data
IPD puede elaborarse como publicación independiente (stand-alone) y, por tanto, tiene su propio módulo de publicación, sin emabargo ATA CMP no lo permite.
Se decide que el IPD esté integrado los DMs de tipo CMP, no estará en modo stand-alone. 
S1-000463 no existe ya 
Optional Parts not to be used.</t>
  </si>
  <si>
    <t>Task sets shall be allowed.</t>
  </si>
  <si>
    <t>Common requirements - Component maintenance (CMP DM)
El CMP proporciona una serie de procedimientos que permitirán a un técnico experimentado que no esté familiarizado con el componente restablecerlo en condiciones de servicio.
Para satisfacer determinados requisitos de mto, puede ser útil organizar la información en conjuntos de tareas. Dos posibles usos de task set son:
1- «Retorno al servicio» (RTS). conjunto de tareas para certificar que el componente puede volver a ponerse en servicio de forma segura. El propósito es distinguir este conjunto específico de módulos de otros procedimientos de mantenimiento previstos y evitar retrabajos.
2-- Overhaul «Revisión». Grupo de tareas para certificar que el componente ha sido revisado.</t>
  </si>
  <si>
    <t>Placeholder DMs are required in Civil Aviation.</t>
  </si>
  <si>
    <t>Cuando no haya que facilitar información sobre un tema determinado, el proyecto deberá decidir si proporcionar un DM en el que se indique que el tema no es necesario o si esta información figura en
el DM de introducción o descripción. 
Son los DM Placeholder, los cuales son requeridos por GCA.
[DBERNET]: es la primera vez que veo eso de placeholder data module. Al menos con ese nombre.
Tampoco veo mucha información en la S1000D.
Voy a validar la regla.</t>
  </si>
  <si>
    <t>Title Page
List Of Effective Data Modules
Change Record
Highlights
List of Abbreviations
List of Terms
List of Symbols
Technical Standards Record
Table Of Content
List Of Applicable Specifications and Documentation
List Of Support Equipment
List Of Supplies
List Of Illustrations</t>
  </si>
  <si>
    <t>Según GCA: 
Title: obligatorio
LOEDM: obligatorio
Change Record: obligatorio en page-oriented
HIGH: obligatorio
LOA: obligatorio
LOT: obligatorio
TOC: obligatorio 
LOS: obligatorio
TSR: obligatorio 
LOASD: obligatorio
LOSE: obligatorio en page-oriented
LOSU: obligatorio en page-oriented
LOI:obligatorio
Siendo LTH Decision más restrictiva por lo que ok.
S1-000467 no existe ya 
No Business Rule.</t>
  </si>
  <si>
    <t>SG-74</t>
  </si>
  <si>
    <t>Service bulletins shall be incorporated into the CMP in accordance with ATA iSpec 2200 chapter 3-1-9.</t>
  </si>
  <si>
    <t>Registro de normas técnicas (TSR)
El TSR enumera todos los boletines de servicio incorporados aplicables al componente e indica si el boletín de Servicio ha sido incorporado o si no ha tenido efecto. La frecuencia de actualización de los boletines
puede variar según el proyecto. 
@Dani: Los SBs deben ser incorporados en los DM CMPs, pero no tenemos la ATA iSpec 2200 para ver la forma.
S1-000469 no existe ya 
No business rule.</t>
  </si>
  <si>
    <t>Se refiere al proceso (leadtime) de incorporación de un SB a la publicación técnica aplicable.</t>
  </si>
  <si>
    <t xml:space="preserve">Document sent on 14/10/24. </t>
  </si>
  <si>
    <t>ATA iSpec 2200 chapter 3-1-9.</t>
  </si>
  <si>
    <t>Maintenance planning information shall not be included in the CMP.</t>
  </si>
  <si>
    <t>Según GCA.
El CMP deben evitarse a menos que sea necesario para el cumplimiento de la normativa calendarios de mto preventivo, ya que está destina al procedimiento.</t>
  </si>
  <si>
    <t>Removal and installation information shall not be included in the CMP.</t>
  </si>
  <si>
    <t>Según GCA.
El CMP tiene por objeto proporcionar información a nivel de taller para mantener y reparar un elemento final que ya ha sido retirado de su lugar de instalación, por lo que no debe incluir instrucciones para retirar o instalar la unidad.</t>
  </si>
  <si>
    <t>Test support data shall be provided in accordance with ATA iSpec 2200 chapter 3-3-3.2.2.</t>
  </si>
  <si>
    <t xml:space="preserve">Según GCA.
El CMP tiene por objeto proporcionar los procedimientos de examen, prueba y comprobación (examination, test and check procedures) necesarios para determinar el estado de un componente, orientar las actividades de mto y reparación y determinar si la unidad puede puede volver a ponerse en servicio. </t>
  </si>
  <si>
    <t xml:space="preserve">ATA iSpec 2200 dice en esta sección: las pruebas y procedimientos específicos necesarios para determinar el estado de un componente y ponerlo de nuevo en servicio. Se incluirán todos los diagramas y esquemas de apoyo.
Los procedimientos deberán derivarse de los ensayos específicos del fabricante y hacer referencia a los mismos.
2.2.1. Test Equipment and Materials
2.2.2. Test Set-up Data
2.2.3. Manual Test Procedures
2.2.4. Automatic Test Procedures
2.2.5. Test Parameters
2.2.6. Test Specification Header
</t>
  </si>
  <si>
    <t>ATA iSpec 2200 chapter 3-3-3.2.2.</t>
  </si>
  <si>
    <t>Use ATA Spec 1000BR Section 3-2 for layout rules CMP DMs.</t>
  </si>
  <si>
    <t>Information presentation and use - Page-oriented publications
S1000D no es aplicable. 
Usar Section 3-2 of ATA Spec 1000BR para CMP DMs.
@Dani: LTH dice que usemos ATA  iSpec 2200 en la medida de lo posible, pero yo les diría que mejor sigamos la recomendación de la AGC.</t>
  </si>
  <si>
    <t xml:space="preserve">What do you mean by "Use ATA iSpec 2200 rules as much as possible"? Which chapter in iSpec 2200 do you refer to? 
Atexis Proposal:
S1000D is not applicable. 
Use ATA Spec 1000BR Section 3-2 for layout rules CMP DMs.
 </t>
  </si>
  <si>
    <t>PG-02</t>
  </si>
  <si>
    <t>Document sent on 14/10/24. 
Decision updated on 21/20/24: from "Use ATA iSpec 2200 rules as much as possible."
to "Use ATA Spec 1000BR Section 3-2 for layout rules CMP DMs."</t>
  </si>
  <si>
    <t xml:space="preserve">ATA iSpec 2200 rules </t>
  </si>
  <si>
    <t>Headers and footers shall not be mirrored.</t>
  </si>
  <si>
    <t>For printed pages, CMPs will use non-mirrored headers and footers. Refer to Spec 1000BR Section 3-2.</t>
  </si>
  <si>
    <t xml:space="preserve">Usar Section 3-2 of ATA Spec 1000BR para CMP DMs para incluir footer y header de la pagina izquierda y derecha (no son mirrored).
Habría que incluir "Refer Section 3-2 of ATA Spec 1000BR " ya que indica la forma. </t>
  </si>
  <si>
    <t>We recommend rewording.
Atexis Proposal:
No mirrored headers and footers. Refer to ATA Spec 1000BR Section 3-2</t>
  </si>
  <si>
    <t>PG-03</t>
  </si>
  <si>
    <t>Decision changed during the meeting on 17/10/2024: from "No mirrored headers and footers." to "For printed pages, CMPs will use non-mirrored headers and footers. Refer to Spec 1000BR Section 3-2."</t>
  </si>
  <si>
    <t xml:space="preserve">Use A4 or ANSI A sizes. Foldout pages shall use A3 or ANSI B sizes. </t>
  </si>
  <si>
    <t>PG-04</t>
  </si>
  <si>
    <t>No foldouts being used</t>
  </si>
  <si>
    <t>Ver BRDP-S1-00131:
Tanto los gráficos como las tablas deben ser acomodados (no quita que una tabla esté en varias páginas por los datos que representa, pero los margenes deben estar incluidos en los permitidos según se indica en la S1-00121).</t>
  </si>
  <si>
    <t>PG-05</t>
  </si>
  <si>
    <t>The issue number shall always be presented. The inwork number shall be presented only if the value is greater than "00". The inwork markings will be shown in accordance with Spec 1000BR Section 3-2.</t>
  </si>
  <si>
    <t xml:space="preserve">Cuando un módulo de datos en fase de «inwork» se presenta como copia en papel o archivo PDF, se recomienda presentar en cada página su issue number y la hora de impresión.
&lt;issueInfo issueNumber=«002» inWork=«01»&gt;
Según ATA CMP
</t>
  </si>
  <si>
    <t>PG-06 &amp; SG-80</t>
  </si>
  <si>
    <t>“Printed in” and "Produced by" shall not be used</t>
  </si>
  <si>
    <t xml:space="preserve">LTH decision es más restrictiva que GCA, ok.
Tenerlo en cuenta para la publicación. </t>
  </si>
  <si>
    <t>PG-07</t>
  </si>
  <si>
    <t>For CMP presentation of Publication Module Code refer to Spec 1000BR Section 3-2.</t>
  </si>
  <si>
    <t>LTH está mal porque hace referencia al GCA, siendo este menos restrictivo. 
Habría que incluir el mismo comentario que en ATA CMP.</t>
  </si>
  <si>
    <t xml:space="preserve">Atexis Proposal:
Refer to ATA Spec 1000BR Section 3-2.  </t>
  </si>
  <si>
    <t>PG-08</t>
  </si>
  <si>
    <t>Decision changed during the meeting on 17/10/2024: from "S1000D standard page-oriented rules shall be adopted. For publications with non-mirrored headers, “Outside” is considered to be the right side." to "For CMP presentation of Publication Module Code refer to Spec 1000BR Section 3-2."</t>
  </si>
  <si>
    <t>For CMP presentation of Data Module Code refer to Spec 1000BR Section 3-2.</t>
  </si>
  <si>
    <t>PG-09</t>
  </si>
  <si>
    <t>Decision changed during the meeting on 17/10/2024: from "S1000D standard page-oriented rules shall be adopted. For publications with non-mirrored headers, “Outside” is considered to be the right side." to "For CMP presentation of Data Module Code refer to Spec 1000BR Section 3-2."</t>
  </si>
  <si>
    <t>For CMP presentation of Issue Date refer to Spec 1000BR Section 3-2.</t>
  </si>
  <si>
    <t>LTH está mal porque hace referencia al GCA, siendo este menos restrictivo. 
Element &lt;issueDate&gt;
Habría que incluir el mismo comentario que en ATA CMP.</t>
  </si>
  <si>
    <t xml:space="preserve">We recommend rewording.
Atexis Proposal:
Refer to ATA Spec 1000BR Section 3-2.  </t>
  </si>
  <si>
    <t>PG-10</t>
  </si>
  <si>
    <t>Decision changed during the meeting on 17/10/2024: from "S1000D standard page-oriented rules shall be adopted. For publications with non-mirrored headers, “Outside” is considered to be the right side." to "For CMP presentation of Issue Date refer to Spec 1000BR Section 3-2."</t>
  </si>
  <si>
    <t>For CMP presentation of Page Number refer to Spec 1000BR Section 3-2.</t>
  </si>
  <si>
    <t>PG-11</t>
  </si>
  <si>
    <t>Decision changed during the meeting on 17/10/2024: from "S1000D standard page-oriented rules shall be adopted. For publications with non-mirrored headers, “Outside” is considered to be the right side." to "For CMP presentation of Page Number refer to Spec 1000BR Section 3-2."</t>
  </si>
  <si>
    <t>foldouts shall not be used</t>
  </si>
  <si>
    <t>PG-12</t>
  </si>
  <si>
    <t>In civil aviation applications, when Display Text is provided, it must be presented in the Applicability Annotation Block. S1000D standard page-oriented presentation rules shall be used. For publications with non-mirrored footers, “Inside” is considered to be the left side.</t>
  </si>
  <si>
    <t>GCA: aplicabilidad debe ser mostrada no sea expuesta, pero no en el footer.
Element &lt;applic&gt;
LTH: IDEM, aunque hace un comentario sobre el footer que debe eliminarse ya que no aplica: "For publications with non-mirrored footers, “Inside” is considered to be the left side." Basicamente, creo que la GCA Rule está mejor escrita.</t>
  </si>
  <si>
    <t>PG-13 &amp; SG-94</t>
  </si>
  <si>
    <t>Security markings shall not be presented.</t>
  </si>
  <si>
    <t>Según GCA
Element &lt;security&gt;</t>
  </si>
  <si>
    <t>PG-14</t>
  </si>
  <si>
    <t>Commercial classification and/or caveat as security markings shall not be used. See BRDP-S1-00054.</t>
  </si>
  <si>
    <t>Según GCA
See BRDP-S1-00054.</t>
  </si>
  <si>
    <t>PG-15</t>
  </si>
  <si>
    <t>Not applicable for Civil Aviation applications. Refer to BRDP-S1-00558.</t>
  </si>
  <si>
    <t xml:space="preserve">Not Applicable GCA.
BRDP-S1-00558: Shall not be used. -&gt; es genérica para el DM, por lo que en el layout no aplicará tampoco. </t>
  </si>
  <si>
    <t>Please, provide a decision.
ATX Proposal: 
As BRDP-S1-00558 mentions, it is not applicable to GCA.</t>
  </si>
  <si>
    <t>PG-16</t>
  </si>
  <si>
    <t>Decision changed during the meeting on 17/10/2024: from "NO INFO" to "Not applicable for Civil Aviation applications. Refer to BRDP-S1-00558."</t>
  </si>
  <si>
    <t>Según GCA</t>
  </si>
  <si>
    <t>PG-17</t>
  </si>
  <si>
    <t>Según ATA CMP
Element &lt;productSafety&gt;</t>
  </si>
  <si>
    <t>PG-18 &amp; SG-100</t>
  </si>
  <si>
    <t>&lt;logo&gt; will not be used.</t>
  </si>
  <si>
    <t>ATA CMP indica que se haga referencia a la sección 3-2, sin embargo LTH es más restrictivo e indica que no se use el logo.
Element &lt;logo&gt;</t>
  </si>
  <si>
    <t>PG-19</t>
  </si>
  <si>
    <t>End of XXX will be used, where XXX is the Data Module Code without the DMC/DME prefix.</t>
  </si>
  <si>
    <t>PG-20</t>
  </si>
  <si>
    <t>"End of" statement to be put in body of the page.</t>
  </si>
  <si>
    <t>LTH BR más restrictiva que  "Refer Section 3-2 of ATA Spec 1000BR ", por lo que Ok.</t>
  </si>
  <si>
    <t>PG-21</t>
  </si>
  <si>
    <t>Más restrictiva que ATA CMP, habría que ver si afeecta al layout preconfigurado.</t>
  </si>
  <si>
    <t>PG-22</t>
  </si>
  <si>
    <t>PG-23</t>
  </si>
  <si>
    <t>If the titles are provided they must be presented.</t>
  </si>
  <si>
    <t>Typography and layout elements
                                                                                                                                                                                                                                                                Según AGC.</t>
  </si>
  <si>
    <t>PG-24</t>
  </si>
  <si>
    <t>No aplica según AGC.</t>
  </si>
  <si>
    <t>PG-25</t>
  </si>
  <si>
    <t xml:space="preserve">Decide whether to present the document title as a Centerhead No. 1 and a Centerhead No. 2 or as a Centerhead No. 1 only (including both element &lt;techName&gt; and element &lt;infoName&gt;).
</t>
  </si>
  <si>
    <t>Document title is centered and to include both element &lt;techName&gt; and element &lt;infoName&gt;</t>
  </si>
  <si>
    <t xml:space="preserve">Refer to Spec 1000BR Section 3-2
Solo pone la palabra centered, y debería ser: "Centerhead No. 1 only (including both element &lt;techName&gt; and element &lt;infoName&gt;).", ya que se indica el tipo de letra.
</t>
  </si>
  <si>
    <t>PG-26</t>
  </si>
  <si>
    <t>Max. level shall be three</t>
  </si>
  <si>
    <t>Refer to Spec 1000BR Section 3-2 (pag 321) donde se muestran 3 niveles.</t>
  </si>
  <si>
    <t>PG-27</t>
  </si>
  <si>
    <t>No list of tables to be presented</t>
  </si>
  <si>
    <t>Refer to Spec 1000BR Section 3-2 (pag 331) si lo permite, sin embargo LTH Decision no lo quiere. 
@Dani: Habrá que quitarlo del layout de Xignal.</t>
  </si>
  <si>
    <t>PG-28</t>
  </si>
  <si>
    <t>No list of tables to be presented, no prefix required</t>
  </si>
  <si>
    <t>Refer to Spec 1000BR Section 3-2 (pag 332) si añade el prefijo, sin embargo LTH Decision no  quiere LOTBL. 
@Dani: Habrá que quitarlo del layout de Xignal.</t>
  </si>
  <si>
    <t>PG-29</t>
  </si>
  <si>
    <t>Refer to Spec 1000BR Section 3-2 to present List of Illustrations which are required.</t>
  </si>
  <si>
    <t>Refer to Spec 1000BR Section 3-2 (pag 327) si se usa LOI.
Especificar "Refer to Spec 1000BR Section 3-2"
Además entra en conflicto con la siguiente donde se dice que no se usa LOI.</t>
  </si>
  <si>
    <t>ATX Proposal: 
Refer to Spec 1000BR Section 3-2</t>
  </si>
  <si>
    <t>PG-30</t>
  </si>
  <si>
    <t>Decision changed during the meeting on 17/10/2024: from No list of figures to be presented, no prefix required" to "Refer to Spec 1000BR Section 3-2 to present List of Illustrations which are required."</t>
  </si>
  <si>
    <t>Refer to Spec 1000BR Section 3-2 to present the prefixes in the List of Illustrations which are required.</t>
  </si>
  <si>
    <t xml:space="preserve">Refer to Spec 1000BR Section 3-2 (pag 328) si añade el prefijo, sin embargo LTH Decision anterior  quiere LOI. 
</t>
  </si>
  <si>
    <t>According to BRDP-S1-00500, the list of figures (or illustrations) is used.
On the other hand the Spec 1000BR Section 3-2 stablishes the use of the prefix. Therefore Atexis proposal is:
Refer to Spec 1000BR Section 3-2 to present the prefixes.</t>
  </si>
  <si>
    <t>PG-31</t>
  </si>
  <si>
    <t>Decision changed during the meeting on 17/10/2024: from "List of Illustrations to be used" to "Refer to Spec 1000BR Section 3-2 to present the prefixes in the List of Illustrations which are required."</t>
  </si>
  <si>
    <t>@Dani: la respuesta es de tipo project or organization specific rules, más resptrictiva.
El nivel de detalle viene en la LTH Decision "Level of detail per Aircraft Document Definition Specification S-00-00/215", sin embargo necesitamos ver ese doc.
ATA CMP dice: Refer to Spec 1000BR Section 3-2 (pag 220).
GCA comenta que se siga la BRDP-S1-00504 para ver el sangrado del primer nivel.</t>
  </si>
  <si>
    <t>Atexis Proposal:
We recommend to follow the Spec 1000BR Section 3-2.
Aircraft Document Definition Specification S-00-00/215 says: use the templates (page 11)</t>
  </si>
  <si>
    <t>PG-32</t>
  </si>
  <si>
    <t>Document sent on 14/10/24. 
Decision updated on 21/20/24: from "Page-oriented presentation will be per Aircraft Document Definition Specification S-00-00/215."
to "Use ATA Spec 1000BR Section 3-2 for layout rules CMP DMs."</t>
  </si>
  <si>
    <t>Level 6-8 will not be used. Refer to BRDP-S1-00180.</t>
  </si>
  <si>
    <t>Según CMP</t>
  </si>
  <si>
    <t>PG-33 &amp; SG-106</t>
  </si>
  <si>
    <t>Civil Aviation will use the following alternative method:
Information shall be prepared in modified block style. Subdivisions of text shall be identified and each breakdown shall be indented two spaces as shown by the following example:
 1. Major Breakdown (with title and underlined)
  A. Major Subdivision (with title)
    (1) Steps of Procedure (no title)
      (a) Any necessary further breakdown of the steps
        1 Any necessary further breakdown
          a Any necessary further breakdown</t>
  </si>
  <si>
    <t>Hay 2 niveles menos, por lo que es más restrictivo que ATA CMP 
@Dani: estas cosas hay que tenerlas en cuenta a la hora de modificar el layout de Xignal</t>
  </si>
  <si>
    <t>PG-34</t>
  </si>
  <si>
    <t>@Dani: la respuesta de LTH es de más restrictiva:
El nivel de detalle viene en la LTH Decision "Level of detail per Aircraft Document Definition Specification S-00-00/215", sin embargo necesitamos ver ese doc.
ATA CMP dice: Refer to Spec 1000BR Section 3-2 (pag 220) donde te dice el formato de los párrafos y el sangrado.</t>
  </si>
  <si>
    <t>Atexis Proposal:
We recommend to follow the Spec 1000BR Section 3-2.
Aircraft Document Definition Specification S-00-00/215 says: use the templates (page 11 and pag 16 2.A)</t>
  </si>
  <si>
    <t>PG-35</t>
  </si>
  <si>
    <t>Hierarchical indented steps shall be used when used without titles.</t>
  </si>
  <si>
    <t>Según GCA.
Cuando se utiliza pasos sin títulos, las etiquetas y el texto deben estar sangrados
jerárquicamente.</t>
  </si>
  <si>
    <t>PG-36</t>
  </si>
  <si>
    <t>The default prefix (pf02) shall be used/presented.
Nested randomList should be avoided. The listItemPrefix attribute shall always be the default value, which is pf02.</t>
  </si>
  <si>
    <t>Según ATA CMP.
Las listas simples se reconocen por el valor «pf01» del atributo listItemPrefix. Las listas desordenadas son las listas por defecto reconocidas por el valor «pf02» del atributo listItemPrefix. 
Mientras sea una random list, usar siempre pf02.</t>
  </si>
  <si>
    <t>SG-105</t>
  </si>
  <si>
    <t>Footnotes shall not be used</t>
  </si>
  <si>
    <t>Más restrictivo que ATA CMP.
Refer to BRDP-S1-00173,Refer to BRDP-S1-00172, donde se indica que footnote no se usa.</t>
  </si>
  <si>
    <t>PG-37</t>
  </si>
  <si>
    <t>No aplicable según GCA.</t>
  </si>
  <si>
    <t>PG-38</t>
  </si>
  <si>
    <t>PG-39</t>
  </si>
  <si>
    <t>Vertical lines in tables are permitted.</t>
  </si>
  <si>
    <t xml:space="preserve">Según GCA.
Aunque la recomendación de la S1000D es que no se use. </t>
  </si>
  <si>
    <t>PG-40</t>
  </si>
  <si>
    <t>The alternative methods are not allowed.</t>
  </si>
  <si>
    <t>Según GCA.
La S1000D lo indica tal que:
Cuando una ilustración requiera varias hojas de ilustración, se añadirá (Hoja X de Y) después del título. Como alternativa, por decisión del proyecto, puede añadirse un número de figura individual a cada hoja de ilustración, por ejemplo:
- De los siguientes 3 métodos el recomendado es el A y los otros son alternativos:
A. Fig 1 Bomba ACDC (Hoja 1 de 2) y Fig 1 Bomba ACDC (Hoja 2 de 2)
B. Fig 7.1 Bomba ACDC  (Hoja 1 de 2) y Fig 7.2 Bomba ACDC  (Hoja 2 de 2)
C. Fig 2 Bomba ACDC (Hoja 1 de 2) y Fig 3 Bomba ACDC (Hoja 2 de 2)</t>
  </si>
  <si>
    <t>SG-107</t>
  </si>
  <si>
    <t>In accordance with BRDP-S1-00555, the ICN number shall  be depicted on the illustration.</t>
  </si>
  <si>
    <t>Refer to BRDP-S1-00555: The ICN number shall not be depicted on the illustration.</t>
  </si>
  <si>
    <t>Please, provide a decision.
ATX Proposal: 
Refer to BRDP-S1-00555</t>
  </si>
  <si>
    <t>PG-41</t>
  </si>
  <si>
    <t>Decision changed during meeting on 08/10/2024:
From "No info" to "In accordance with BRDP-S1-00555, the ICN number shall  be depicted on the illustration."</t>
  </si>
  <si>
    <t xml:space="preserve">Decide whether to use the alternative rule to present the warnings before the step/para number.
Note
Projects must be aware of potential hazards when allowing step numbers to follow the warning and ensure that there is a clear connection in the presentation between the warning and the associated steps.
</t>
  </si>
  <si>
    <t>Alerts within a Step must appear before the Step number.</t>
  </si>
  <si>
    <t>Según GCA.
Los proyectos deben ser conscientes de los peligros potenciales al permitir que los números de paso sigan a la advertencia y garantizar que exista una conexión clara en la presentación entre la advertencia y los pasos asociados.
La LTH Decision es suficiente para cumplir con esta norma.</t>
  </si>
  <si>
    <t>SG-58</t>
  </si>
  <si>
    <t>Symbols shall not be presented for warnings and cautions.</t>
  </si>
  <si>
    <t>Una advertencia puede comenzar con símbolos, elemento &lt;symbol&gt;. Estos gráficos están destinados a ser símbolos normalizados. Los símbolos deben presentarse inmediatamente después del encabezamiento por defecto WARNING.
Según ATA CMP no se permiten símbolos.</t>
  </si>
  <si>
    <t>The BRDP-S1-00171 says that "&lt;symbol&gt; may be used where needed as inline graphic."
As far I understand, a warning is considered as an inline component.</t>
  </si>
  <si>
    <t>SG-59</t>
  </si>
  <si>
    <t>Decision changed during meeting on 08/10/2024: Symbols shall not be presented for warnings and cautions.</t>
  </si>
  <si>
    <t>No symbolic presentation.</t>
  </si>
  <si>
    <t>Según ATA CMP no se permiten símbolos (frames que llamen aún más la atención).</t>
  </si>
  <si>
    <t>SG-60</t>
  </si>
  <si>
    <t>Numbered notes are not allowed.</t>
  </si>
  <si>
    <t>Según ATA CMP no se permiten NOTE enumeradas.</t>
  </si>
  <si>
    <t>SG-61</t>
  </si>
  <si>
    <t>Change marks shall be displayed.</t>
  </si>
  <si>
    <t>Según ATA CMP se permite.
Las Change marks muestran los cambios respecto a la edición anterior entregada al cliente.</t>
  </si>
  <si>
    <t>PG-42</t>
  </si>
  <si>
    <t>No alternative presentation of change marks allowed.</t>
  </si>
  <si>
    <t>Según ATA CMP no se permiten presentaciones visuales alternativas de un ChangeMark.
Cuando una tabla o una figura forman parte de un elemento marcado con una marca de modificación, debe mostrarse la marca de modificación del elemento completo si la visualización de las marcas de modificación es un requisito del proyecto.
Los proyectos pueden decidir marcar tablas individuales.</t>
  </si>
  <si>
    <t>PG-43</t>
  </si>
  <si>
    <t>Individual table rows shall be marked as changed if applicable</t>
  </si>
  <si>
    <t>Según ATA CMP los ChangeMark de filas deben representarse.</t>
  </si>
  <si>
    <t>PG-44</t>
  </si>
  <si>
    <t xml:space="preserve">Decide how to present controlled content using the attributes authorityName and authorityDocument.
</t>
  </si>
  <si>
    <t>The attribute controlAuthorityRefs shall not be used.</t>
  </si>
  <si>
    <t xml:space="preserve">"Refer to Spec 1000BR Section 3-2 Chapter 1.8 and 1.8.1" (pag 242)"
1000BR indica los siguiente:
Las Regulatory statements  usan dos atributos que se utilizan para indicar que se aplica la información reglamentaria son:
- @authorityName: indicar la organización que tiene autoridad de la información reglamentaria especificada (por ejemplo, la FAA). Es opcional y no se muestra en el PDF.
- @authorityDocument: se utiliza para indicar el requisito normativo aplicable
(por ejemplo, CDCCL). Si se muestra en el PDF.
Ver FIG pag 246.
</t>
  </si>
  <si>
    <t>Please, provide a decision.
ATX Proposal: 
Refer to BRDP-S1-00176 as it is duplicated.</t>
  </si>
  <si>
    <t>Decision changed during the meeting on 17/10/2024: from "NO INFO" to "Controlled content shall not be used."</t>
  </si>
  <si>
    <t>The References Table at the Data Module level is not used for CMPs.</t>
  </si>
  <si>
    <t>Según ATA CMP no se permite poner los DM titles en las tablas de referencia.</t>
  </si>
  <si>
    <t>PG-45</t>
  </si>
  <si>
    <t>Según ATA CMP no se permite poner los PM titles en las tablas de referencia.</t>
  </si>
  <si>
    <t>PG-46 &amp; SG-102</t>
  </si>
  <si>
    <t>Según ATA CMP no se permite poner los DM ni los PMs titles en las tablas de referencia.</t>
  </si>
  <si>
    <t>PG-47</t>
  </si>
  <si>
    <t xml:space="preserve">Decide whether to present the external publication code (element &lt;externalPubCode&gt;), the title (element &lt;externalPubTitle&gt;) or the short title (element &lt;shortExternalPubTitle&gt;) as the inline reference.
</t>
  </si>
  <si>
    <t>Display the &lt;externalPubTitle&gt; and &lt;externalPubCode&gt;</t>
  </si>
  <si>
    <t xml:space="preserve">Según ATA CMP se permite poner las referencias de publicaciones externas.
La presentación de referencias no S1000D se hace con el elemento
&lt;externalPubCode&gt;, el elemento &lt;externalPubTitle&gt; </t>
  </si>
  <si>
    <t>PG-48 &amp; SG-103</t>
  </si>
  <si>
    <t>Según ATA CMP no se permite.
Las referencias cruzadas suelen mostrar un prefijo generado tipo «Para», «Step», «Fig», “Tabla”, etc. El prefijo debe incluir el target (por ejemplo, el número de figura). 
Cuando la referencia cruzada es un enlace a un objetivo, debe presentarse subrayada y en azul. Se usa el atributo internalRefTargetType. Pero no se usa el elemento &lt;title&gt; (por simplificar)</t>
  </si>
  <si>
    <t>PG-49 &amp; SG-99</t>
  </si>
  <si>
    <t>The shortName shall be displayed.</t>
  </si>
  <si>
    <t>Según ATA CMP se mostrará el "shortName" como cross-reference para spares, supplies y support equipments..</t>
  </si>
  <si>
    <t>PG-50 &amp; SG-125</t>
  </si>
  <si>
    <t>Applicability statements shall be presented before the steps or paragraphs to which they apply.</t>
  </si>
  <si>
    <t>Según GCA.
La regla consiste en presentar la aplicabilidad antes del paso o párrafo al que aplica.</t>
  </si>
  <si>
    <t>Refer to Spec 1000BR Section 3-2.</t>
  </si>
  <si>
    <t>ATA CMP indica que se debe "Refer to Spec 1000BR Section 3-2" (pag 229, ver el formato), por lo cual se debe poner en la LTH Decision.
Stylesheet topic</t>
  </si>
  <si>
    <t>We recommend rewording.
Atexis Proposal:
Refer to ATA Spec 1000BR Section 3-2.</t>
  </si>
  <si>
    <t>PG-51</t>
  </si>
  <si>
    <t>Decision changed during the meeting on 17/10/2024: from "No business rule." to "Refer to Spec 1000BR Section 3-2."</t>
  </si>
  <si>
    <t>Refer to ATA Spec 1000BR Section 3-2 Figure 32</t>
  </si>
  <si>
    <t>ATA CMP indica que se debe "Refer to Spec 1000BR Section 3-2" (pag 280, ver el formato), por lo cual se debe poner en la LTH Decision.
Y en todo caso indicar los elementos a quitar.</t>
  </si>
  <si>
    <t xml:space="preserve">@DB: validar
We recommend rewording.
Atexis Proposal:
Refer to ATA Spec 1000BR Section 3-2 (pag. 280).  </t>
  </si>
  <si>
    <t>SG-62</t>
  </si>
  <si>
    <t>Decision changed during meeting on 08/10/2024: Refer to ATA Spec 1000BR Section 3-2 Figure 32</t>
  </si>
  <si>
    <t>No product illustration used.</t>
  </si>
  <si>
    <t>Más restrictivo que la ATA CMP, por lo que se quita la ilustración del producto en la página de título ("Refer to Spec 1000BR Section 3-2" (pag 280, ver el formato)</t>
  </si>
  <si>
    <t>SG-63</t>
  </si>
  <si>
    <t>Refer to ATA Spec 1000BR Section 3-2 Chapter 6.10. No table of contents will be produced for IETP/HTML.</t>
  </si>
  <si>
    <t>ATA CMP indica que se debe "Refer to Spec 1000BR Section 3-2 Chapter 6.10" (pag 322, ver el formato), por lo cual se debe poner en la LTH Decision.
Y en todo caso indicar los elementos a quitar.</t>
  </si>
  <si>
    <t xml:space="preserve">We recommend rewording.
Atexis Proposal:
Refer to ATA Spec 1000BR Section 3-2 Chapter 6.10 (pag 322). No table of contents will be produced for IETP/HTML. </t>
  </si>
  <si>
    <t>SG-64</t>
  </si>
  <si>
    <t xml:space="preserve">Decision changed during meeting on 08/10/2024: Refer to ATA Spec 1000BR Section 3-2 Chapter 6.10. No table of contents will be produced for IETP/HTML. </t>
  </si>
  <si>
    <t>ATA CMP indica que se debe "Refer to Spec 1000BR Section 3-2 Chapter 6.10" (pag 322, ver el formato donde se representan 3 niveles), por lo cual se debe poner en la LTH Decision.
Stylesheet topic</t>
  </si>
  <si>
    <t>Please, provide a decision.
ATX Proposal: 
Refer to Spec 1000BR Section 3-2 Chapter 6.10 where 3 levels are shown.</t>
  </si>
  <si>
    <t>PG-52</t>
  </si>
  <si>
    <t>Decision changed during the meeting on 17/10/2024: from "NO INFO" to "Refer to Spec 1000BR Section 3-2."</t>
  </si>
  <si>
    <t>List of Effective Pages shall not be used.</t>
  </si>
  <si>
    <t>Según GCA no se usa LOEP.</t>
  </si>
  <si>
    <t>Conflict with BR-S1-00037</t>
  </si>
  <si>
    <t>SG-65</t>
  </si>
  <si>
    <t>Decision changed during the WSG feedback 13/11/24: List of Effective Pages shall not be used.</t>
  </si>
  <si>
    <t>No table of contents will be produced for IETP/HTML. 
PDF table of contents will use the following elements and attributes: Follow Chapter 6.5 of the CMP S1000D BR</t>
  </si>
  <si>
    <t>ATA CMP indica que se debe "Refer to Spec 1000BR Section 3-2 Chapter 6.5" (pag 301, ver el formato), por lo cual se debe poner en la LTH Decision.</t>
  </si>
  <si>
    <t>SG-66</t>
  </si>
  <si>
    <t>The highlights will be auto-generated, and not available as a physical DM, and elements and attributes to be presented are not applicable to build the DM.</t>
  </si>
  <si>
    <t>ATA CMP indica que se debe "Refer to Spec 1000BR Section 3-2 Chapter 6.7" (pag 308, ver el formato), por lo cual se debe poner en la LTH Decision.</t>
  </si>
  <si>
    <t xml:space="preserve">The highlights will be auto-generated, and not available as a physical DM, and elements and attributes to be presented are not applicable to build the DM.
Atexis Proposal:
Refer to Spec 1000BR Section 3-2
</t>
  </si>
  <si>
    <t>SG-67</t>
  </si>
  <si>
    <t>Decision changed during the meeting on 17/10/2024: from "List header info
- Title
- Issue Number
- Introductory paragraph
List content
- Data Module
- Reason for update
- Update Reason Type
- Page Number" to "'The highlights will be auto-generated, and not available as a physical DM, and elements and attributes to be presented are not applicable to build the DM."</t>
  </si>
  <si>
    <t>No DMEs to be used.</t>
  </si>
  <si>
    <t>The DME (DM code extensions) shall not be presented in references and tables. (Según ATA CMP)</t>
  </si>
  <si>
    <t>Please, provide a decision.
ATX Proposal: 
The DME (DM code extensions) shall not be presented in references and tables.</t>
  </si>
  <si>
    <t>PG-53</t>
  </si>
  <si>
    <t>Decision changed during the meeting on 17/10/2024: from "NO INFO" to "No DMEs to be used."</t>
  </si>
  <si>
    <t>issueNumber shall not be used in references</t>
  </si>
  <si>
    <t>If the issue number is used in the data module reference, it shall be included in the rendered data module reference or table. (Según ATA CMP)
Refer to BRDP-S1-00477: issue number shall be presented.</t>
  </si>
  <si>
    <t>Please, provide a decision.
ATX Proposal: 
Refer to BRDP-S1-00477: where issue number shall be presented, therfore, it shall be included in the rendered data module reference or table.</t>
  </si>
  <si>
    <t>PG-54</t>
  </si>
  <si>
    <t>Decision changed during the meeting on 17/10/2024: from "NO INFO" to "issueNumber shall not be used in references."</t>
  </si>
  <si>
    <t>The presentation of Production management data is not allowed for CMPs.</t>
  </si>
  <si>
    <t>The presentation of Production management data is not allowed for CMPs.  (Según ATA CMP)
Los datos de gestión de la producción, derivados del elemento &lt;productionMaintData&gt;, pueden presentarse dividida en tres partes:
- Intervalo umbral (Threshold interval)
- Localización del área de trabajo (Work area location)
- Duración de la tarea de mantenimiento (Maintenance task duration)</t>
  </si>
  <si>
    <t>Please, provide a decision.
ATX Proposal: 
The presentation of Production management data is not allowed.</t>
  </si>
  <si>
    <t>PG-55 &amp; SG-109</t>
  </si>
  <si>
    <t>Decision changed during the meeting on 17/10/2024: from "NO INFO" to "The presentation of Production management data is not allowed for CMPs."</t>
  </si>
  <si>
    <t xml:space="preserve">Only &lt;name&gt; will be displayed in the list of support equipment. </t>
  </si>
  <si>
    <t>Only &lt;name&gt; will be displayed in the list of support equipment.  (Según ATA CMP)
Elemento &lt;name&gt; y elemento &lt;shortName&gt; (Nombre alternativo).</t>
  </si>
  <si>
    <t xml:space="preserve">Please, provide a decision.
ATX Proposal: 
Only &lt;name&gt; will be displayed in the list of support equipment. </t>
  </si>
  <si>
    <t>PG-56 &amp; SG-124</t>
  </si>
  <si>
    <t>Decision changed during the meeting on 17/10/2024: from "NO INFO" to "Only &lt;name&gt; will be displayed in the list of support equipment."</t>
  </si>
  <si>
    <t>LHT owns an IETP presentation system with set rules</t>
  </si>
  <si>
    <t>Si no hay BR, no se decide sobre el IETP, por lo tanto no aplica IETP look and feel.
¿Puede confirmar LTH que no será un IETP provider?</t>
  </si>
  <si>
    <t>Please provide a decision or confirm that IETP is not required.</t>
  </si>
  <si>
    <t>SG-96</t>
  </si>
  <si>
    <t>Si no hay BR, no se decide sobre el IETP, por lo tanto no aplica IETP menu bar.
¿Puede confirmar LTH que no será un IETP provider?</t>
  </si>
  <si>
    <t>Si no hay BR, no se decide sobre el IETP, por lo tanto no aplica IETP prinitng datos clasificados.
¿Puede confirmar LTH que no será un IETP provider?</t>
  </si>
  <si>
    <t>Si no hay BR, no se decide sobre el IETP, por lo tanto no aplica IETP additional info.
¿Puede confirmar LTH que no será un IETP provider?</t>
  </si>
  <si>
    <t>Functionality Matrix is not being used.</t>
  </si>
  <si>
    <t>Más restrictiva que ATA CMP, por lo que no se usará la matriz.
La matriz proporciona un formato estándar para documentar los requisitos funcionales de un proyecto de datos técnicos. También proporciona definiciones estándar para cada funcionalidad.
El capítulo 6.4.2 contiene una matriz destinada a indicar las posibles capacidades de varios tipos de implementaciones de datos técnicos.
En www.s1000d.org se encuentra disponible una versión de la matriz en MS ExcelTM que puede ser utilizada por los equipos de proyecto para capturar los requisitos que sus clientes definen.</t>
  </si>
  <si>
    <t>Más restrictiva que ATA CMP, por lo tanto no hay que decidir sobre los Information Sets que hay que incluir según se definió en la BRDP-S1-00004.</t>
  </si>
  <si>
    <t>Más restrictiva que ATA CMP.
Hay 3 y el cliente debe decidir cual quiere:
Web browser viewable, Stand-alone mode, Network connectivity</t>
  </si>
  <si>
    <t>No legacy data used.</t>
  </si>
  <si>
    <t>Si no hay legacy data, no aplica.
El funcionamiento y el mantenimiento de un Producto en un entorno de usuario determinado suelen requerir información adicional aparte de las publicaciones específicas del Producto. Normalmente, dicha información se refiere a cuestiones generales o circunstancias locales, a estos datos se les llama legacy data (datos heredados).
Sin embargo se rechaza porque en la BRDP-S1-00541 se comenta que es posible que haya legacy AMM o CMM.</t>
  </si>
  <si>
    <t>There is a misalignment with BR-S1-00541 where it mentions that AMM or CMM legacy data will be possible.
We recomment to change only the BR-S1-00541, and then this decission must be confirmed.</t>
  </si>
  <si>
    <t>SG-103</t>
  </si>
  <si>
    <t>no legacy data used, as the components are newly designed</t>
  </si>
  <si>
    <t xml:space="preserve">Must be used. For any given external publication, a code and syntax should be assigned using pubCodingScheme.
As follows:
pubCodingScheme="AMM" = XX-XX-XX or XX-XX-XX-XXX
pubCodingScheme="CMM" = XX-XX-XX
</t>
  </si>
  <si>
    <t>Se rechaza porque en la BRDP-S1-00540 se comenta que NO es posible que haya legacy data, y esta BR es solo para legacy data que puede ser AMM o CMM.
Modificar a "No legacy data used"
S1000D no impone ni sugiere ninguna codificación específica de las publicaciones heredadas ni ningún método concreto para identificar dicho sistema de codificación. Esa es una decisión del proyecto o de la organización.
El DM encapsulador debe ser un módulo de datos válido, que incluya los elementos requeridos &lt;identAndStatusSection&gt;, y una estructura menor que englobe el elemento de referencia. 
El formato de un objeto heredado encapsulado normalmente sería un archivo PDF</t>
  </si>
  <si>
    <t>There is a misalignment with BR-S1-00540 where it mentions that legacy data will not be possible.
We recomment to change only the BR-S1-00541 as follows.
Atexis Proposal:
No legacy data used.</t>
  </si>
  <si>
    <t>pubCodingScheme allowed to refer to any external documentation, not only the (impossible) legacy data of the component the CMP is written for.</t>
  </si>
  <si>
    <t>N/A, since there is no legacy data.
LHT owns an IETP presentation system with set rules</t>
  </si>
  <si>
    <t xml:space="preserve">No se decide sobre el IETP, por lo tanto no aplica IETP legacy data inclusion.
¿Puede confirmar LTH que no será un IETP provider?
Además tampoco en la BRDP-S1-00540 se comenta que NO es posible que haya legacy data
</t>
  </si>
  <si>
    <t>Please provide a decision or confirm that IETP is not required.
Notice that BRDP-S1-00540 states that legacy data will not be used.</t>
  </si>
  <si>
    <t>SG-104</t>
  </si>
  <si>
    <t>No se decide sobre el IETP, por lo tanto no aplica IETP legacy data syntax and semantic.
¿Puede confirmar LTH que no será un IETP provider?
Además tampoco en la BRDP-S1-00540 se comenta que NO es posible que haya legacy data</t>
  </si>
  <si>
    <t>ZIP compression will be used. The ZIP file will not be password protected. Refer to Section 3-2 for additional guidance.</t>
  </si>
  <si>
    <t>Según ATA CMP, pero se debe añadir, "The ZIP file will not be password protected. Refer to Section 3-2-3 for additional guidance (pag 376)." 
Un deliverable data package CMP es un archivo comprimido.zip que contiene un PDF renderizado del CMP, los archivos XML y gráficos que generaron el PDF renderizado y los archivos de apoyo necesarios.
Section 3-2-3: se enumeran los tipos de archivos obligatorios y opcionales que pueden incluirse en el archivo zip.
S1-00546 no existe ya 
No business rule.</t>
  </si>
  <si>
    <t>We recomment rewording according to the ATA CMP Rule.
Atexis Proposal:
The ZIP file will not be password protected. Refer to Section 3-2-3 for additional guidance.</t>
  </si>
  <si>
    <t>Decision changed during the meeting on 17/10/2024: from "ZIP compression will be used." to "'ZIP compression will be used. The ZIP file will not be password protected. Refer to Section 3-2 for additional guidance."</t>
  </si>
  <si>
    <t>Si no hay BR, directamente se debería indicar algo tal que "aplicar el formato anterior (ej. Si es un párrafo pues formato de párrafo)"</t>
  </si>
  <si>
    <t>PG-57</t>
  </si>
  <si>
    <t>Modifications to PCT assigned values are allowed.</t>
  </si>
  <si>
    <t>Según GCA se permiten modificaciones de valores asignados al PCT.
Modificación de los valores asignados para una determinada sesión de visualización (atributos y condiciones para un producto dado -por ejemplo, velocidad del viento, temperatura-) puede ser necesaria en proyectos en los que los datos del PCT no pueden reflejar con exactitud la configuración del producto en el momento en que se realiza un procedimiento.</t>
  </si>
  <si>
    <t>U.S. English to be used, see BRDP-S1-00020.</t>
  </si>
  <si>
    <t>Según GCA no se permiten otros idiomas que no sea el U.S. English (BRDP-S1-00020)</t>
  </si>
  <si>
    <t>No project specific info codes to be used.</t>
  </si>
  <si>
    <t>No hay infocodes de proyecto, por tanto no es aplicable.</t>
  </si>
  <si>
    <t>Translation to languages other than U.S. English shall not be allowed.</t>
  </si>
  <si>
    <t>S1000D BRDP definition</t>
  </si>
  <si>
    <t>DITA BRDP applic (Y/N)</t>
  </si>
  <si>
    <t>DITA BRDP id</t>
  </si>
  <si>
    <t>DITA BRDP definition</t>
  </si>
  <si>
    <t>DITA BRDP proposal from ATX</t>
  </si>
  <si>
    <t>Customer Decision</t>
  </si>
  <si>
    <t>ATX Review Proposal</t>
  </si>
  <si>
    <t>Schematron ID</t>
  </si>
  <si>
    <t>Customer Validation</t>
  </si>
  <si>
    <t>N</t>
  </si>
  <si>
    <t xml:space="preserve">Create a list of permitted CAGE codes and/or names of the enterprises.
</t>
  </si>
  <si>
    <t>Y</t>
  </si>
  <si>
    <t>BRDP-D1-00002</t>
  </si>
  <si>
    <t>Create a list of permitted CAGE codes and/or names of the enterprises (see BRDP-D1-00010 and BRDP-D1-00011).</t>
  </si>
  <si>
    <t>Use SIR.ditamap (enterprises.dita) for the list of enterprise' names and their CAGE codes.</t>
  </si>
  <si>
    <t xml:space="preserve">Decide which issue or issues of S1000D to be used.
</t>
  </si>
  <si>
    <t>BRDP-D1-00003</t>
  </si>
  <si>
    <t>Decide which issue or issues of DITA Oasis Standard to be used, and which DITA-OT as publishing engine.</t>
  </si>
  <si>
    <t>Use DITA 1.3 Oasis Standard, and DITA-OT 4.3.4 or upper as publishing engine.</t>
  </si>
  <si>
    <t xml:space="preserve">Decide which information sets, given in S1000D and/or project specific, to be used.
</t>
  </si>
  <si>
    <t>BRDP-D1-00004</t>
  </si>
  <si>
    <t>Use as less as possible.
Discard to use subjectScheme (see BRDP-D1-00052) “infosets.ditamap”. if it is not a need:
&lt;subjectScheme&gt;
    &lt;!-- Infoset root --&gt;
    &lt;subjectdef keys="infoset" navtitle="Information Sets"&gt;
        &lt;!-- DIS: Descriptive Information Set --&gt;
        &lt;subjectdef keys="dis" navtitle="Descriptive Information Set"&gt;
            &lt;subjectdef keys="system-description" navtitle="System Description"/&gt;
            &lt;subjectdef keys="equipment-description" navtitle="Equipment Description"/&gt;
            &lt;subjectdef keys="functional-description" navtitle="Functional Description"/&gt;
            &lt;subjectdef keys="interfaces-description" navtitle="Interfaces Description"/&gt;
        &lt;/subjectdef&gt;
        &lt;!-- PRCIS --&gt;
        &lt;subjectdef keys="prcis" navtitle="Procedural Information Set"/&gt;
        &lt;!-- FIS --&gt;
        &lt;subjectdef keys="fis" navtitle="Fault Information Set"/&gt;
        &lt;!-- IPD --&gt;
        &lt;subjectdef keys="ipd" navtitle="Illustrated Parts Data"/&gt;
....
Declare it in the ditamap where use it:
&lt;topicmeta&gt;
    &lt;schemeref href="resources/schemes/infosets.ditamap"/&gt;
&lt;/topicmeta&gt;
And clasify the topic the ditamap calls in that way (dis is for the infoset, and system-description for the infonames):
&lt;topicref href="doc.dita" keys="dis system-description"/&gt;</t>
  </si>
  <si>
    <t xml:space="preserve">Decide which publications to be produced.
</t>
  </si>
  <si>
    <t>BRDP-D1-00005</t>
  </si>
  <si>
    <t>DMRL must be mandatory.</t>
  </si>
  <si>
    <t xml:space="preserve">Decide which Schemas to be used and in which information set they are to be used.
</t>
  </si>
  <si>
    <t>BRDP-D1-00006</t>
  </si>
  <si>
    <t>Decide which Schemas to be used and in which information set they are to be used
Main Schemas available:
topic, concept, task, reference
Main books Schemas available:
map, bookmap
Special Schemas available:
troubleshooting, glossentry / glossgroup, machineryTask, learning* (todo L&amp;T), and subjectSchema</t>
  </si>
  <si>
    <t>Use default schemas (not own schemas), and link them to the information sets (it should be presented as a deliverable).</t>
  </si>
  <si>
    <t xml:space="preserve">Decide whether and how to use each optional element and attribute in its structural context.
</t>
  </si>
  <si>
    <t>BRDP-D1-00007</t>
  </si>
  <si>
    <t>Decide whether and how to use each Schema as a defined template, deciding the allowed structure of elements and attributes per Schema.</t>
  </si>
  <si>
    <t xml:space="preserve">Just if the publication will be always in the same manner. </t>
  </si>
  <si>
    <t xml:space="preserve">Decide on the possible deliverables, such as: 
S1000D objects (eg, data modules, publication modules, illustration sheets and multimedia objects, data management lists) using file based transfer. Refer to Chap 7.5.1.
Page-oriented publications and/or interactive electronic technical publications
</t>
  </si>
  <si>
    <t>BRDP-D1-00008</t>
  </si>
  <si>
    <t>Decide on the possible deliverables, such as: 
- PDF
- HTML5
- WebHelp
- Sharepoint integration
- Set of Maps and Topics
- Set of illustrations
- Set of Multimedia Objects
- Set of Publishing Templates (PDF and WebHelp)
- Set of Ditavals
- Set of files (downloads)
- Set of Schematrons
- Set of scripts</t>
  </si>
  <si>
    <t>Discard what is not never need.</t>
  </si>
  <si>
    <t xml:space="preserve">Decide on the frequency of data exchanges. 
</t>
  </si>
  <si>
    <t>BRDP-D1-00009</t>
  </si>
  <si>
    <t xml:space="preserve">Initial plan of the delivery shall be performed. Updates are more in case of recurrent program deliveries (e.g.: aircrafts retrofits). </t>
  </si>
  <si>
    <t>BRDP-D1-00010</t>
  </si>
  <si>
    <t>BRDP-D1-00011</t>
  </si>
  <si>
    <t xml:space="preserve">Decide if a method about how to identify and name the item should be provided.
(e.g.: supplies will be list by the customer, and it should provide an ID -sup-0001-, name, PN and NOC) </t>
  </si>
  <si>
    <t>If SIRs are used, a method about how to identify and name the item should be provided.
(e.g.: supplies will be list by the customer, and it should provide an ID -sup-0001-, name, PN and NOC) 
(BRDP-D1-00092 for ID coding)</t>
  </si>
  <si>
    <t xml:space="preserve">Decide on how the security classifications will be marked and/or indicated.
</t>
  </si>
  <si>
    <t>BRDP-D1-00016</t>
  </si>
  <si>
    <t>List and decide on how the security classifications will be marked and/or indicated. Decide the deliverables that shall be marked.</t>
  </si>
  <si>
    <t>BRDP-D1-00017</t>
  </si>
  <si>
    <t>List the verification types and decide on how the quality assurance will be marked and/or indicated. Decide the deliverables that shall be marked.</t>
  </si>
  <si>
    <t xml:space="preserve">Discard what is not never need.
(e.g.: 
&lt;map&gt;
    &lt;topicmeta&gt;
        &lt;data name="quality-assurance" value="unverified"/&gt;
    &lt;/topicmeta&gt;
Values for S1000D projects: Unverified, tabletop, onObject, tableTopAndOnObject.
</t>
  </si>
  <si>
    <t xml:space="preserve">Decide on the rules for first and second verification. For example, such a rule might be that all data modules that have a safety related procedure must have first verification carried out "On object".
</t>
  </si>
  <si>
    <t>BRDP-D1-00019</t>
  </si>
  <si>
    <t>Decide on the review cycle processes and procedures.</t>
  </si>
  <si>
    <t>No more than 1 review cycle and made by the SME.</t>
  </si>
  <si>
    <t xml:space="preserve">Decide which language to use for producing data modules.
</t>
  </si>
  <si>
    <t>BRDP-D1-00020</t>
  </si>
  <si>
    <t>Decide which language to use for producing content.</t>
  </si>
  <si>
    <t xml:space="preserve">When producing data modules in English, decide whether to use ASD-STE100®.
</t>
  </si>
  <si>
    <t>BRDP-D1-00021</t>
  </si>
  <si>
    <t>When producing content in English, decide whether to use ASD-STE100®.</t>
  </si>
  <si>
    <t>All Procedural content must use ASD Simplified Technical English (ASD-STE100).   
To use STE is optional for other schema types.</t>
  </si>
  <si>
    <t xml:space="preserve">Decide which standard dictionary to use for producing data modules.
</t>
  </si>
  <si>
    <t>BRDP-D1-00022</t>
  </si>
  <si>
    <t>Decide which standard dictionary to use for producing content.</t>
  </si>
  <si>
    <t xml:space="preserve">As U.S. English is used (as per BRDP-D1-00020), Webster’s International Dictionary by Merriam Webster, is the dictionary commonly used in a technical publication project that uses U.S. English.
</t>
  </si>
  <si>
    <t xml:space="preserve">Decide whether to use a terminology database or a glossary. If used, agree on its content and management.
</t>
  </si>
  <si>
    <t>BRDP-D1-00023</t>
  </si>
  <si>
    <t>Decide whether to use a abbreviations/terminology/glossary topic. If used, agree on its content and management (see BRDP-D1-00006)</t>
  </si>
  <si>
    <t xml:space="preserve">Identify the standard to use for both primary and secondary units of measure.
</t>
  </si>
  <si>
    <t>BRDP-D1-00025</t>
  </si>
  <si>
    <t>Identify the standard to use for both primary and secondary units of measure.</t>
  </si>
  <si>
    <t>Only for technical content. Primary is International System (SI); secondary is US Customary (USCS). Secondary is only required when the engineering standard of the manufacturer is not SI.</t>
  </si>
  <si>
    <t xml:space="preserve">Decide which method to use to highlight text. 
</t>
  </si>
  <si>
    <t>BRDP-D1-00026</t>
  </si>
  <si>
    <t xml:space="preserve">Decide which method to use to highlight text. </t>
  </si>
  <si>
    <t>Bold text only shall be used to emphasize text. 
Overline text may be used only for marking vectors in graphics.</t>
  </si>
  <si>
    <t xml:space="preserve">Decide which parts of the documentation (data modules and publications including IETP) need to be printable.
</t>
  </si>
  <si>
    <t>BRDP-D1-00027</t>
  </si>
  <si>
    <t>Decide which parts of the deliverables (maps, topics, or Webhelp) need to be printable.</t>
  </si>
  <si>
    <t xml:space="preserve">Decide whether to produce general warnings, cautions and notes in separate descriptive data modules.
</t>
  </si>
  <si>
    <t>BRDP-D1-00030</t>
  </si>
  <si>
    <t>Decide whether to produce general danger, warnings, cautions and notices in separate descriptive SIR.dita or common SIR.dita (see BRDP-D1-00010 and BRDP-D1-00011).</t>
  </si>
  <si>
    <t>Separated if possible.</t>
  </si>
  <si>
    <t xml:space="preserve">Decide whether to use warning and/or caution collections, internal or external. 
</t>
  </si>
  <si>
    <t>BRDP-D1-00031</t>
  </si>
  <si>
    <t xml:space="preserve">Decide where to use danger, warning, caution and notice, and how they look like. </t>
  </si>
  <si>
    <t>General to all task topics shall be included in the safety requirements section.
The look: the simplest one for maintanability.</t>
  </si>
  <si>
    <t>BRDP-D1-00033</t>
  </si>
  <si>
    <t xml:space="preserve">Decide how to use the danger/warning/caution/notice Type (see BRDP-D1-00010 and BRDP-D1-00011).
</t>
  </si>
  <si>
    <t>For technical content (also in concept schemas):
&lt;hazardstatement type="warning"&gt;
    &lt;hazardtitle&gt;Warning&lt;/hazardtitle&gt;
    &lt;hazardbody&gt;
        &lt;messagepanel&gt;
            &lt;hazardsymbol href="images/warning.svg" /&gt;
            &lt;message&gt;Do not operate with the cover open.&lt;/message&gt;
        &lt;/messagepanel&gt;
    &lt;/hazardbody&gt;
&lt;/hazardstatement&gt;
Or simplier:
&lt;note type="warning"&gt;
    Do not touch the exposed terminals.
&lt;/note&gt;</t>
  </si>
  <si>
    <t xml:space="preserve">Decide whether to use the LOEP or the LOEDM.
</t>
  </si>
  <si>
    <t>BRDP-D1-00037</t>
  </si>
  <si>
    <t>Decide whether to use the reltable for the maps.</t>
  </si>
  <si>
    <t>Discard what is not never need:
&lt;map&gt;
    &lt;reltable&gt;
        &lt;relrow&gt;
            &lt;relcell&gt;
                &lt;topicref href="A.dita"/&gt;
            &lt;/relcell&gt;
            &lt;relcell&gt;
                &lt;topicref href="B.dita"/&gt;
            &lt;/relcell&gt;
            &lt;relcell&gt;
                &lt;topicref href="C.dita"/&gt;
            &lt;/relcell&gt;
        &lt;/relrow&gt;
    &lt;/reltable&gt;
&lt;/map&gt;</t>
  </si>
  <si>
    <t xml:space="preserve">Decide whether to use a linear or a hierarchically subdivided Table of contents.
</t>
  </si>
  <si>
    <t>BRDP-D1-00046</t>
  </si>
  <si>
    <t>Decide how many levels to use hierarchically for the Table of contents (only for PDF).</t>
  </si>
  <si>
    <t xml:space="preserve">As less as possible.
</t>
  </si>
  <si>
    <t xml:space="preserve">Decide whether to include the number of pages in the Table of contents entries.
</t>
  </si>
  <si>
    <t>BRDP-D1-00307</t>
  </si>
  <si>
    <t>Decide whether to include the number of pages in the Table of contents entries.</t>
  </si>
  <si>
    <t xml:space="preserve">It is about TOC format. Page numbers are not recomended as it complex the output. </t>
  </si>
  <si>
    <t xml:space="preserve">Decide on the definition of the issue date.
</t>
  </si>
  <si>
    <t>BRDP-D1-00049</t>
  </si>
  <si>
    <t>Decide on the use of the issue date metadata, critdates element.</t>
  </si>
  <si>
    <t>BRDP-D1-00052</t>
  </si>
  <si>
    <t>Use a specific list of infoname and how to use it (see BRDP-D1-00004).</t>
  </si>
  <si>
    <t xml:space="preserve">Discard into subjectScheme if not required (see BRDP-D1-00004)
Discard what is not never need.:
(e.g.: for the DIS infoset (Descriptive Information Set), the list of available infoname could be:
ystem Description, Subsystem Description, Equipment Description, Functional Description, Operational Description, Structural Description, Performance Characteristics, Environmental Characteristics, Interfaces Description, Technical Features, Limitations, Design Philosophy, Safety Description, Materials &amp; Finishes, Software Description, Control Logic Overview, Installation Overview, Power &amp; Energy Characteristics, etc.)
</t>
  </si>
  <si>
    <t xml:space="preserve">Decide whether and how to use the element &lt;copyright&gt;. Any copyright information must be obtained from the relevant authority.
</t>
  </si>
  <si>
    <t>BRDP-D1-00065</t>
  </si>
  <si>
    <t>Decide whether and how to use the element &lt;copyright&gt; as metadata.</t>
  </si>
  <si>
    <t xml:space="preserve">Decide whether to populate copyright information in each data module or whether to cross-reference to a copyright data module.
Note
While choosing the population method, assess the impact of changes to copyright information on updating of data modules.
</t>
  </si>
  <si>
    <t xml:space="preserve">Decide whether to use the element &lt;enterpriseName&gt; and/or the attribute enterpriseCode to capture the name and CAGE code, respectively, of the responsible partner company. If the name is used it must be done consistently and be mandatory for the project.
</t>
  </si>
  <si>
    <t>BRDP-D1-00089</t>
  </si>
  <si>
    <t>Decide whether standard sentences for reasons for update are to be used and if put it as a topic metadata or control it from the CCMS</t>
  </si>
  <si>
    <t xml:space="preserve">Decide whether and how to use change marks for tables.
</t>
  </si>
  <si>
    <t>BRDP-D1-00092</t>
  </si>
  <si>
    <t>Decide whether and how to use IDs for tables and figures, and all the elements of the SIR (see BRDP-D1-00010, and BRDP-D1-00011).</t>
  </si>
  <si>
    <t xml:space="preserve">A nomenclature shall be defined and it should reset the counter in each topic:
- elementID(3)-nnn for tables and figures
- elementID(3)-nnnn for tables and figures
(e.g.: fig-001, tbl-001).
Oxygen configuration:
Options → Preferences → DITA → ID Generation
fig-${id}-${counter}
tbl-${id}-${counter}
or create a snippet and Oxygen review it:
&lt;fig id="fig-${id}-${counter}"&gt;
    &lt;title&gt;Figure ${counter}&lt;/title&gt;
    &lt;xref ref-type="fig" keyref="fig-${id}-${counter}"/&gt;
&lt;/fig&gt;
For SIR the same.
(.e.g.: sup-0001 for the first supply of the supplies.dita)
(e.g.: "mmo" for multimedia object,
"sup" for supplies, "seq" for tools, "spa" for parts,
"gra" for graphics (image maps with hotspots),
"hot" for hotspots (eg, "fig-001-hot-002")
"rqt" for requirements, "zon" for zones, "acp" for access points, etc.)
</t>
  </si>
  <si>
    <t xml:space="preserve">Use of the element &lt;internalRef&gt; in titles is strongly discouraged. However, decide whether to use cross-references in titles.
</t>
  </si>
  <si>
    <t>BRDP-D1-00095</t>
  </si>
  <si>
    <t>Use of the element &lt;xRef&gt; in titles is strongly discouraged. However, decide whether to use cross-references in titles.</t>
  </si>
  <si>
    <t>Not to use it.</t>
  </si>
  <si>
    <t>Decide whether to use the element Title for figures and tables.</t>
  </si>
  <si>
    <t>Recommend it if the organization wants to use Xrefs or hotspots.</t>
  </si>
  <si>
    <t xml:space="preserve">Decide whether the values of the cross-reference attributes id and internalRefId must be prefixed by alpha characters that identify the type of the target element. Example:
Structure: Prefix followed by a hyphen and a four digit number to make it unique within the data module (eg, "par-0001")
Prefixes:
"fig" for figures and alternates
"tab" for tables
"mma" for multimedia and alternates
"sup" for supplies
"seq" for support equipment
"spa" for spares
"par" for levelled paragraphs and alternates
"stp" for steps of procedure, fault isolation, etc, and alternates
"gra" for graphics (multiple sheets)
"mmo" for multimedia objects
"hot" for hotspots (eg, "fig-0001-hot-0002")
"pme" for parameters
"zon" for zones
"wla" for work locations
"mat" for single material or material sets
"msl" for material set lists
"acp" for access points
Note
The four digit number has no connection to, for example, the figure or table number which is generated for data module presentation. For example, the value of the attribute id can be "fig-0345" for "Fig 1". Refer to Para 2.1.
Note
Refer to Chap 3.9.5.2.1.10 for the equivalent business rule decision point regarding footnotes. Example: "ftn-0001".
</t>
  </si>
  <si>
    <t>BRDP-D1-00107</t>
  </si>
  <si>
    <t>Define the words before and after the referenced elements. This is important as it has implications on the stylesheets, e.g.: "Refer to: " for sections and topics, tables, figures, ect.)</t>
  </si>
  <si>
    <t>"Refer to: " is recommended as it is works for any sets of elements.</t>
  </si>
  <si>
    <t xml:space="preserve">Decide on a project style guide to be used for captions.
</t>
  </si>
  <si>
    <t>BRDP-D1-00559</t>
  </si>
  <si>
    <t>Recommendation is not to used captions in inline text.</t>
  </si>
  <si>
    <t xml:space="preserve">Decide whether inline captions affect the text line spacing and how this is defined.
</t>
  </si>
  <si>
    <t xml:space="preserve">Decide how to use the element &lt;title&gt; and on which elements.
</t>
  </si>
  <si>
    <t>BRDP-D1-00118</t>
  </si>
  <si>
    <t xml:space="preserve">Decide how to use the element &lt;title&gt; and on which elements (see BRDP-D1-00095 for figures and tables), &lt;navtitle&gt;, and file title.
Titles:
&lt;title&gt; ← main and mandatory
&lt;section&gt;&lt;title&gt;
&lt;example&gt;&lt;title&gt;
&lt;task&gt;&lt;title&gt;
&lt;concept&gt;&lt;title&gt;
&lt;reference&gt;&lt;title&gt;
&lt;glossentry&gt;&lt;glossterm&gt;
&lt;mapref&gt;
&lt;chapter&gt; (en bookmap)
&lt;part&gt; (en bookmap)
</t>
  </si>
  <si>
    <t>File titles shall be in all lowercase and not spaces (e.g.: system-overview.dita)
Titles shall be used with common linguistic rules.
(e.g.: &lt;title&gt;Control Panel Detailed Description&lt;/title&gt;)
Navtitle is a short tittle for the title use for navigation on publishing:
(e.g.: &lt;navtitle&gt;Control Panel&lt;/navtitle&gt;)
Recommendations:
- Use short titles for avoiding Navtitles.
- Main title and section titles are mandatory.
- Use different filenames of the title/navtitle to provide different funcions.</t>
  </si>
  <si>
    <t xml:space="preserve">Decide if a list of standard table types applies to the project (eg, inspection, examination) and define what the business rules are for these types in terms of their presentation requirements and certain textual values (eg, titles and heading row values). Each of these standard types must have a defined value that can be applied to the table’s attribute tabstyle.
</t>
  </si>
  <si>
    <t>Decide if a list of standard table types applies to the project</t>
  </si>
  <si>
    <t>Recommend it to avoid table styles requests when publishing.</t>
  </si>
  <si>
    <t>BRDP-D1-00128</t>
  </si>
  <si>
    <t>Decide on the strategy for description in tables and figures. 
The advantage of making the desc part of the text is that:
the same illustration can have different legends wherever it appears.</t>
  </si>
  <si>
    <t>Discard if it is not necessary.
&lt;fig&gt;
    &lt;title&gt;Equipment Layout&lt;/title&gt;
    &lt;desc&gt;The following layout shows the relative position of components A, B and C inside the avionics bay.&lt;/desc&gt;
    &lt;image href="layout.svg"/&gt;
&lt;/fig&gt;
&lt;table id="tbl-pressure-01"&gt;
    &lt;title&gt;Pressure Limits&lt;/title&gt;
    &lt;desc&gt;These values apply only to the primary hydraulic circuit.&lt;/desc&gt;</t>
  </si>
  <si>
    <t xml:space="preserve">Decide whether using multimedia is suitable for the environment in which the project will operate. 
</t>
  </si>
  <si>
    <t>BRDP-D1-00129</t>
  </si>
  <si>
    <t>Decide whether using multimedia.</t>
  </si>
  <si>
    <t>Multimedia is only recommended for webhelp format when publishing over an URL. If it is in the PDF, the rendering will jump the multimedia content and not display it.</t>
  </si>
  <si>
    <t>BRDP-D1-00130</t>
  </si>
  <si>
    <t>Decide what types of multimedia objects are permitted.</t>
  </si>
  <si>
    <t>Video (mp4) and Audio (wav, mp3) files allowed.</t>
  </si>
  <si>
    <t>BRDP-D1-00131</t>
  </si>
  <si>
    <t>Recommended URL if possible and the use of definition list &lt;dl&gt; which fits very well on bot PDF and webhelp.</t>
  </si>
  <si>
    <t>BRDP-D1-00132</t>
  </si>
  <si>
    <t>Decide whether and how to use hotspots as follows:
If hotspots are to be used, decide whether hotspots can be used to link from graphical objects to other graphical objects or local text, or other topics, sections, etc.</t>
  </si>
  <si>
    <t>If hotspots are going to be used:
- Define only one shape (circle, poly or rect)
- Define the color (by default is the reommended).
- Define list of the items to link: any of the DITA possibilities area allowed.
&lt;imagemap id="EngineeringServices"&gt;
&lt;image href="images/ICN-QAP-03.png" placement="inline" &gt;
&lt;alt&gt;Engineering Services overview&lt;/alt&gt;&lt;/image&gt;
&lt;area&gt;
&lt;shape&gt;rect&lt;/shape&gt;
&lt;coords&gt;1, 173, 249, 1&lt;/coords&gt;
&lt;xref  href="instalacion.dita#topicInstalacion/Primer_p" format="dita"&gt;Primer Párrado de Instalación&lt;/xref&gt;
&lt;/area&gt;
&lt;area&gt;
&lt;shape&gt;circle&lt;/shape&gt;
&lt;coords&gt;334, 80, 40&lt;/coords&gt;
&lt;xref  href="instalacion.dita#topicInstalacion/Primer_p" format="dita"&gt;Primer Párrado de Instalación&lt;/xref&gt;
&lt;/area&gt;
&lt;area&gt;
&lt;shape&gt;poly&lt;/shape&gt;
&lt;coords&gt;386, 140, 378, 11, 654, 13, 664, 170&lt;/coords&gt;
&lt;xref  href="instalacion.dita#topicInstalacion/Primer_p" format="dita"&gt;Primer Párrado de Instalación&lt;/xref&gt;
&lt;/area&gt;
&lt;/imagemap&gt;</t>
  </si>
  <si>
    <t>BRDP-D1-00142</t>
  </si>
  <si>
    <t xml:space="preserve">Decide the structure of the Task scheme if it is necessary
https://docs.oasis-open.org/dita/dita/v1.3/errata02/os/complete/part3-all-inclusive/langRef/containers/task-elements.html </t>
  </si>
  <si>
    <t>For technical documents and procedure infosets, it is recommended to review the elements and attributes that the scheme should avoid in order to make it the simplest and efficient.</t>
  </si>
  <si>
    <t>BRDP-D1-00149</t>
  </si>
  <si>
    <t>Decide the SIRs applied in the Task scheme for Task requirements domain if it is necessary
https://docs.oasis-open.org/dita/dita/v1.3/errata02/os/complete/part3-all-inclusive/langRef/containers/mitask-d.html</t>
  </si>
  <si>
    <t>For technical documents and procedure infosets, it is recommended to review the SIR elements and attributes that the scheme should take from the SIR.</t>
  </si>
  <si>
    <t>BRDP-D1-00150</t>
  </si>
  <si>
    <t>Decide the way to used the SIR.dita</t>
  </si>
  <si>
    <t xml:space="preserve">        &lt;!-- ✔ Reutilizar solo un dato (la celda “Type/Nomenclature”) --&gt;
        &lt;p&gt;Required: &lt;ph conref="../../TCCD_reusable/SIR/supplies.dita#supplies/sup-001-type-text" /&gt;&lt;/p&gt; 
              &lt;!-- ✔ Ejemplo 2: Reutilizar SOLO la primera columna  --&gt;
              &lt;row&gt;
                &lt;!-- Columna 1 reutilizada desde supplies.dita --&gt;
                &lt;entry conref="../../TCCD_reusable/SIR/supplies.dita#supplies/sup-001-id" /&gt;</t>
  </si>
  <si>
    <t>?</t>
  </si>
  <si>
    <t xml:space="preserve">Decide whether and how to use the text element &lt;footnote&gt; and when used, decide whether the use of footnotes is limited to regular text and titles (inline) and/or to tables (table footnotes).
</t>
  </si>
  <si>
    <t>BRDP-D1-00172</t>
  </si>
  <si>
    <t>Decide whether and how to use the text element &lt;footnote&gt; and when used, decide whether the use of footnotes is limited to regular text and titles (inline) and/or to tables (table footnotes).</t>
  </si>
  <si>
    <t>&lt;footnote&gt; shall not be used.
El elemento &lt;footnote&gt; contiene referencias bibliográficas o explicaciones
que ocuparían demasiado espacio para el lector en el texto.
El elemento &lt;footnote&gt; es una nota a pie de página y suele generar un marcador (por ejemplo, un número en superíndice) en el lugar del flujo de texto en el que aparece.
(e.g.: &lt;p&gt;
    The hydraulic pump is installed on the left side of the engine 
    &lt;fn&gt;This configuration applies only to the primary system.&lt;/fn&gt;.
&lt;/p&gt;)
For reusing: 
&lt;fn id="fn-certification"&gt;
    Only certified operators may perform this procedure.
&lt;/fn&gt;
----
&lt;p&gt;
    This step requires special authorization &lt;fn conref="#fn-certification"/&gt;.
&lt;/p&gt;</t>
  </si>
  <si>
    <t>BRDP-D1-00180</t>
  </si>
  <si>
    <t>Maximum number of subordinate &lt;topic&gt; in maps/bookmaps</t>
  </si>
  <si>
    <t xml:space="preserve">It is mandatory to build in that way:
map
└─ topic A ← nivel 1 OK
    ├─ topic B ← nivel 2 OK
    │   └─ topic C ← nivel 2 Not recommended
&lt;topic&gt;
   &lt;section&gt;      ← nivel 1.1 OK
       &lt;subSection&gt;  ← nivel 1.2 &lt;- Not recommended
(bookmaps uses chapters&gt;section&gt;subsection
        </t>
  </si>
  <si>
    <t>BRDP-D1-00186</t>
  </si>
  <si>
    <t>Maximum number of step levels in a task</t>
  </si>
  <si>
    <t>BRDP-D1-00187</t>
  </si>
  <si>
    <t>BRDP-D1-00296</t>
  </si>
  <si>
    <t>Decide about use maps or bookmaps.</t>
  </si>
  <si>
    <t>BRDP-D1-00297</t>
  </si>
  <si>
    <t xml:space="preserve">For a bookmap:
List the topics of the frontmatter bookmap that will apply specific outputclass. (e.g.: Forework, Change Record Page, Letter of Promulgations, Preface, etc.), and the list of the Booklists (TOC, TOF, TOT, TOG, IndexList, etc.).
For a map:
List the topics of the frontmatter map, topicgroup or topichead (See BRDP-D1-002989) that will apply specific outputclass. (e.g.: Forework, Change Record Page, Letter of Promulgations, Preface, etc.), and the list of the Booklists (TOC, TOF, TOT, TOG, IndexList, etc.).
Frontmatter for a map with topichead:
&lt;map&gt;
    &lt;topichead navtitle="Frontmatter"&gt;
        &lt;topicref href="cover.dita"/&gt;
        &lt;topicref href="legal.dita"/&gt;
        &lt;topicref href="copyright.dita"/&gt;
        &lt;topicref href="revision-history.dita"/&gt;
    &lt;/topichead&gt;
</t>
  </si>
  <si>
    <t xml:space="preserve">Decide whether and how to use the element &lt;logo&gt; in the Identification and status section to populate the element &lt;publisherLogo&gt;.
</t>
  </si>
  <si>
    <t>BRDP-D1-00299</t>
  </si>
  <si>
    <t>Use of topichead (no content and no metadata, only for title)</t>
  </si>
  <si>
    <t>Recommended only when different topics needs a title container for the whole group.     
   &lt;topichead navtitle="Frontmatter"&gt;
        &lt;topicref href="cover.dita"/&gt;
        &lt;topicref href="legal.dita"/&gt;
    &lt;/topichead&gt;</t>
  </si>
  <si>
    <t>BRDP-D1-00300</t>
  </si>
  <si>
    <t>Use of topic group (no content but metadata and title)</t>
  </si>
  <si>
    <t>Recommended only when different topics needs to included inside of an specific infoset with specific metadata for the whole group.     
    &lt;!-- PROCEDIMIENTOS (PRCIS) --&gt;
    &lt;topicgroup navtitle="PRCIS"&gt;
        &lt;topicref href="engine-removal.dita"/&gt;
        &lt;topicref href="pump-installation.dita"/&gt;
    &lt;/topicgroup&gt;</t>
  </si>
  <si>
    <t>BRDP-D1-00303</t>
  </si>
  <si>
    <t>Decide where to put blank pages</t>
  </si>
  <si>
    <t>Blank page between cover and frontmatter, and between frontmatter and content.</t>
  </si>
  <si>
    <t>BRDP-D1-00310</t>
  </si>
  <si>
    <t>Decide how to configure number of pages format.</t>
  </si>
  <si>
    <t>Start including numbers after TOC. Cover should not have number, and frontmatter content roman numbers.</t>
  </si>
  <si>
    <t>BRDP-D1-00313</t>
  </si>
  <si>
    <t>Use of the element &lt;shortDescr&gt; and &lt;Author&gt; metadata</t>
  </si>
  <si>
    <t xml:space="preserve">Discard if it is not necessary.
</t>
  </si>
  <si>
    <t>BRDP-D1-00319</t>
  </si>
  <si>
    <t>Use applicability.ditamap to generate applicability through the props attribute, or use the audience, product, platform and otherprops attributes (both using ditaval files)</t>
  </si>
  <si>
    <t>BRDP-D1-00323</t>
  </si>
  <si>
    <t>Use applicability.ditamap to generate applicability Conditions (CCT) through the props attribute, or use the audience, product, platform and otherprops attributes (both using ditaval files)</t>
  </si>
  <si>
    <t>BRDP-D1-00328</t>
  </si>
  <si>
    <t>Decide how to manage translations, if copying projects or using localization through baselines projects by a CCMS</t>
  </si>
  <si>
    <t>If translations are required, a CCMS shall be mandatory.</t>
  </si>
  <si>
    <t>BRDP-D1-00331</t>
  </si>
  <si>
    <t>BRDP-D1-00344</t>
  </si>
  <si>
    <t>Decide which method to be used for the illustrations (ICN - Information Control Number). 
ICN-topicModelCode-IssueNumber</t>
  </si>
  <si>
    <t xml:space="preserve">Information Control Number (ICN). 
Each illustration sheet, multimedia object, or other data attached to a topic must be identified by an ICN, so there will be multiple elements in a topic.
It is recommended to use the same model as for the topic (see BRDP-D1-00331) but with the ICN letters at the beginning and the Issue Number = 001 (increments of 1) at the end.
</t>
  </si>
  <si>
    <t>BRDP-D1-00351</t>
  </si>
  <si>
    <t>Shall ICNs, Maps and Bookmaps be listed in the DMRL? (See BRDP-D1-00005)</t>
  </si>
  <si>
    <t xml:space="preserve">Discard it if not need it.
</t>
  </si>
  <si>
    <t>BRDP-D1-00352</t>
  </si>
  <si>
    <t xml:space="preserve">Decide whether to use the CCMS status and the type list for status information.
</t>
  </si>
  <si>
    <t>CCMS status are recommend if: 
- Content is review: start-closed (includes review)
- Content is translated: 
-- In translation (it blocks the files)
-- Translation upload (already translated)
-- Waiting for translation (without block the files)</t>
  </si>
  <si>
    <t>BRDP-D1-00353</t>
  </si>
  <si>
    <t>Decide what CCMS objects types must be tracked in the CCMS.</t>
  </si>
  <si>
    <t xml:space="preserve">Discard what is not need:
- Tags: define a tag list
- Taxonomy: define a metadata list
- Translations
-  Where used/outgoings topics
-  Broken links and unreferenced files
- Assigments
- States
- Branches, Versions and Baselines 
- Dates
</t>
  </si>
  <si>
    <t>BRDP-D1-00356</t>
  </si>
  <si>
    <t>Use of the draft-comment element</t>
  </si>
  <si>
    <t>Discard what is not need: The &lt;draft-comment&gt; element is used only during drafting/editing to add internal comments to the content that must NOT appear in the final output.
&lt;p&gt;Install the module following the instructions.&lt;/p&gt;
&lt;draft-comment author="Makoa" time="2025-02-15"&gt;
  Please verify if this is the updated module or the previous version.
&lt;/draft-comment&gt;</t>
  </si>
  <si>
    <t>BRDP-D1-00359</t>
  </si>
  <si>
    <t>Allowed file types for attachments and formats</t>
  </si>
  <si>
    <t>Discard if it is not need it or list the file types (out of multimedia files):
- Excel: .xslx files
- Python scripts: .py files
- etc.</t>
  </si>
  <si>
    <t xml:space="preserve">Decide which resolution to use for raster graphics.
</t>
  </si>
  <si>
    <t>BRDP-D1-00360</t>
  </si>
  <si>
    <t>Decide which resolution to use for graphics.</t>
  </si>
  <si>
    <t>Vector graphics recommended if tehcnical content is going to be created. If not, raster is a good option but 300dpi shall be used</t>
  </si>
  <si>
    <t>BRDP-D1-00361</t>
  </si>
  <si>
    <t>Photographs are allowed.
Data formats allowed: JPEG, GIF, PNG (not recommended for IPD illustrations)</t>
  </si>
  <si>
    <t xml:space="preserve">Decide whether to use a single or multiple business rules document data module to capture business rules. If multiple data modules are needed, identify which rules will go into which data module. Refer to Para 3.1.
</t>
  </si>
  <si>
    <t>BRDP-D1-00564</t>
  </si>
  <si>
    <t xml:space="preserve">Decide whether to use a single or multiple schematron and layered or not, and if document it. </t>
  </si>
  <si>
    <t xml:space="preserve">Define a consistent naming and identification scheme for product attributes and conditions, when ACT and CCT data modules are implemented.
</t>
  </si>
  <si>
    <t>BRDP-D1-00390</t>
  </si>
  <si>
    <t>Define a consistent naming and identification  for applicability.ditamap (ACT and CCT data for conditions). (See BRDP-D1-00319)</t>
  </si>
  <si>
    <t>Recommended but, discad it if it is not need it.</t>
  </si>
  <si>
    <t xml:space="preserve">Decide on the extent of configuration management and editing access to be applied to product attributes within an ACT data module.
</t>
  </si>
  <si>
    <t>BRDP-D1-00395</t>
  </si>
  <si>
    <t>Configuration management of applicability attributes</t>
  </si>
  <si>
    <t>Decide on the rules and who is going to manage applicabilities in the organization</t>
  </si>
  <si>
    <t>BRDP-D1-00430</t>
  </si>
  <si>
    <t>Use of consolidated lists and management for SIR data</t>
  </si>
  <si>
    <t>Decide on the rules and who is going to manage SIR data in the organization</t>
  </si>
  <si>
    <t>BRDP-D1-00432</t>
  </si>
  <si>
    <t>Level of detail to be provided in the IPD publications</t>
  </si>
  <si>
    <t>ATEXIS will provide a ditamap draft considering the IPC request</t>
  </si>
  <si>
    <t>BRDP-D1-00436</t>
  </si>
  <si>
    <t>Level of detail to be provided in the Service Bulleting publications</t>
  </si>
  <si>
    <t>ATEXIS will provide a ditamap draft considering the SB request</t>
  </si>
  <si>
    <t xml:space="preserve">Decide whether to use a set of publication list data modules or a publication module to list the applicable publications and other documents including individual data modules.
</t>
  </si>
  <si>
    <t>BRDP-D1-00445</t>
  </si>
  <si>
    <t>Decide whether to use LOAP (list of applicable publications) and its design.</t>
  </si>
  <si>
    <t>Discard if not need it</t>
  </si>
  <si>
    <t>BRDP-D1-00455</t>
  </si>
  <si>
    <t>Select model for checklist  structures.</t>
  </si>
  <si>
    <t>Recommend it if Checklist are going to be used (for efficiency)</t>
  </si>
  <si>
    <t>BRDP-D1-00460</t>
  </si>
  <si>
    <t>Front matter or web front-end to be included in webhelp formats, and Cover page format design for PDF.
Also for backcover</t>
  </si>
  <si>
    <t>Recommend it to be defined.</t>
  </si>
  <si>
    <t>BRDP-D1-00470</t>
  </si>
  <si>
    <t xml:space="preserve">Decide whether to include maintenance planning information ditamap and how to link to the procedures.
</t>
  </si>
  <si>
    <t>Discard if not need it (a template shall be design if use it)</t>
  </si>
  <si>
    <t>BRDP-D1-00471</t>
  </si>
  <si>
    <t xml:space="preserve">Decide whether to include removal and installation templates
</t>
  </si>
  <si>
    <t>BRDP-D1-00472</t>
  </si>
  <si>
    <t xml:space="preserve">Decide whether to include manufacturer's test templates
</t>
  </si>
  <si>
    <t>BRDP-D1-00475</t>
  </si>
  <si>
    <t xml:space="preserve">Decide which page size to be used 
</t>
  </si>
  <si>
    <t>No more than horizontal and vertical A4 is recommended.</t>
  </si>
  <si>
    <t>BRDP-D1-00477</t>
  </si>
  <si>
    <t>Presentation of inwork markings / watermarks</t>
  </si>
  <si>
    <t>Discard if not need it.</t>
  </si>
  <si>
    <t>BRDP-D1-00484</t>
  </si>
  <si>
    <t>BRDP-D1-00485</t>
  </si>
  <si>
    <t>Discard if not need it. Exclude presentation of security markings for unclassified publications</t>
  </si>
  <si>
    <t>BRDP-D1-00488</t>
  </si>
  <si>
    <t>BRDP-D1-00492</t>
  </si>
  <si>
    <t>Discard if not need it. Template design should be presented.</t>
  </si>
  <si>
    <t>BRDP-D1-00493</t>
  </si>
  <si>
    <t>Double sided printing of pages</t>
  </si>
  <si>
    <t>BRDP-D1-00497</t>
  </si>
  <si>
    <t>Recommendation is 3 as maximum</t>
  </si>
  <si>
    <t>BRDP-D1-00498</t>
  </si>
  <si>
    <t>Presentation of List of tables (LOT)</t>
  </si>
  <si>
    <t>BRDP-D1-00499</t>
  </si>
  <si>
    <t>Present the prefix "Table" in the List of tables (LOT)</t>
  </si>
  <si>
    <t>BRDP-D1-00500</t>
  </si>
  <si>
    <t>Presentation of List of figures (LOF)</t>
  </si>
  <si>
    <t>BRDP-D1-00501</t>
  </si>
  <si>
    <t>Present the prefix "Fig" in the List of figures (LOF)</t>
  </si>
  <si>
    <t>BRDP-D1-00505</t>
  </si>
  <si>
    <t>Recommend it to do it inside of the template task design</t>
  </si>
  <si>
    <t xml:space="preserve">Decide whether to present the footnote markers as superscripted numbers (default) or as numbers presented within parenthesis.
</t>
  </si>
  <si>
    <t>BRDP-D1-00508</t>
  </si>
  <si>
    <t>Presentation of footnote numbers: decide whether to present the footnote markers as superscripted numbers (default) or other type</t>
  </si>
  <si>
    <t>Default is recommended.</t>
  </si>
  <si>
    <t>BRDP-D1-00509</t>
  </si>
  <si>
    <t>Presentation of inline footnotes: decide whether to present the inline footnotes at the bottom of the page (default) or at the end of the data module.</t>
  </si>
  <si>
    <t>BRDP-D1-00524</t>
  </si>
  <si>
    <t>Presentation of the name of SIR elements (parts, supplies, tools, …)</t>
  </si>
  <si>
    <t>Recommended by its name or ID with xRef when a table with the items has previously provided.</t>
  </si>
  <si>
    <t>BRDP-D1-00530</t>
  </si>
  <si>
    <t>Elements and attributes to be presented on the List of effective pages (LOEP)</t>
  </si>
  <si>
    <t>BRDP-D1-00532</t>
  </si>
  <si>
    <t>Elements and attributes to be presented on the Highlights page</t>
  </si>
  <si>
    <t>BRDP-D1-00533</t>
  </si>
  <si>
    <t>Use of Writing Style Guide and Illustration Style Guide</t>
  </si>
  <si>
    <t>Recommended to require it.</t>
  </si>
  <si>
    <t>BRDP-D1-00534</t>
  </si>
  <si>
    <t>Webhelp design template</t>
  </si>
  <si>
    <t>Validate the design.</t>
  </si>
  <si>
    <t>Pending Action</t>
  </si>
  <si>
    <t>Decide which publications to be produced: create the DRML</t>
  </si>
  <si>
    <t xml:space="preserve">Decide on the program delivery and frequency of the data updates. </t>
  </si>
  <si>
    <t xml:space="preserve">Discard what is not never need.
(e.g.: 
&lt;map&gt;
    &lt;topicmeta&gt;
        &lt;data name="security-classification" value="restricted"/&gt;
    &lt;/topicmeta&gt;
Values for NATO projects: unclassifed, NATO-restricted, NATO-confidential, NATO-secret, COSMIC-top-secret
Values generic: Public, Internal, Confidential, Strictly Confidential, Classified. </t>
  </si>
  <si>
    <t>Is there any other Acronyms directory of the organization?</t>
  </si>
  <si>
    <r>
      <t>CCMS control is the easier way.
If metadata is required, it should be within this structure:
&lt;prolog&gt;
    &lt;critdates&gt;
        &lt;revised modified="2025-02-25"&gt;
            &lt;</t>
    </r>
    <r>
      <rPr>
        <sz val="10"/>
        <color rgb="FF00B050"/>
        <rFont val="Arial"/>
        <family val="2"/>
      </rPr>
      <t>comment</t>
    </r>
    <r>
      <rPr>
        <sz val="10"/>
        <rFont val="Arial"/>
        <family val="2"/>
      </rPr>
      <t>&gt;Reason for update: Updated wiring diagram and corrected torque values.&lt;/comment&gt;
        &lt;/revised&gt;
    &lt;/critdates&gt;
&lt;/prolog&gt;</t>
    </r>
  </si>
  <si>
    <t>Decide on a project style guide to be used for captions and how it effects the text line spacing.</t>
  </si>
  <si>
    <t>Use of download components by URL or physical resource, and by the use of list (&lt;ul&gt; or &lt;ol&gt;, &lt;dl&gt;, or &lt;choicetable&gt;.</t>
  </si>
  <si>
    <t>Map is for more flexible content, and bookmap is for more strict content with the following strucure:
&lt;booktitle&gt;
&lt;frontmatter&gt;
&lt;chapter&gt;
&lt;part&gt;
&lt;appendix&gt;
&lt;backmatter&gt;
If your project fiz on bookmap, choose it first.</t>
  </si>
  <si>
    <t>If use bookmap or map, decide how to use or not the frontmatter. Choose the appropiate format and how to apply different designs, including logos, etc.</t>
  </si>
  <si>
    <t>Decide if the organization wants to control the applicability data inside of the ditamap (use applicability.ditamap with keydefs as an ACT), or to use an excel file to control the applicabilities (use the rest of attributes and the excel file for control)</t>
  </si>
  <si>
    <t>Decide if the organization wants to control the applicability data inside of the ditamap (use applicability.ditamap with keydefs as an CCT), or to use an excel file to control the applicabilities (use the rest of attributes and the excel file for control)</t>
  </si>
  <si>
    <t>All topics must be written in U.S. English.
Metadata example in each ditamap or dita file: &lt;concept  xml:lang="en-US"</t>
  </si>
  <si>
    <t>Discard if it is not required.
Copyright should be reusable topic and Copyright should be reusable topic called from snippets.ditamap.
(e.g.:
&lt;topic id="copyright"&gt;
    &lt;title&gt;Copyright&lt;/title&gt;
    &lt;prolog id="copyright-prolog"&gt;
 &lt;copyright&gt;
  &lt;copyryear year="2001-04-12"&gt;&lt;/copyryear&gt;
  &lt;copyrholder&gt;IBM&lt;/copyrholder&gt;
 &lt;/copyright&gt;
 &lt;copyright type="secondary"&gt;
  &lt;copyryear year="2002-03-03"&gt;&lt;/copyryear&gt;
  &lt;copyrholder&gt;Schweetones Publishing, Inc.&lt;/copyrholder&gt;
 &lt;/copyright&gt;
&lt;/prolog&gt;
And then, it shall be inserted:
&lt;topic&gt;
    &lt;prolog conref="copyright.dita#copyright/copyright-prolog"/&gt;
    &lt;title&gt;Mi documento&lt;/title&gt;
    &lt;body&gt;
        &lt;p&gt;Contenido…&lt;/p&gt;
    &lt;/body&gt;
&lt;/topic&gt;</t>
  </si>
  <si>
    <t xml:space="preserve">Documentation is always recommended but discard it if not need it. Single schematron is easier for maintenance, but if there are different rules per organization's areas, multiple is recommended.
Note: DITA does not allow to call a schematron file, so a manual action from the editor is necessary. </t>
  </si>
  <si>
    <t>Discard what is not never need.
(BRDP-D1-00092 for coding)
Note: SIR.ditamap is recommended to call to the xxSIR.dita.</t>
  </si>
  <si>
    <t>Recommended not to use it if CCMS is used.
Issue date shall reflect the creation of the topic and last review (when the topic has been released).
&lt;topic&gt;
    &lt;prolog&gt;
        &lt;critdates&gt;
            &lt;created date="2025-01-15"/&gt;
            &lt;revised modified="2025-02-18"/&gt;
        &lt;/critdates&gt;
    &lt;/prolog&gt;
&lt;/topic&gt;
o
&lt;map&gt;
  &lt;topicmeta&gt;
    &lt;critdates&gt;
      &lt;created date="2025-01-15"/&gt;
      &lt;revised modified="2025-02-18"/&gt;
    &lt;/critdates&gt;
  &lt;/topicmeta&gt;
  &lt;topicref href="capitulo1.dita"/&gt;
  &lt;topicref href="capitulo2.dita"/&gt;
&lt;/map&gt;
Note: only the last issue version will be shown.</t>
  </si>
  <si>
    <t>Decide which information sets, given in the list  to be used and how to manage them (see BRDP-D1-00052 for infonames):
1. Descriptive Information Set (DIS): descripción del sistema, funciones, arquitectura, características.
2. Procedural Information Set (PRCIS): Procedimientos: operación, mantenimiento, instalación, retirada, comprobaciones.
3. Fault Information Set (FIS): Diagnóstico, aislamiento de fallos, troubleshooting, síntomas, causas.
4. Illustrated Parts Data Information Set (IPD / IPD-IS): Listas de piezas + ilustraciones + exploded views.
5. Wiring Information Set (WIS): Diagramas eléctricos, cableado, interconexiones.
6. Service Bulletin Information Set (SBIS): Boletines de servicio o de ingeniería, instrucciones de modificación o actualización.
7. Learning Information Set (LIS): Entrenamiento, contenidos formativos, materiales didácticos.
8. Provisioning Information Set (PIS): Aprovisionamiento logístico, repuestos, listas codificadas para logística.
9. Technical Specification Information Set (TSIS): Especificaciones técnicas, requisitos, parámetros de diseño.
10. Forms Information Set (FORIS): Información relacionada con formularios, plantillas y hojas administrativas
11. Quality Management Information Set (QMIS): Información relacionada con sistema de calidad: Procedimientos de calidad, WIs, CLs.
12. Project Management Information Set (PMIS: información de proyecto: Planning, Gestión de cambios, Minutas y controles, Matrices RACI, de Riesgos, Políticas de empresa, etc.
13. Operaciones: manuales de operaciones</t>
  </si>
  <si>
    <t>Decide which SIRs to be used:
enterprisesSIR.dita
partsSIR.dita
suppliesSIR.dita
toolsSIR.dita
dangerSIR.dita
warningSIR.dita
cautionSIR.dita
noticeSIR.dita
circuitBrakersSIR.dita
zonesSIR.dita
accessPointsSIR.dita
requirementsSIR.dita
indicatorsSIR.dita
acronymsSIR.dita</t>
  </si>
  <si>
    <r>
      <t xml:space="preserve">Topics and Maps coding and identification codes strategy (Naming):
0- Is coding insteed of wording a need for better understanding?
Generic S1000D nomenclature:
1- Is MOI (Model Identification) metadata to be used? Which ones?
2- Is SDC (System difference code) metadata to be used? Which one?
3- Is basic SNS (Standard Numbering System) metadata to be used? Which codes which naming? 
4- Is EX (extra coding) need? Just if the document management is too complex
5- Is IC (infocode) need? Just to know about the schema type applied in each infoset and infoname.
6- Is L (item location code) a need? 
*All the questions are also for: </t>
    </r>
    <r>
      <rPr>
        <b/>
        <sz val="10"/>
        <rFont val="Arial"/>
        <family val="2"/>
      </rPr>
      <t>file name</t>
    </r>
    <r>
      <rPr>
        <sz val="10"/>
        <rFont val="Arial"/>
        <family val="2"/>
      </rPr>
      <t>.
MOI-SDC-SNS-EX-IC-L</t>
    </r>
  </si>
  <si>
    <t>The recommendation is wording with dashes for topis, and for ditamaps to take from generic nomenclature if there are real needs for the organization, adding a couple of words for better understanding if the organzation considers also helpful. 
Use Fixed and Dynamic Variables.
0- Words for file naming (2 or 3 words with dashes /no spaces)
-------
1- The Model Identification (MOI) code is provided by the NCI Agency to the Contractor at the start of the project (request on Email: spec2000m@nspa.nato.int). (e.g.:LHTSTD, DITALTEN, etc.)
2- It refers to product variants, if there is not any variants, it is not need to use. If it has variants, use UOC method (e.g.:A,B, C...).
3- Basic structure is YY-YY-YY (see S1000D tables)
- System YY
- Subsystem Y 
- Sub-Subsystem Y 
- Unit or Assembly YY
4- 2 numbers shall be enough, but can be used more.
5- Infocede (IC) table shall be create and used to know the content type (3numbers+1letter for IC variant).
6- If extra naming for location is necesary, use letters (A, B, C, ...) per each location.
Extra metadata:
- Language: See BRDP-D1-00020 -&gt; Metadata example in each ditamap or dita file: &lt;concept  xml:lang="en-US"
- issueInfo (issueNumber and inWork): NOT Required as it is controlled in the CCMS
- issueDate: See BRDP-D1-00049 -&gt; Metadata example in each ditamap or dita file: 
&lt;topic&gt;&lt;prolog&gt;&lt;critdates&gt;&lt;created date="2025-01-15"/&gt; &lt;revised modified="2025-02-18"/&gt;
o &lt;map&gt;&lt;topicmeta&gt;&lt;critdates&gt;&lt;created date="2025-01-15"/&gt;&lt;revised modified="2025-02-18"/&gt;
- techName: NOT Required as it is controlled with infoName
- infoName: See BRDP-D1-00004 and 00054-&gt; use infosets.ditamap based on &lt;subjectScheme&gt; 
- issueType: NOT Required as it is controlled in the CCMS ("new" status, etc.)
- securityClassification: See BRDP-D1-00016 -&gt; Metadata example in each ditamap: &lt;map&gt;&lt;topicmeta&gt;&lt;data name="security-classification" value="restricted"/&gt;
- copyright: See BRDP-D1-00065 -&gt; Copyright should be marked as reusable content called from snippets.ditamap. Metadata example in each ditamap or dita file: it shall be inserted:
&lt;topic&gt;&lt;prolog conref="copyright.dita#copyright/copyright-prolog"/&gt;
- originator enterpriseCode / enterpriseName (company creator): See BRDP-D1-00002 which calls BRDP-D1-00010 -&gt; mark as reusable content through SIR.ditamap and conrefs (See BRDP-D1-00011 for convention naming). 
- responsiblePartnerCompanyenterpriseCode / enterpriseName (company request): Use Fixed and Dynamic Variables in the main ditamap
- applicCrossRefTableRef: See BRDP-D1-00319 and BRDP-D1-00323 to define the applic keys in each ditamap (See BRDP-D1-00390 and BRDP-D1-00395 for define applic convention names)
- dataDistribution: marked through applicability.ditamap (See BRDP-D1-00319 and BRDP-D1-00323) to define the keys (See BRDP-D1-00390 and BRDP-D1-00395 for define applic convention names).
- CIR: See BRDP-D1-00010 -&gt; mark as reusable content through SIR.ditamap and conrefs (See BRDP-D1-00011 for convention naming). 
- brexDmRef: NOT Required. See BRDP-D1-00564 -&gt; DITA does not allow to call a schematron file, so a manual action from the editor is necessary. 
- qualityAssurance: See BRDP-D1-00017 -&gt; Metadata example in each ditamap (NOT Required at topic level): &lt;map&gt;topicmeta&gt;&lt;data name="quality-assurance" value="unverified"/&gt;Values for S1000D projects: Unverified, tabletop, onObject, tableTopAndOnObject.</t>
  </si>
  <si>
    <t>Validation Status</t>
  </si>
  <si>
    <t>Comment</t>
  </si>
  <si>
    <t>BRDP  identifier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</si>
</sst>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sz val="10"/>
      <color indexed="8"/>
      <name val="Arial"/>
      <family val="2"/>
    </font>
    <font>
      <sz val="9"/>
      <name val="Arial"/>
      <family val="2"/>
    </font>
    <font>
      <b/>
      <sz val="10"/>
      <name val="Arial"/>
      <family val="2"/>
    </font>
    <font>
      <sz val="10"/>
      <name val="Arial"/>
      <family val="2"/>
    </font>
    <font>
      <sz val="10"/>
      <color rgb="FFFF0000"/>
      <name val="Arial"/>
      <family val="2"/>
    </font>
    <font>
      <sz val="8"/>
      <name val="Arial"/>
      <family val="2"/>
    </font>
    <font>
      <b/>
      <sz val="10"/>
      <color rgb="FFFF0000"/>
      <name val="Arial"/>
      <family val="2"/>
    </font>
    <font>
      <sz val="8"/>
      <name val="Arial"/>
    </font>
    <font>
      <sz val="10"/>
      <color rgb="FF00B050"/>
      <name val="Arial"/>
      <family val="2"/>
    </font>
  </fonts>
  <fills count="13">
    <fill>
      <patternFill patternType="none"/>
    </fill>
    <fill>
      <patternFill patternType="gray125"/>
    </fill>
    <fill>
      <patternFill patternType="solid">
        <fgColor theme="0" tint="-4.9989318521683403E-2"/>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0" tint="-0.14999847407452621"/>
        <bgColor indexed="64"/>
      </patternFill>
    </fill>
  </fills>
  <borders count="5">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2">
    <xf numFmtId="0" fontId="0" fillId="0" borderId="0"/>
    <xf numFmtId="0" fontId="1" fillId="0" borderId="0"/>
  </cellStyleXfs>
  <cellXfs count="63">
    <xf numFmtId="0" fontId="0" fillId="0" borderId="0" xfId="0"/>
    <xf numFmtId="0" fontId="0" fillId="0" borderId="0" xfId="0" applyAlignment="1">
      <alignment vertical="top" wrapText="1"/>
    </xf>
    <xf numFmtId="0" fontId="2" fillId="0" borderId="0" xfId="0" applyFont="1" applyAlignment="1">
      <alignment horizontal="justify" vertical="top" wrapText="1"/>
    </xf>
    <xf numFmtId="0" fontId="2" fillId="0" borderId="0" xfId="0" applyFont="1" applyAlignment="1">
      <alignment vertical="top" wrapText="1"/>
    </xf>
    <xf numFmtId="0" fontId="0" fillId="0" borderId="0" xfId="0" applyAlignment="1">
      <alignment horizontal="left" vertical="top" wrapText="1"/>
    </xf>
    <xf numFmtId="49" fontId="0" fillId="0" borderId="0" xfId="0" applyNumberFormat="1" applyAlignment="1">
      <alignment vertical="top" wrapText="1"/>
    </xf>
    <xf numFmtId="0" fontId="0" fillId="0" borderId="0" xfId="0" applyAlignment="1">
      <alignment wrapText="1"/>
    </xf>
    <xf numFmtId="49" fontId="0" fillId="0" borderId="0" xfId="0" applyNumberFormat="1" applyAlignment="1">
      <alignment horizontal="left" vertical="top" wrapText="1"/>
    </xf>
    <xf numFmtId="0" fontId="0" fillId="0" borderId="0" xfId="0" quotePrefix="1" applyAlignment="1">
      <alignment horizontal="left" vertical="top" wrapText="1"/>
    </xf>
    <xf numFmtId="0" fontId="3" fillId="0" borderId="0" xfId="0" applyFont="1" applyAlignment="1">
      <alignment vertical="top" wrapText="1"/>
    </xf>
    <xf numFmtId="49" fontId="0" fillId="0" borderId="0" xfId="0" quotePrefix="1" applyNumberFormat="1" applyAlignment="1">
      <alignment vertical="top" wrapText="1"/>
    </xf>
    <xf numFmtId="49" fontId="1" fillId="0" borderId="0" xfId="1" applyNumberFormat="1" applyAlignment="1">
      <alignment horizontal="left" vertical="top" wrapText="1"/>
    </xf>
    <xf numFmtId="0" fontId="4" fillId="0" borderId="0" xfId="0" applyFont="1" applyAlignment="1">
      <alignment horizontal="left" vertical="top" wrapText="1"/>
    </xf>
    <xf numFmtId="0" fontId="4" fillId="2" borderId="1" xfId="0" applyFont="1" applyFill="1" applyBorder="1" applyAlignment="1">
      <alignment horizontal="left" vertical="top" wrapText="1"/>
    </xf>
    <xf numFmtId="0" fontId="3" fillId="0" borderId="2" xfId="0" applyFont="1" applyBorder="1" applyAlignment="1">
      <alignment horizontal="left" vertical="top" wrapText="1"/>
    </xf>
    <xf numFmtId="0" fontId="3" fillId="0" borderId="2" xfId="0" applyFont="1" applyBorder="1" applyAlignment="1">
      <alignment vertical="top" wrapText="1"/>
    </xf>
    <xf numFmtId="0" fontId="3" fillId="2" borderId="3" xfId="0" applyFont="1" applyFill="1" applyBorder="1" applyAlignment="1">
      <alignment vertical="top" wrapText="1"/>
    </xf>
    <xf numFmtId="0" fontId="3" fillId="2" borderId="2" xfId="0" applyFont="1" applyFill="1" applyBorder="1" applyAlignment="1">
      <alignment vertical="top" wrapText="1"/>
    </xf>
    <xf numFmtId="0" fontId="4" fillId="2" borderId="0" xfId="0" applyFont="1" applyFill="1" applyAlignment="1">
      <alignment horizontal="left" vertical="top" wrapText="1"/>
    </xf>
    <xf numFmtId="0" fontId="4" fillId="2" borderId="0" xfId="0" quotePrefix="1" applyFont="1" applyFill="1" applyAlignment="1">
      <alignment horizontal="left" vertical="top" wrapText="1"/>
    </xf>
    <xf numFmtId="49" fontId="4" fillId="2" borderId="1" xfId="0" applyNumberFormat="1" applyFont="1" applyFill="1" applyBorder="1" applyAlignment="1">
      <alignment vertical="top" wrapText="1"/>
    </xf>
    <xf numFmtId="0" fontId="4" fillId="0" borderId="0" xfId="0" applyFont="1"/>
    <xf numFmtId="49" fontId="4" fillId="2" borderId="0" xfId="0" applyNumberFormat="1" applyFont="1" applyFill="1" applyAlignment="1">
      <alignment vertical="top" wrapText="1"/>
    </xf>
    <xf numFmtId="0" fontId="4" fillId="2" borderId="4" xfId="0" applyFont="1" applyFill="1" applyBorder="1" applyAlignment="1">
      <alignment horizontal="left" vertical="top" wrapText="1"/>
    </xf>
    <xf numFmtId="0" fontId="4" fillId="3" borderId="0" xfId="0" applyFont="1" applyFill="1" applyAlignment="1">
      <alignment horizontal="left" vertical="top" wrapText="1"/>
    </xf>
    <xf numFmtId="49" fontId="4" fillId="3" borderId="0" xfId="0" applyNumberFormat="1" applyFont="1" applyFill="1" applyAlignment="1">
      <alignment vertical="top" wrapText="1"/>
    </xf>
    <xf numFmtId="0" fontId="4" fillId="4" borderId="0" xfId="0" applyFont="1" applyFill="1" applyAlignment="1">
      <alignment horizontal="left" vertical="top" wrapText="1"/>
    </xf>
    <xf numFmtId="49" fontId="4" fillId="4" borderId="0" xfId="0" applyNumberFormat="1" applyFont="1" applyFill="1" applyAlignment="1">
      <alignment vertical="top" wrapText="1"/>
    </xf>
    <xf numFmtId="49" fontId="4" fillId="4" borderId="0" xfId="0" applyNumberFormat="1" applyFont="1" applyFill="1" applyAlignment="1">
      <alignment vertical="center" wrapText="1"/>
    </xf>
    <xf numFmtId="0" fontId="4" fillId="4" borderId="0" xfId="0" applyFont="1" applyFill="1" applyAlignment="1">
      <alignment horizontal="left" vertical="center" wrapText="1"/>
    </xf>
    <xf numFmtId="49" fontId="4" fillId="3" borderId="0" xfId="0" applyNumberFormat="1" applyFont="1" applyFill="1" applyAlignment="1">
      <alignment vertical="center" wrapText="1"/>
    </xf>
    <xf numFmtId="0" fontId="5" fillId="2" borderId="1" xfId="0" applyFont="1" applyFill="1" applyBorder="1" applyAlignment="1">
      <alignment horizontal="left" vertical="top" wrapText="1"/>
    </xf>
    <xf numFmtId="0" fontId="4" fillId="5" borderId="0" xfId="0" applyFont="1" applyFill="1" applyAlignment="1">
      <alignment horizontal="left" vertical="top" wrapText="1"/>
    </xf>
    <xf numFmtId="0" fontId="0" fillId="4" borderId="0" xfId="0" quotePrefix="1" applyFill="1" applyAlignment="1">
      <alignment horizontal="left" vertical="top" wrapText="1"/>
    </xf>
    <xf numFmtId="0" fontId="0" fillId="4" borderId="0" xfId="0" applyFill="1" applyAlignment="1">
      <alignment wrapText="1"/>
    </xf>
    <xf numFmtId="0" fontId="5" fillId="2" borderId="0" xfId="0" applyFont="1" applyFill="1" applyAlignment="1">
      <alignment horizontal="left" vertical="top" wrapText="1"/>
    </xf>
    <xf numFmtId="49" fontId="5" fillId="2" borderId="0" xfId="0" applyNumberFormat="1" applyFont="1" applyFill="1" applyAlignment="1">
      <alignment vertical="top" wrapText="1"/>
    </xf>
    <xf numFmtId="49" fontId="4" fillId="0" borderId="0" xfId="0" applyNumberFormat="1" applyFont="1" applyAlignment="1">
      <alignment horizontal="left" vertical="top" wrapText="1"/>
    </xf>
    <xf numFmtId="0" fontId="5" fillId="2" borderId="0" xfId="0" quotePrefix="1" applyFont="1" applyFill="1" applyAlignment="1">
      <alignment horizontal="left" vertical="top" wrapText="1"/>
    </xf>
    <xf numFmtId="0" fontId="4" fillId="0" borderId="0" xfId="0" applyFont="1" applyAlignment="1">
      <alignment vertical="top" wrapText="1"/>
    </xf>
    <xf numFmtId="0" fontId="4" fillId="8" borderId="0" xfId="0" applyFont="1" applyFill="1" applyAlignment="1">
      <alignment horizontal="left" vertical="top" wrapText="1"/>
    </xf>
    <xf numFmtId="0" fontId="4" fillId="8" borderId="1" xfId="0" applyFont="1" applyFill="1" applyBorder="1" applyAlignment="1">
      <alignment horizontal="left" vertical="top" wrapText="1"/>
    </xf>
    <xf numFmtId="0" fontId="4" fillId="10" borderId="0" xfId="0" quotePrefix="1" applyFont="1" applyFill="1" applyAlignment="1">
      <alignment horizontal="left" vertical="top" wrapText="1"/>
    </xf>
    <xf numFmtId="0" fontId="4" fillId="10" borderId="0" xfId="0" applyFont="1" applyFill="1" applyAlignment="1">
      <alignment horizontal="left" vertical="top" wrapText="1"/>
    </xf>
    <xf numFmtId="0" fontId="3" fillId="0" borderId="2" xfId="0" applyFont="1" applyBorder="1" applyAlignment="1">
      <alignment horizontal="center" vertical="top" wrapText="1"/>
    </xf>
    <xf numFmtId="0" fontId="3" fillId="6" borderId="2" xfId="0" applyFont="1" applyFill="1" applyBorder="1" applyAlignment="1">
      <alignment horizontal="center" vertical="top" wrapText="1"/>
    </xf>
    <xf numFmtId="0" fontId="3" fillId="7" borderId="2" xfId="0" applyFont="1" applyFill="1" applyBorder="1" applyAlignment="1">
      <alignment horizontal="center" vertical="top" wrapText="1"/>
    </xf>
    <xf numFmtId="0" fontId="3" fillId="2" borderId="2"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9" borderId="2" xfId="0" applyFont="1" applyFill="1" applyBorder="1" applyAlignment="1">
      <alignment horizontal="center" vertical="top" wrapText="1"/>
    </xf>
    <xf numFmtId="49" fontId="4" fillId="2" borderId="0" xfId="0" quotePrefix="1" applyNumberFormat="1" applyFont="1" applyFill="1" applyAlignment="1">
      <alignment vertical="top" wrapText="1"/>
    </xf>
    <xf numFmtId="49" fontId="4" fillId="0" borderId="0" xfId="1" applyNumberFormat="1" applyFont="1" applyAlignment="1">
      <alignment horizontal="left" vertical="top" wrapText="1"/>
    </xf>
    <xf numFmtId="0" fontId="4" fillId="0" borderId="0" xfId="0" quotePrefix="1" applyFont="1" applyAlignment="1">
      <alignment horizontal="left" vertical="top" wrapText="1"/>
    </xf>
    <xf numFmtId="0" fontId="3" fillId="11" borderId="2" xfId="0" applyFont="1" applyFill="1" applyBorder="1" applyAlignment="1">
      <alignment horizontal="center" vertical="top" wrapText="1"/>
    </xf>
    <xf numFmtId="49" fontId="4" fillId="0" borderId="0" xfId="0" applyNumberFormat="1" applyFont="1" applyAlignment="1">
      <alignment vertical="top" wrapText="1"/>
    </xf>
    <xf numFmtId="0" fontId="4" fillId="0" borderId="1" xfId="0" applyFont="1" applyBorder="1" applyAlignment="1">
      <alignment horizontal="left" vertical="top" wrapText="1"/>
    </xf>
    <xf numFmtId="49" fontId="4" fillId="12" borderId="0" xfId="0" applyNumberFormat="1" applyFont="1" applyFill="1" applyAlignment="1">
      <alignment vertical="top" wrapText="1"/>
    </xf>
    <xf numFmtId="0" fontId="4" fillId="12" borderId="1" xfId="0" applyFont="1" applyFill="1" applyBorder="1" applyAlignment="1">
      <alignment horizontal="left" vertical="top" wrapText="1"/>
    </xf>
    <xf numFmtId="49" fontId="5" fillId="12" borderId="0" xfId="0" applyNumberFormat="1" applyFont="1" applyFill="1" applyAlignment="1">
      <alignment vertical="top" wrapText="1"/>
    </xf>
    <xf numFmtId="0" fontId="4" fillId="12" borderId="0" xfId="0" applyFont="1" applyFill="1" applyAlignment="1">
      <alignment horizontal="left" vertical="top" wrapText="1"/>
    </xf>
    <xf numFmtId="0" fontId="5" fillId="12" borderId="0" xfId="0" applyFont="1" applyFill="1" applyAlignment="1">
      <alignment horizontal="left" vertical="top" wrapText="1"/>
    </xf>
    <xf numFmtId="0" fontId="4" fillId="12" borderId="0" xfId="0" quotePrefix="1" applyFont="1" applyFill="1" applyAlignment="1">
      <alignment horizontal="left" vertical="top" wrapText="1"/>
    </xf>
    <xf numFmtId="49" fontId="4" fillId="12" borderId="0" xfId="0" quotePrefix="1" applyNumberFormat="1" applyFont="1" applyFill="1" applyAlignment="1">
      <alignment vertical="top" wrapText="1"/>
    </xf>
  </cellXfs>
  <cellStyles count="2">
    <cellStyle name="Normal" xfId="0" builtinId="0"/>
    <cellStyle name="Standard_Att" xfId="1" xr:uid="{00000000-0005-0000-0000-000001000000}"/>
  </cellStyles>
  <dxfs count="8">
    <dxf>
      <font>
        <color rgb="FF9C0006"/>
      </font>
      <fill>
        <patternFill>
          <bgColor rgb="FFFFC7CE"/>
        </patternFill>
      </fill>
    </dxf>
    <dxf>
      <font>
        <color rgb="FF006100"/>
      </font>
      <fill>
        <patternFill>
          <bgColor rgb="FFC6EFCE"/>
        </patternFill>
      </fill>
    </dxf>
    <dxf>
      <font>
        <color theme="9" tint="-0.499984740745262"/>
      </font>
      <fill>
        <patternFill>
          <bgColor theme="9" tint="0.39994506668294322"/>
        </patternFill>
      </fill>
    </dxf>
    <dxf>
      <font>
        <color rgb="FF9C0006"/>
      </font>
      <fill>
        <patternFill>
          <bgColor rgb="FFFFC7CE"/>
        </patternFill>
      </fill>
    </dxf>
    <dxf>
      <font>
        <color rgb="FF006100"/>
      </font>
      <fill>
        <patternFill>
          <bgColor rgb="FFC6EFCE"/>
        </patternFill>
      </fill>
    </dxf>
    <dxf>
      <font>
        <color theme="9" tint="-0.499984740745262"/>
      </font>
      <fill>
        <patternFill>
          <bgColor theme="9" tint="0.39994506668294322"/>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81280</xdr:colOff>
      <xdr:row>6</xdr:row>
      <xdr:rowOff>802640</xdr:rowOff>
    </xdr:from>
    <xdr:to>
      <xdr:col>7</xdr:col>
      <xdr:colOff>1127760</xdr:colOff>
      <xdr:row>6</xdr:row>
      <xdr:rowOff>4437719</xdr:rowOff>
    </xdr:to>
    <xdr:grpSp>
      <xdr:nvGrpSpPr>
        <xdr:cNvPr id="3" name="Grupo 2">
          <a:extLst>
            <a:ext uri="{FF2B5EF4-FFF2-40B4-BE49-F238E27FC236}">
              <a16:creationId xmlns:a16="http://schemas.microsoft.com/office/drawing/2014/main" id="{0BAA94D4-81FE-4168-B091-EB907E85C67E}"/>
            </a:ext>
          </a:extLst>
        </xdr:cNvPr>
        <xdr:cNvGrpSpPr/>
      </xdr:nvGrpSpPr>
      <xdr:grpSpPr>
        <a:xfrm>
          <a:off x="5464163" y="10751772"/>
          <a:ext cx="1046480" cy="3635079"/>
          <a:chOff x="15453360" y="1706880"/>
          <a:chExt cx="2209986" cy="11173799"/>
        </a:xfrm>
      </xdr:grpSpPr>
      <xdr:pic>
        <xdr:nvPicPr>
          <xdr:cNvPr id="4" name="Imagen 3">
            <a:extLst>
              <a:ext uri="{FF2B5EF4-FFF2-40B4-BE49-F238E27FC236}">
                <a16:creationId xmlns:a16="http://schemas.microsoft.com/office/drawing/2014/main" id="{2C1B7FE9-7080-CCA6-C51D-8C8343E5CEE4}"/>
              </a:ext>
            </a:extLst>
          </xdr:cNvPr>
          <xdr:cNvPicPr>
            <a:picLocks noChangeAspect="1"/>
          </xdr:cNvPicPr>
        </xdr:nvPicPr>
        <xdr:blipFill>
          <a:blip xmlns:r="http://schemas.openxmlformats.org/officeDocument/2006/relationships" r:embed="rId1"/>
          <a:stretch>
            <a:fillRect/>
          </a:stretch>
        </xdr:blipFill>
        <xdr:spPr>
          <a:xfrm>
            <a:off x="15453360" y="1706880"/>
            <a:ext cx="2149026" cy="3109229"/>
          </a:xfrm>
          <a:prstGeom prst="rect">
            <a:avLst/>
          </a:prstGeom>
        </xdr:spPr>
      </xdr:pic>
      <xdr:pic>
        <xdr:nvPicPr>
          <xdr:cNvPr id="5" name="Imagen 4">
            <a:extLst>
              <a:ext uri="{FF2B5EF4-FFF2-40B4-BE49-F238E27FC236}">
                <a16:creationId xmlns:a16="http://schemas.microsoft.com/office/drawing/2014/main" id="{CAFA4401-5C30-AD3F-A582-396A164887C8}"/>
              </a:ext>
            </a:extLst>
          </xdr:cNvPr>
          <xdr:cNvPicPr>
            <a:picLocks noChangeAspect="1"/>
          </xdr:cNvPicPr>
        </xdr:nvPicPr>
        <xdr:blipFill>
          <a:blip xmlns:r="http://schemas.openxmlformats.org/officeDocument/2006/relationships" r:embed="rId2"/>
          <a:stretch>
            <a:fillRect/>
          </a:stretch>
        </xdr:blipFill>
        <xdr:spPr>
          <a:xfrm>
            <a:off x="15504160" y="4826000"/>
            <a:ext cx="2149026" cy="4122777"/>
          </a:xfrm>
          <a:prstGeom prst="rect">
            <a:avLst/>
          </a:prstGeom>
        </xdr:spPr>
      </xdr:pic>
      <xdr:pic>
        <xdr:nvPicPr>
          <xdr:cNvPr id="6" name="Imagen 5">
            <a:extLst>
              <a:ext uri="{FF2B5EF4-FFF2-40B4-BE49-F238E27FC236}">
                <a16:creationId xmlns:a16="http://schemas.microsoft.com/office/drawing/2014/main" id="{4A73CF9E-941B-D60B-818F-72DE2EFD495C}"/>
              </a:ext>
            </a:extLst>
          </xdr:cNvPr>
          <xdr:cNvPicPr>
            <a:picLocks noChangeAspect="1"/>
          </xdr:cNvPicPr>
        </xdr:nvPicPr>
        <xdr:blipFill>
          <a:blip xmlns:r="http://schemas.openxmlformats.org/officeDocument/2006/relationships" r:embed="rId3"/>
          <a:stretch>
            <a:fillRect/>
          </a:stretch>
        </xdr:blipFill>
        <xdr:spPr>
          <a:xfrm>
            <a:off x="15514320" y="8971280"/>
            <a:ext cx="2149026" cy="3909399"/>
          </a:xfrm>
          <a:prstGeom prst="rect">
            <a:avLst/>
          </a:prstGeom>
        </xdr:spPr>
      </xdr:pic>
    </xdr:grpSp>
    <xdr:clientData/>
  </xdr:twoCellAnchor>
  <xdr:twoCellAnchor editAs="oneCell">
    <xdr:from>
      <xdr:col>7</xdr:col>
      <xdr:colOff>1493521</xdr:colOff>
      <xdr:row>357</xdr:row>
      <xdr:rowOff>40640</xdr:rowOff>
    </xdr:from>
    <xdr:to>
      <xdr:col>9</xdr:col>
      <xdr:colOff>0</xdr:colOff>
      <xdr:row>358</xdr:row>
      <xdr:rowOff>527896</xdr:rowOff>
    </xdr:to>
    <xdr:pic>
      <xdr:nvPicPr>
        <xdr:cNvPr id="7" name="Imagen 6">
          <a:extLst>
            <a:ext uri="{FF2B5EF4-FFF2-40B4-BE49-F238E27FC236}">
              <a16:creationId xmlns:a16="http://schemas.microsoft.com/office/drawing/2014/main" id="{8BCC9D80-21D2-42FB-9F05-90101C0D78A7}"/>
            </a:ext>
          </a:extLst>
        </xdr:cNvPr>
        <xdr:cNvPicPr>
          <a:picLocks noChangeAspect="1"/>
        </xdr:cNvPicPr>
      </xdr:nvPicPr>
      <xdr:blipFill>
        <a:blip xmlns:r="http://schemas.openxmlformats.org/officeDocument/2006/relationships" r:embed="rId4"/>
        <a:stretch>
          <a:fillRect/>
        </a:stretch>
      </xdr:blipFill>
      <xdr:spPr>
        <a:xfrm>
          <a:off x="6868161" y="558800"/>
          <a:ext cx="1899919" cy="1676400"/>
        </a:xfrm>
        <a:prstGeom prst="rect">
          <a:avLst/>
        </a:prstGeom>
      </xdr:spPr>
    </xdr:pic>
    <xdr:clientData/>
  </xdr:twoCellAnchor>
  <xdr:twoCellAnchor>
    <xdr:from>
      <xdr:col>8</xdr:col>
      <xdr:colOff>213359</xdr:colOff>
      <xdr:row>101</xdr:row>
      <xdr:rowOff>2100942</xdr:rowOff>
    </xdr:from>
    <xdr:to>
      <xdr:col>8</xdr:col>
      <xdr:colOff>1513114</xdr:colOff>
      <xdr:row>101</xdr:row>
      <xdr:rowOff>5191759</xdr:rowOff>
    </xdr:to>
    <xdr:grpSp>
      <xdr:nvGrpSpPr>
        <xdr:cNvPr id="8" name="Grupo 7">
          <a:extLst>
            <a:ext uri="{FF2B5EF4-FFF2-40B4-BE49-F238E27FC236}">
              <a16:creationId xmlns:a16="http://schemas.microsoft.com/office/drawing/2014/main" id="{37D7F66A-0C71-45D9-A7AE-15E159ACC3B5}"/>
            </a:ext>
          </a:extLst>
        </xdr:cNvPr>
        <xdr:cNvGrpSpPr/>
      </xdr:nvGrpSpPr>
      <xdr:grpSpPr>
        <a:xfrm>
          <a:off x="7125992" y="199266286"/>
          <a:ext cx="1299755" cy="3082190"/>
          <a:chOff x="8442960" y="42936160"/>
          <a:chExt cx="2377440" cy="7823164"/>
        </a:xfrm>
      </xdr:grpSpPr>
      <xdr:pic>
        <xdr:nvPicPr>
          <xdr:cNvPr id="9" name="Imagen 8">
            <a:extLst>
              <a:ext uri="{FF2B5EF4-FFF2-40B4-BE49-F238E27FC236}">
                <a16:creationId xmlns:a16="http://schemas.microsoft.com/office/drawing/2014/main" id="{8A49836E-9C3C-C088-197F-B0E473E0714C}"/>
              </a:ext>
            </a:extLst>
          </xdr:cNvPr>
          <xdr:cNvPicPr>
            <a:picLocks noChangeAspect="1"/>
          </xdr:cNvPicPr>
        </xdr:nvPicPr>
        <xdr:blipFill>
          <a:blip xmlns:r="http://schemas.openxmlformats.org/officeDocument/2006/relationships" r:embed="rId5"/>
          <a:stretch>
            <a:fillRect/>
          </a:stretch>
        </xdr:blipFill>
        <xdr:spPr>
          <a:xfrm>
            <a:off x="8442960" y="42936160"/>
            <a:ext cx="2377440" cy="3483611"/>
          </a:xfrm>
          <a:prstGeom prst="rect">
            <a:avLst/>
          </a:prstGeom>
        </xdr:spPr>
      </xdr:pic>
      <xdr:pic>
        <xdr:nvPicPr>
          <xdr:cNvPr id="10" name="Imagen 9">
            <a:extLst>
              <a:ext uri="{FF2B5EF4-FFF2-40B4-BE49-F238E27FC236}">
                <a16:creationId xmlns:a16="http://schemas.microsoft.com/office/drawing/2014/main" id="{5E69407C-66E6-A675-1415-6D7A66436973}"/>
              </a:ext>
            </a:extLst>
          </xdr:cNvPr>
          <xdr:cNvPicPr>
            <a:picLocks noChangeAspect="1"/>
          </xdr:cNvPicPr>
        </xdr:nvPicPr>
        <xdr:blipFill>
          <a:blip xmlns:r="http://schemas.openxmlformats.org/officeDocument/2006/relationships" r:embed="rId6"/>
          <a:stretch>
            <a:fillRect/>
          </a:stretch>
        </xdr:blipFill>
        <xdr:spPr>
          <a:xfrm>
            <a:off x="8463280" y="46421040"/>
            <a:ext cx="2316480" cy="4338284"/>
          </a:xfrm>
          <a:prstGeom prst="rect">
            <a:avLst/>
          </a:prstGeom>
        </xdr:spPr>
      </xdr:pic>
    </xdr:grpSp>
    <xdr:clientData/>
  </xdr:twoCellAnchor>
  <xdr:twoCellAnchor>
    <xdr:from>
      <xdr:col>7</xdr:col>
      <xdr:colOff>104504</xdr:colOff>
      <xdr:row>331</xdr:row>
      <xdr:rowOff>1534886</xdr:rowOff>
    </xdr:from>
    <xdr:to>
      <xdr:col>7</xdr:col>
      <xdr:colOff>1306285</xdr:colOff>
      <xdr:row>331</xdr:row>
      <xdr:rowOff>4727509</xdr:rowOff>
    </xdr:to>
    <xdr:grpSp>
      <xdr:nvGrpSpPr>
        <xdr:cNvPr id="11" name="Grupo 10">
          <a:extLst>
            <a:ext uri="{FF2B5EF4-FFF2-40B4-BE49-F238E27FC236}">
              <a16:creationId xmlns:a16="http://schemas.microsoft.com/office/drawing/2014/main" id="{3E88E2F6-6416-465C-B148-FAD8CE96D901}"/>
            </a:ext>
          </a:extLst>
        </xdr:cNvPr>
        <xdr:cNvGrpSpPr/>
      </xdr:nvGrpSpPr>
      <xdr:grpSpPr>
        <a:xfrm>
          <a:off x="5487387" y="722530659"/>
          <a:ext cx="1201781" cy="596073"/>
          <a:chOff x="16093440" y="109077760"/>
          <a:chExt cx="1836579" cy="6116526"/>
        </a:xfrm>
      </xdr:grpSpPr>
      <xdr:pic>
        <xdr:nvPicPr>
          <xdr:cNvPr id="12" name="Imagen 11">
            <a:extLst>
              <a:ext uri="{FF2B5EF4-FFF2-40B4-BE49-F238E27FC236}">
                <a16:creationId xmlns:a16="http://schemas.microsoft.com/office/drawing/2014/main" id="{DEF65612-2229-41A5-F8BC-B0AF1AD871B4}"/>
              </a:ext>
            </a:extLst>
          </xdr:cNvPr>
          <xdr:cNvPicPr>
            <a:picLocks noChangeAspect="1"/>
          </xdr:cNvPicPr>
        </xdr:nvPicPr>
        <xdr:blipFill>
          <a:blip xmlns:r="http://schemas.openxmlformats.org/officeDocument/2006/relationships" r:embed="rId7"/>
          <a:stretch>
            <a:fillRect/>
          </a:stretch>
        </xdr:blipFill>
        <xdr:spPr>
          <a:xfrm>
            <a:off x="16103600" y="109077760"/>
            <a:ext cx="1813717" cy="3749365"/>
          </a:xfrm>
          <a:prstGeom prst="rect">
            <a:avLst/>
          </a:prstGeom>
        </xdr:spPr>
      </xdr:pic>
      <xdr:pic>
        <xdr:nvPicPr>
          <xdr:cNvPr id="13" name="Imagen 12">
            <a:extLst>
              <a:ext uri="{FF2B5EF4-FFF2-40B4-BE49-F238E27FC236}">
                <a16:creationId xmlns:a16="http://schemas.microsoft.com/office/drawing/2014/main" id="{71B2E273-9149-6B6B-2BD0-5BC4AE0DD79E}"/>
              </a:ext>
            </a:extLst>
          </xdr:cNvPr>
          <xdr:cNvPicPr>
            <a:picLocks noChangeAspect="1"/>
          </xdr:cNvPicPr>
        </xdr:nvPicPr>
        <xdr:blipFill>
          <a:blip xmlns:r="http://schemas.openxmlformats.org/officeDocument/2006/relationships" r:embed="rId8"/>
          <a:stretch>
            <a:fillRect/>
          </a:stretch>
        </xdr:blipFill>
        <xdr:spPr>
          <a:xfrm>
            <a:off x="16093440" y="112816640"/>
            <a:ext cx="1836579" cy="2377646"/>
          </a:xfrm>
          <a:prstGeom prst="rect">
            <a:avLst/>
          </a:prstGeom>
        </xdr:spPr>
      </xdr:pic>
    </xdr:grpSp>
    <xdr:clientData/>
  </xdr:twoCellAnchor>
  <xdr:twoCellAnchor>
    <xdr:from>
      <xdr:col>7</xdr:col>
      <xdr:colOff>64135</xdr:colOff>
      <xdr:row>336</xdr:row>
      <xdr:rowOff>1444625</xdr:rowOff>
    </xdr:from>
    <xdr:to>
      <xdr:col>7</xdr:col>
      <xdr:colOff>1265917</xdr:colOff>
      <xdr:row>337</xdr:row>
      <xdr:rowOff>7076</xdr:rowOff>
    </xdr:to>
    <xdr:grpSp>
      <xdr:nvGrpSpPr>
        <xdr:cNvPr id="14" name="Grupo 13">
          <a:extLst>
            <a:ext uri="{FF2B5EF4-FFF2-40B4-BE49-F238E27FC236}">
              <a16:creationId xmlns:a16="http://schemas.microsoft.com/office/drawing/2014/main" id="{35EF9A71-A618-46FD-8415-50E373483597}"/>
            </a:ext>
          </a:extLst>
        </xdr:cNvPr>
        <xdr:cNvGrpSpPr/>
      </xdr:nvGrpSpPr>
      <xdr:grpSpPr>
        <a:xfrm>
          <a:off x="5447018" y="736346180"/>
          <a:ext cx="1201782" cy="2657123"/>
          <a:chOff x="1798320" y="100959920"/>
          <a:chExt cx="2225230" cy="3832880"/>
        </a:xfrm>
      </xdr:grpSpPr>
      <xdr:pic>
        <xdr:nvPicPr>
          <xdr:cNvPr id="15" name="Imagen 14">
            <a:extLst>
              <a:ext uri="{FF2B5EF4-FFF2-40B4-BE49-F238E27FC236}">
                <a16:creationId xmlns:a16="http://schemas.microsoft.com/office/drawing/2014/main" id="{7F031D63-0D6B-62FE-E379-4180D0DAB4F3}"/>
              </a:ext>
            </a:extLst>
          </xdr:cNvPr>
          <xdr:cNvPicPr>
            <a:picLocks noChangeAspect="1"/>
          </xdr:cNvPicPr>
        </xdr:nvPicPr>
        <xdr:blipFill>
          <a:blip xmlns:r="http://schemas.openxmlformats.org/officeDocument/2006/relationships" r:embed="rId9"/>
          <a:stretch>
            <a:fillRect/>
          </a:stretch>
        </xdr:blipFill>
        <xdr:spPr>
          <a:xfrm>
            <a:off x="1798320" y="100959920"/>
            <a:ext cx="2209992" cy="3581710"/>
          </a:xfrm>
          <a:prstGeom prst="rect">
            <a:avLst/>
          </a:prstGeom>
        </xdr:spPr>
      </xdr:pic>
      <xdr:pic>
        <xdr:nvPicPr>
          <xdr:cNvPr id="16" name="Imagen 15">
            <a:extLst>
              <a:ext uri="{FF2B5EF4-FFF2-40B4-BE49-F238E27FC236}">
                <a16:creationId xmlns:a16="http://schemas.microsoft.com/office/drawing/2014/main" id="{4E3F1FD0-156F-F57F-95BE-6D3029526E9C}"/>
              </a:ext>
            </a:extLst>
          </xdr:cNvPr>
          <xdr:cNvPicPr>
            <a:picLocks noChangeAspect="1"/>
          </xdr:cNvPicPr>
        </xdr:nvPicPr>
        <xdr:blipFill>
          <a:blip xmlns:r="http://schemas.openxmlformats.org/officeDocument/2006/relationships" r:embed="rId10"/>
          <a:stretch>
            <a:fillRect/>
          </a:stretch>
        </xdr:blipFill>
        <xdr:spPr>
          <a:xfrm>
            <a:off x="1828800" y="104556560"/>
            <a:ext cx="2194750" cy="236240"/>
          </a:xfrm>
          <a:prstGeom prst="rect">
            <a:avLst/>
          </a:prstGeom>
        </xdr:spPr>
      </xdr:pic>
    </xdr:grpSp>
    <xdr:clientData/>
  </xdr:twoCellAnchor>
  <xdr:twoCellAnchor>
    <xdr:from>
      <xdr:col>7</xdr:col>
      <xdr:colOff>264160</xdr:colOff>
      <xdr:row>418</xdr:row>
      <xdr:rowOff>1087120</xdr:rowOff>
    </xdr:from>
    <xdr:to>
      <xdr:col>7</xdr:col>
      <xdr:colOff>1117600</xdr:colOff>
      <xdr:row>418</xdr:row>
      <xdr:rowOff>5029200</xdr:rowOff>
    </xdr:to>
    <xdr:grpSp>
      <xdr:nvGrpSpPr>
        <xdr:cNvPr id="17" name="Grupo 16">
          <a:extLst>
            <a:ext uri="{FF2B5EF4-FFF2-40B4-BE49-F238E27FC236}">
              <a16:creationId xmlns:a16="http://schemas.microsoft.com/office/drawing/2014/main" id="{8366DE3E-A7A5-48E8-9C54-BA329A92273F}"/>
            </a:ext>
          </a:extLst>
        </xdr:cNvPr>
        <xdr:cNvGrpSpPr/>
      </xdr:nvGrpSpPr>
      <xdr:grpSpPr>
        <a:xfrm>
          <a:off x="5647043" y="872826621"/>
          <a:ext cx="853440" cy="2846525"/>
          <a:chOff x="14762480" y="115915440"/>
          <a:chExt cx="2103300" cy="6685320"/>
        </a:xfrm>
      </xdr:grpSpPr>
      <xdr:pic>
        <xdr:nvPicPr>
          <xdr:cNvPr id="18" name="Imagen 17">
            <a:extLst>
              <a:ext uri="{FF2B5EF4-FFF2-40B4-BE49-F238E27FC236}">
                <a16:creationId xmlns:a16="http://schemas.microsoft.com/office/drawing/2014/main" id="{8664B42B-27E9-D45A-5158-771C023CF9E3}"/>
              </a:ext>
            </a:extLst>
          </xdr:cNvPr>
          <xdr:cNvPicPr>
            <a:picLocks noChangeAspect="1"/>
          </xdr:cNvPicPr>
        </xdr:nvPicPr>
        <xdr:blipFill>
          <a:blip xmlns:r="http://schemas.openxmlformats.org/officeDocument/2006/relationships" r:embed="rId11"/>
          <a:stretch>
            <a:fillRect/>
          </a:stretch>
        </xdr:blipFill>
        <xdr:spPr>
          <a:xfrm>
            <a:off x="14762480" y="115915440"/>
            <a:ext cx="2065199" cy="2103302"/>
          </a:xfrm>
          <a:prstGeom prst="rect">
            <a:avLst/>
          </a:prstGeom>
        </xdr:spPr>
      </xdr:pic>
      <xdr:pic>
        <xdr:nvPicPr>
          <xdr:cNvPr id="19" name="Imagen 18">
            <a:extLst>
              <a:ext uri="{FF2B5EF4-FFF2-40B4-BE49-F238E27FC236}">
                <a16:creationId xmlns:a16="http://schemas.microsoft.com/office/drawing/2014/main" id="{4EFEC6EA-1CD7-0565-6B10-CEA77D3F2A9E}"/>
              </a:ext>
            </a:extLst>
          </xdr:cNvPr>
          <xdr:cNvPicPr>
            <a:picLocks noChangeAspect="1"/>
          </xdr:cNvPicPr>
        </xdr:nvPicPr>
        <xdr:blipFill>
          <a:blip xmlns:r="http://schemas.openxmlformats.org/officeDocument/2006/relationships" r:embed="rId12"/>
          <a:stretch>
            <a:fillRect/>
          </a:stretch>
        </xdr:blipFill>
        <xdr:spPr>
          <a:xfrm>
            <a:off x="14772640" y="118038880"/>
            <a:ext cx="2057578" cy="4122777"/>
          </a:xfrm>
          <a:prstGeom prst="rect">
            <a:avLst/>
          </a:prstGeom>
        </xdr:spPr>
      </xdr:pic>
      <xdr:pic>
        <xdr:nvPicPr>
          <xdr:cNvPr id="20" name="Imagen 19">
            <a:extLst>
              <a:ext uri="{FF2B5EF4-FFF2-40B4-BE49-F238E27FC236}">
                <a16:creationId xmlns:a16="http://schemas.microsoft.com/office/drawing/2014/main" id="{1D632AA3-CE38-3683-5436-719B315F98C1}"/>
              </a:ext>
            </a:extLst>
          </xdr:cNvPr>
          <xdr:cNvPicPr>
            <a:picLocks noChangeAspect="1"/>
          </xdr:cNvPicPr>
        </xdr:nvPicPr>
        <xdr:blipFill>
          <a:blip xmlns:r="http://schemas.openxmlformats.org/officeDocument/2006/relationships" r:embed="rId13"/>
          <a:stretch>
            <a:fillRect/>
          </a:stretch>
        </xdr:blipFill>
        <xdr:spPr>
          <a:xfrm>
            <a:off x="14792960" y="122143520"/>
            <a:ext cx="2072820" cy="457240"/>
          </a:xfrm>
          <a:prstGeom prst="rect">
            <a:avLst/>
          </a:prstGeom>
        </xdr:spPr>
      </xdr:pic>
    </xdr:grpSp>
    <xdr:clientData/>
  </xdr:twoCellAnchor>
  <xdr:twoCellAnchor>
    <xdr:from>
      <xdr:col>10</xdr:col>
      <xdr:colOff>162561</xdr:colOff>
      <xdr:row>101</xdr:row>
      <xdr:rowOff>2143760</xdr:rowOff>
    </xdr:from>
    <xdr:to>
      <xdr:col>10</xdr:col>
      <xdr:colOff>1310641</xdr:colOff>
      <xdr:row>101</xdr:row>
      <xdr:rowOff>5061857</xdr:rowOff>
    </xdr:to>
    <xdr:grpSp>
      <xdr:nvGrpSpPr>
        <xdr:cNvPr id="2" name="Grupo 1">
          <a:extLst>
            <a:ext uri="{FF2B5EF4-FFF2-40B4-BE49-F238E27FC236}">
              <a16:creationId xmlns:a16="http://schemas.microsoft.com/office/drawing/2014/main" id="{DFAB71D3-6A3A-4E0B-929A-759F08CC6479}"/>
            </a:ext>
          </a:extLst>
        </xdr:cNvPr>
        <xdr:cNvGrpSpPr/>
      </xdr:nvGrpSpPr>
      <xdr:grpSpPr>
        <a:xfrm>
          <a:off x="8996010" y="199309104"/>
          <a:ext cx="1148080" cy="2918097"/>
          <a:chOff x="8442960" y="42936160"/>
          <a:chExt cx="2377440" cy="7823164"/>
        </a:xfrm>
      </xdr:grpSpPr>
      <xdr:pic>
        <xdr:nvPicPr>
          <xdr:cNvPr id="21" name="Imagen 20">
            <a:extLst>
              <a:ext uri="{FF2B5EF4-FFF2-40B4-BE49-F238E27FC236}">
                <a16:creationId xmlns:a16="http://schemas.microsoft.com/office/drawing/2014/main" id="{60D44884-D6CB-810C-6223-811405F57F0C}"/>
              </a:ext>
            </a:extLst>
          </xdr:cNvPr>
          <xdr:cNvPicPr>
            <a:picLocks noChangeAspect="1"/>
          </xdr:cNvPicPr>
        </xdr:nvPicPr>
        <xdr:blipFill>
          <a:blip xmlns:r="http://schemas.openxmlformats.org/officeDocument/2006/relationships" r:embed="rId5"/>
          <a:stretch>
            <a:fillRect/>
          </a:stretch>
        </xdr:blipFill>
        <xdr:spPr>
          <a:xfrm>
            <a:off x="8442960" y="42936160"/>
            <a:ext cx="2377440" cy="3483611"/>
          </a:xfrm>
          <a:prstGeom prst="rect">
            <a:avLst/>
          </a:prstGeom>
        </xdr:spPr>
      </xdr:pic>
      <xdr:pic>
        <xdr:nvPicPr>
          <xdr:cNvPr id="22" name="Imagen 21">
            <a:extLst>
              <a:ext uri="{FF2B5EF4-FFF2-40B4-BE49-F238E27FC236}">
                <a16:creationId xmlns:a16="http://schemas.microsoft.com/office/drawing/2014/main" id="{6415CDFE-CFD2-A46A-7AA5-5AB6C6727517}"/>
              </a:ext>
            </a:extLst>
          </xdr:cNvPr>
          <xdr:cNvPicPr>
            <a:picLocks noChangeAspect="1"/>
          </xdr:cNvPicPr>
        </xdr:nvPicPr>
        <xdr:blipFill>
          <a:blip xmlns:r="http://schemas.openxmlformats.org/officeDocument/2006/relationships" r:embed="rId6"/>
          <a:stretch>
            <a:fillRect/>
          </a:stretch>
        </xdr:blipFill>
        <xdr:spPr>
          <a:xfrm>
            <a:off x="8463280" y="46421040"/>
            <a:ext cx="2316480" cy="4338284"/>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162561</xdr:colOff>
      <xdr:row>101</xdr:row>
      <xdr:rowOff>2143760</xdr:rowOff>
    </xdr:from>
    <xdr:to>
      <xdr:col>8</xdr:col>
      <xdr:colOff>1310641</xdr:colOff>
      <xdr:row>101</xdr:row>
      <xdr:rowOff>5061857</xdr:rowOff>
    </xdr:to>
    <xdr:grpSp>
      <xdr:nvGrpSpPr>
        <xdr:cNvPr id="20" name="Grupo 19">
          <a:extLst>
            <a:ext uri="{FF2B5EF4-FFF2-40B4-BE49-F238E27FC236}">
              <a16:creationId xmlns:a16="http://schemas.microsoft.com/office/drawing/2014/main" id="{2114AF8F-519E-4312-A75A-ED70A930BD00}"/>
            </a:ext>
          </a:extLst>
        </xdr:cNvPr>
        <xdr:cNvGrpSpPr/>
      </xdr:nvGrpSpPr>
      <xdr:grpSpPr>
        <a:xfrm>
          <a:off x="15586592" y="67217027"/>
          <a:ext cx="1148080" cy="0"/>
          <a:chOff x="8442960" y="42936160"/>
          <a:chExt cx="2377440" cy="7823164"/>
        </a:xfrm>
      </xdr:grpSpPr>
      <xdr:pic>
        <xdr:nvPicPr>
          <xdr:cNvPr id="21" name="Imagen 20">
            <a:extLst>
              <a:ext uri="{FF2B5EF4-FFF2-40B4-BE49-F238E27FC236}">
                <a16:creationId xmlns:a16="http://schemas.microsoft.com/office/drawing/2014/main" id="{66FDDF98-47FD-5D41-32A6-291B10462E0E}"/>
              </a:ext>
            </a:extLst>
          </xdr:cNvPr>
          <xdr:cNvPicPr>
            <a:picLocks noChangeAspect="1"/>
          </xdr:cNvPicPr>
        </xdr:nvPicPr>
        <xdr:blipFill>
          <a:blip xmlns:r="http://schemas.openxmlformats.org/officeDocument/2006/relationships" r:embed="rId1"/>
          <a:stretch>
            <a:fillRect/>
          </a:stretch>
        </xdr:blipFill>
        <xdr:spPr>
          <a:xfrm>
            <a:off x="8442960" y="42936160"/>
            <a:ext cx="2377440" cy="3483611"/>
          </a:xfrm>
          <a:prstGeom prst="rect">
            <a:avLst/>
          </a:prstGeom>
        </xdr:spPr>
      </xdr:pic>
      <xdr:pic>
        <xdr:nvPicPr>
          <xdr:cNvPr id="22" name="Imagen 21">
            <a:extLst>
              <a:ext uri="{FF2B5EF4-FFF2-40B4-BE49-F238E27FC236}">
                <a16:creationId xmlns:a16="http://schemas.microsoft.com/office/drawing/2014/main" id="{FD805A25-E7BA-7EBA-E17E-CEDB48DDCDFB}"/>
              </a:ext>
            </a:extLst>
          </xdr:cNvPr>
          <xdr:cNvPicPr>
            <a:picLocks noChangeAspect="1"/>
          </xdr:cNvPicPr>
        </xdr:nvPicPr>
        <xdr:blipFill>
          <a:blip xmlns:r="http://schemas.openxmlformats.org/officeDocument/2006/relationships" r:embed="rId2"/>
          <a:stretch>
            <a:fillRect/>
          </a:stretch>
        </xdr:blipFill>
        <xdr:spPr>
          <a:xfrm>
            <a:off x="8463280" y="46421040"/>
            <a:ext cx="2316480" cy="4338284"/>
          </a:xfrm>
          <a:prstGeom prst="rect">
            <a:avLst/>
          </a:prstGeom>
        </xdr:spPr>
      </xdr:pic>
    </xdr:grpSp>
    <xdr:clientData/>
  </xdr:twoCellAnchor>
</xdr:wsDr>
</file>

<file path=xl/persons/person.xml><?xml version="1.0" encoding="utf-8"?>
<personList xmlns="http://schemas.microsoft.com/office/spreadsheetml/2018/threadedcomments" xmlns:x="http://schemas.openxmlformats.org/spreadsheetml/2006/main">
  <person displayName="Juan Manuel GUTIERREZ" id="{24BEA467-3990-42E9-8C1F-F437DC361A2A}" userId="S::juanmanuel.gutierrez@atexis.com::ff53f56a-a040-441c-8f08-2f0d9469fd3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2" dT="2024-09-13T07:59:28.24" personId="{24BEA467-3990-42E9-8C1F-F437DC361A2A}" id="{859F8FA6-DFD8-4D9F-AA0F-79F8B5602ED2}">
    <text>Extent = Alcance</text>
  </threadedComment>
  <threadedComment ref="H338" dT="2024-10-16T10:04:30.59" personId="{24BEA467-3990-42E9-8C1F-F437DC361A2A}" id="{83D5B320-A902-4DCF-8D29-3EC7D2D7BCF6}">
    <text>When a Service Bulletin effects a change to manuals, wiring diagrams, parts catalogs, etc., the manufacturer shall issue the necessary revisions to these publications promptly, but in no case later than 180 days from the Service Bulletin date or 180 days from the time of operator notification of acceptance when paragraph B. applies.
The airframe and engine manufacturers shall promptly issue the necessary revisions to these publications in the operator's "customized" version of the manuals in the following manner:
At the customer’s option, the manufacturer shall accomplish one of the following two choices:
The manufacturer shall automatically issue the necessary revisions to incorporate service bulletin data and to update the total range of effectivities.
1. Upon notification that a service bulletin has been accepted by an operator, the
manufacturer shall issue the necessary revisions to incorporate the service bulletin data and to update the total range of effectivities.
2. Upon notification from an operator advising partial acceptance or deviation from the service bulletin as written, the manufacturer shall issue the necessary revisions to the affected publications.
3. Upon notification from an operator of completed accomplishment of a service bulletin, the manufacturer will issue the necessary revisions which will eliminate superseded pre-service bulletin data throughout all chapters of the "customized" manuals.
4. Upon notification from an operator of a decision not to comply with a service bulletin which has been automatically incorporated, the manufacturer will issue necessary revisions eliminating pertinent post service bulletin data throughout all chapters of the "customized" manuals.
5. All service bulletin originated revision data shall be reflected in all chapters of each manual at the same time and in the same revision.</text>
  </threadedComment>
</ThreadedComments>
</file>

<file path=xl/threadedComments/threadedComment2.xml><?xml version="1.0" encoding="utf-8"?>
<ThreadedComments xmlns="http://schemas.microsoft.com/office/spreadsheetml/2018/threadedcomments" xmlns:x="http://schemas.openxmlformats.org/spreadsheetml/2006/main">
  <threadedComment ref="H18" dT="2025-11-21T07:38:58.52" personId="{24BEA467-3990-42E9-8C1F-F437DC361A2A}" id="{71BFD489-B182-4054-8594-12D615DDB2F1}">
    <text>Se refiere a etiquetar en el DM el tipo de verificación que lleva.
 "Tabletop" (en entorno simulado o mesa), "On-Object" (experimental), or "Tabletop and On-Object" (mixta).</text>
  </threadedComment>
  <threadedComment ref="C62" dT="2024-09-13T07:59:28.24" personId="{24BEA467-3990-42E9-8C1F-F437DC361A2A}" id="{D2578359-0CA9-47D1-A893-2BF78436AA3D}">
    <text>Extent = Alcance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A1:K2779"/>
  <sheetViews>
    <sheetView zoomScale="75" zoomScaleNormal="75" workbookViewId="0">
      <pane ySplit="1" topLeftCell="A2" activePane="bottomLeft" state="frozen"/>
      <selection pane="bottomLeft" activeCell="B1" sqref="B1:K1"/>
    </sheetView>
  </sheetViews>
  <sheetFormatPr baseColWidth="10" defaultColWidth="9.125" defaultRowHeight="12.9" x14ac:dyDescent="0.2"/>
  <cols>
    <col min="1" max="1" width="17.875" style="12" customWidth="1"/>
    <col min="2" max="2" width="15.25" style="4" customWidth="1"/>
    <col min="3" max="3" width="21.375" style="7" customWidth="1"/>
    <col min="4" max="4" width="49.25" style="4" customWidth="1"/>
    <col min="5" max="5" width="14.875" style="4" customWidth="1"/>
    <col min="6" max="6" width="14.375" style="4" customWidth="1"/>
    <col min="7" max="7" width="39.25" style="4" bestFit="1" customWidth="1"/>
    <col min="8" max="8" width="25.375" style="4" customWidth="1"/>
    <col min="9" max="9" width="21.75" style="4" customWidth="1"/>
    <col min="10" max="11" width="17.75" style="4" customWidth="1"/>
    <col min="12" max="16384" width="9.125" style="4"/>
  </cols>
  <sheetData>
    <row r="1" spans="1:11" s="9" customFormat="1" ht="27.2" x14ac:dyDescent="0.2">
      <c r="A1" s="14" t="s">
        <v>0</v>
      </c>
      <c r="B1" s="15" t="s">
        <v>1</v>
      </c>
      <c r="C1" s="14" t="s">
        <v>2</v>
      </c>
      <c r="D1" s="15" t="s">
        <v>3</v>
      </c>
      <c r="E1" s="15" t="s">
        <v>4</v>
      </c>
      <c r="F1" s="15" t="s">
        <v>5</v>
      </c>
      <c r="G1" s="17" t="s">
        <v>6</v>
      </c>
      <c r="H1" s="17" t="s">
        <v>7</v>
      </c>
      <c r="I1" s="16" t="s">
        <v>8</v>
      </c>
      <c r="J1" s="17" t="s">
        <v>9</v>
      </c>
      <c r="K1" s="17" t="s">
        <v>10</v>
      </c>
    </row>
    <row r="2" spans="1:11" ht="38.75" x14ac:dyDescent="0.2">
      <c r="A2" s="12" t="s">
        <v>11</v>
      </c>
      <c r="B2" s="4" t="s">
        <v>12</v>
      </c>
      <c r="C2" s="7" t="s">
        <v>13</v>
      </c>
      <c r="D2" s="4" t="s">
        <v>14</v>
      </c>
      <c r="E2" s="8" t="s">
        <v>15</v>
      </c>
      <c r="F2" s="8" t="s">
        <v>16</v>
      </c>
      <c r="G2" s="23" t="s">
        <v>17</v>
      </c>
      <c r="H2" s="18"/>
      <c r="I2" s="13"/>
      <c r="J2" s="19" t="s">
        <v>18</v>
      </c>
      <c r="K2" s="19" t="s">
        <v>19</v>
      </c>
    </row>
    <row r="3" spans="1:11" ht="51.65" x14ac:dyDescent="0.2">
      <c r="A3" s="12" t="s">
        <v>20</v>
      </c>
      <c r="B3" s="4" t="s">
        <v>21</v>
      </c>
      <c r="C3" s="11" t="s">
        <v>22</v>
      </c>
      <c r="D3" s="1" t="s">
        <v>23</v>
      </c>
      <c r="E3" s="10" t="s">
        <v>15</v>
      </c>
      <c r="F3" s="10" t="s">
        <v>24</v>
      </c>
      <c r="G3" s="22" t="s">
        <v>25</v>
      </c>
      <c r="H3" s="22"/>
      <c r="I3" s="20"/>
      <c r="J3" s="19" t="s">
        <v>26</v>
      </c>
      <c r="K3" s="19"/>
    </row>
    <row r="4" spans="1:11" ht="25.85" x14ac:dyDescent="0.2">
      <c r="A4" s="12" t="s">
        <v>27</v>
      </c>
      <c r="B4" s="4" t="s">
        <v>28</v>
      </c>
      <c r="C4" s="11" t="s">
        <v>29</v>
      </c>
      <c r="D4" s="1" t="s">
        <v>30</v>
      </c>
      <c r="E4" s="10" t="s">
        <v>31</v>
      </c>
      <c r="F4" s="10" t="s">
        <v>32</v>
      </c>
      <c r="G4" s="22" t="s">
        <v>33</v>
      </c>
      <c r="H4" s="22"/>
      <c r="I4" s="20"/>
      <c r="J4" s="19" t="s">
        <v>18</v>
      </c>
      <c r="K4" s="19"/>
    </row>
    <row r="5" spans="1:11" ht="25.85" x14ac:dyDescent="0.2">
      <c r="A5" s="12" t="s">
        <v>27</v>
      </c>
      <c r="B5" s="4" t="s">
        <v>34</v>
      </c>
      <c r="C5" s="11" t="s">
        <v>35</v>
      </c>
      <c r="D5" s="1" t="s">
        <v>36</v>
      </c>
      <c r="E5" s="10" t="s">
        <v>31</v>
      </c>
      <c r="F5" s="10" t="s">
        <v>32</v>
      </c>
      <c r="G5" s="22" t="s">
        <v>37</v>
      </c>
      <c r="H5" s="22" t="s">
        <v>38</v>
      </c>
      <c r="I5" s="20"/>
      <c r="J5" s="19" t="s">
        <v>26</v>
      </c>
      <c r="K5" s="19"/>
    </row>
    <row r="6" spans="1:11" ht="77.45" x14ac:dyDescent="0.2">
      <c r="A6" s="12" t="s">
        <v>27</v>
      </c>
      <c r="B6" s="4" t="s">
        <v>39</v>
      </c>
      <c r="C6" s="11" t="s">
        <v>40</v>
      </c>
      <c r="D6" s="1" t="s">
        <v>41</v>
      </c>
      <c r="E6" s="10" t="s">
        <v>31</v>
      </c>
      <c r="F6" s="10" t="s">
        <v>32</v>
      </c>
      <c r="G6" s="22" t="s">
        <v>42</v>
      </c>
      <c r="H6" s="22"/>
      <c r="I6" s="20"/>
      <c r="J6" s="19"/>
      <c r="K6" s="19"/>
    </row>
    <row r="7" spans="1:11" ht="38.75" x14ac:dyDescent="0.2">
      <c r="A7" s="12" t="s">
        <v>27</v>
      </c>
      <c r="B7" s="4" t="s">
        <v>43</v>
      </c>
      <c r="C7" s="7" t="s">
        <v>44</v>
      </c>
      <c r="D7" s="4" t="s">
        <v>45</v>
      </c>
      <c r="E7" s="8" t="s">
        <v>31</v>
      </c>
      <c r="F7" s="8" t="s">
        <v>32</v>
      </c>
      <c r="G7" s="18" t="s">
        <v>46</v>
      </c>
      <c r="H7" s="18"/>
      <c r="I7" s="13"/>
      <c r="J7" s="19"/>
      <c r="K7" s="19"/>
    </row>
    <row r="8" spans="1:11" ht="25.85" x14ac:dyDescent="0.2">
      <c r="A8" s="12" t="s">
        <v>27</v>
      </c>
      <c r="B8" s="4" t="s">
        <v>47</v>
      </c>
      <c r="C8" s="7" t="s">
        <v>48</v>
      </c>
      <c r="D8" s="4" t="s">
        <v>49</v>
      </c>
      <c r="E8" s="8" t="s">
        <v>31</v>
      </c>
      <c r="F8" s="8" t="s">
        <v>32</v>
      </c>
      <c r="G8" s="18" t="s">
        <v>50</v>
      </c>
      <c r="H8" s="18"/>
      <c r="I8" s="13"/>
      <c r="J8" s="19"/>
      <c r="K8" s="19"/>
    </row>
    <row r="9" spans="1:11" ht="90.35" x14ac:dyDescent="0.2">
      <c r="A9" s="12" t="s">
        <v>27</v>
      </c>
      <c r="B9" s="4" t="s">
        <v>51</v>
      </c>
      <c r="C9" s="7" t="s">
        <v>52</v>
      </c>
      <c r="D9" s="4" t="s">
        <v>53</v>
      </c>
      <c r="E9" s="8" t="s">
        <v>31</v>
      </c>
      <c r="F9" s="8" t="s">
        <v>32</v>
      </c>
      <c r="G9" s="18" t="s">
        <v>54</v>
      </c>
      <c r="H9" s="18"/>
      <c r="I9" s="13"/>
      <c r="J9" s="19"/>
      <c r="K9" s="19"/>
    </row>
    <row r="10" spans="1:11" ht="25.85" x14ac:dyDescent="0.2">
      <c r="A10" s="12" t="s">
        <v>55</v>
      </c>
      <c r="B10" s="2" t="s">
        <v>56</v>
      </c>
      <c r="C10" s="11" t="s">
        <v>57</v>
      </c>
      <c r="D10" s="1" t="s">
        <v>58</v>
      </c>
      <c r="E10" s="10" t="s">
        <v>31</v>
      </c>
      <c r="F10" s="10" t="s">
        <v>59</v>
      </c>
      <c r="G10" s="22" t="s">
        <v>60</v>
      </c>
      <c r="H10" s="22"/>
      <c r="I10" s="20"/>
      <c r="J10" s="19"/>
      <c r="K10" s="19"/>
    </row>
    <row r="11" spans="1:11" ht="25.85" x14ac:dyDescent="0.2">
      <c r="A11" s="12" t="s">
        <v>61</v>
      </c>
      <c r="B11" s="4" t="s">
        <v>62</v>
      </c>
      <c r="C11" s="7" t="s">
        <v>63</v>
      </c>
      <c r="D11" s="4" t="s">
        <v>64</v>
      </c>
      <c r="E11" s="8" t="s">
        <v>65</v>
      </c>
      <c r="F11" s="8" t="s">
        <v>66</v>
      </c>
      <c r="G11" s="18" t="s">
        <v>67</v>
      </c>
      <c r="H11" s="18" t="s">
        <v>68</v>
      </c>
      <c r="I11" s="13" t="s">
        <v>69</v>
      </c>
      <c r="J11" s="19"/>
      <c r="K11" s="19"/>
    </row>
    <row r="12" spans="1:11" ht="25.85" x14ac:dyDescent="0.2">
      <c r="A12" s="12" t="s">
        <v>70</v>
      </c>
      <c r="B12" s="4" t="s">
        <v>71</v>
      </c>
      <c r="C12" s="11" t="s">
        <v>72</v>
      </c>
      <c r="D12" s="1" t="s">
        <v>73</v>
      </c>
      <c r="E12" s="10" t="s">
        <v>65</v>
      </c>
      <c r="F12" s="10" t="s">
        <v>74</v>
      </c>
      <c r="G12" s="22" t="s">
        <v>75</v>
      </c>
      <c r="H12" s="22" t="s">
        <v>76</v>
      </c>
      <c r="I12" s="20"/>
      <c r="J12" s="19"/>
      <c r="K12" s="19"/>
    </row>
    <row r="13" spans="1:11" ht="129.1" x14ac:dyDescent="0.2">
      <c r="A13" s="12" t="s">
        <v>77</v>
      </c>
      <c r="B13" s="4" t="s">
        <v>78</v>
      </c>
      <c r="C13" s="11" t="s">
        <v>79</v>
      </c>
      <c r="D13" s="1" t="s">
        <v>80</v>
      </c>
      <c r="E13" s="10" t="s">
        <v>81</v>
      </c>
      <c r="F13" s="10" t="s">
        <v>82</v>
      </c>
      <c r="G13" s="22" t="s">
        <v>83</v>
      </c>
      <c r="H13" s="22" t="s">
        <v>84</v>
      </c>
      <c r="I13" s="20" t="s">
        <v>85</v>
      </c>
      <c r="J13" s="19"/>
      <c r="K13" s="19"/>
    </row>
    <row r="14" spans="1:11" ht="64.55" x14ac:dyDescent="0.2">
      <c r="A14" s="12" t="s">
        <v>86</v>
      </c>
      <c r="B14" s="4" t="s">
        <v>87</v>
      </c>
      <c r="C14" s="11" t="s">
        <v>88</v>
      </c>
      <c r="D14" s="1" t="s">
        <v>89</v>
      </c>
      <c r="E14" s="10" t="s">
        <v>81</v>
      </c>
      <c r="F14" s="10" t="s">
        <v>90</v>
      </c>
      <c r="G14" s="22" t="s">
        <v>91</v>
      </c>
      <c r="H14" s="22" t="s">
        <v>92</v>
      </c>
      <c r="I14" s="20" t="s">
        <v>93</v>
      </c>
      <c r="J14" s="19"/>
      <c r="K14" s="19"/>
    </row>
    <row r="15" spans="1:11" ht="51.65" x14ac:dyDescent="0.2">
      <c r="A15" s="12" t="s">
        <v>86</v>
      </c>
      <c r="B15" s="4" t="s">
        <v>94</v>
      </c>
      <c r="C15" s="7" t="s">
        <v>95</v>
      </c>
      <c r="D15" s="4" t="s">
        <v>96</v>
      </c>
      <c r="E15" s="8" t="s">
        <v>81</v>
      </c>
      <c r="F15" s="8" t="s">
        <v>90</v>
      </c>
      <c r="G15" s="18" t="s">
        <v>97</v>
      </c>
      <c r="H15" s="18" t="s">
        <v>98</v>
      </c>
      <c r="I15" s="13"/>
      <c r="J15" s="18"/>
      <c r="K15" s="18"/>
    </row>
    <row r="16" spans="1:11" ht="38.75" x14ac:dyDescent="0.2">
      <c r="A16" s="12" t="s">
        <v>99</v>
      </c>
      <c r="B16" s="4" t="s">
        <v>100</v>
      </c>
      <c r="C16" s="7" t="s">
        <v>101</v>
      </c>
      <c r="D16" s="4" t="s">
        <v>102</v>
      </c>
      <c r="E16" s="8" t="s">
        <v>81</v>
      </c>
      <c r="F16" s="8" t="s">
        <v>103</v>
      </c>
      <c r="G16" s="18" t="s">
        <v>104</v>
      </c>
      <c r="H16" s="18" t="s">
        <v>105</v>
      </c>
      <c r="I16" s="13"/>
      <c r="J16" s="18"/>
      <c r="K16" s="18"/>
    </row>
    <row r="17" spans="1:11" ht="64.55" x14ac:dyDescent="0.2">
      <c r="A17" s="12" t="s">
        <v>99</v>
      </c>
      <c r="B17" s="4" t="s">
        <v>106</v>
      </c>
      <c r="C17" s="7" t="s">
        <v>107</v>
      </c>
      <c r="D17" s="4" t="s">
        <v>108</v>
      </c>
      <c r="E17" s="8" t="s">
        <v>81</v>
      </c>
      <c r="F17" s="8" t="s">
        <v>103</v>
      </c>
      <c r="G17" s="18" t="s">
        <v>109</v>
      </c>
      <c r="H17" s="18" t="s">
        <v>110</v>
      </c>
      <c r="I17" s="13"/>
      <c r="J17" s="18"/>
      <c r="K17" s="18"/>
    </row>
    <row r="18" spans="1:11" ht="38.75" x14ac:dyDescent="0.2">
      <c r="A18" s="12" t="s">
        <v>111</v>
      </c>
      <c r="B18" s="4" t="s">
        <v>112</v>
      </c>
      <c r="C18" s="7" t="s">
        <v>113</v>
      </c>
      <c r="D18" s="4" t="s">
        <v>114</v>
      </c>
      <c r="E18" s="8" t="s">
        <v>115</v>
      </c>
      <c r="F18" s="8" t="s">
        <v>116</v>
      </c>
      <c r="G18" s="18" t="s">
        <v>117</v>
      </c>
      <c r="H18" s="18"/>
      <c r="I18" s="13"/>
      <c r="J18" s="18"/>
      <c r="K18" s="18"/>
    </row>
    <row r="19" spans="1:11" ht="51.65" x14ac:dyDescent="0.2">
      <c r="A19" s="12" t="s">
        <v>118</v>
      </c>
      <c r="B19" s="4" t="s">
        <v>119</v>
      </c>
      <c r="C19" s="7" t="s">
        <v>120</v>
      </c>
      <c r="D19" s="4" t="s">
        <v>121</v>
      </c>
      <c r="E19" s="8" t="s">
        <v>115</v>
      </c>
      <c r="F19" s="8" t="s">
        <v>122</v>
      </c>
      <c r="G19" s="18" t="s">
        <v>117</v>
      </c>
      <c r="H19" s="18"/>
      <c r="I19" s="13"/>
      <c r="J19" s="18"/>
      <c r="K19" s="18"/>
    </row>
    <row r="20" spans="1:11" ht="64.55" x14ac:dyDescent="0.2">
      <c r="A20" s="12" t="s">
        <v>123</v>
      </c>
      <c r="B20" s="4" t="s">
        <v>124</v>
      </c>
      <c r="C20" s="7" t="s">
        <v>125</v>
      </c>
      <c r="D20" s="4" t="s">
        <v>126</v>
      </c>
      <c r="E20" s="8" t="s">
        <v>115</v>
      </c>
      <c r="F20" s="8" t="s">
        <v>90</v>
      </c>
      <c r="G20" s="18" t="s">
        <v>127</v>
      </c>
      <c r="H20" s="18"/>
      <c r="I20" s="31" t="s">
        <v>128</v>
      </c>
      <c r="J20" s="18"/>
      <c r="K20" s="18"/>
    </row>
    <row r="21" spans="1:11" ht="25.85" x14ac:dyDescent="0.2">
      <c r="A21" s="12" t="s">
        <v>129</v>
      </c>
      <c r="B21" s="4" t="s">
        <v>130</v>
      </c>
      <c r="C21" s="7" t="s">
        <v>131</v>
      </c>
      <c r="D21" s="4" t="s">
        <v>132</v>
      </c>
      <c r="E21" s="8" t="s">
        <v>133</v>
      </c>
      <c r="F21" s="8" t="s">
        <v>116</v>
      </c>
      <c r="G21" s="18" t="s">
        <v>134</v>
      </c>
      <c r="H21" s="18"/>
      <c r="I21" s="13"/>
      <c r="J21" s="18"/>
      <c r="K21" s="18"/>
    </row>
    <row r="22" spans="1:11" ht="38.75" x14ac:dyDescent="0.2">
      <c r="A22" s="12" t="s">
        <v>129</v>
      </c>
      <c r="B22" s="4" t="s">
        <v>135</v>
      </c>
      <c r="C22" s="7" t="s">
        <v>136</v>
      </c>
      <c r="D22" s="4" t="s">
        <v>137</v>
      </c>
      <c r="E22" s="8" t="s">
        <v>133</v>
      </c>
      <c r="F22" s="8" t="s">
        <v>116</v>
      </c>
      <c r="G22" s="18" t="s">
        <v>138</v>
      </c>
      <c r="H22" s="18"/>
      <c r="I22" s="13" t="s">
        <v>139</v>
      </c>
      <c r="J22" s="18"/>
      <c r="K22" s="18"/>
    </row>
    <row r="23" spans="1:11" ht="51.65" x14ac:dyDescent="0.2">
      <c r="A23" s="12" t="s">
        <v>129</v>
      </c>
      <c r="B23" s="4" t="s">
        <v>140</v>
      </c>
      <c r="C23" s="7" t="s">
        <v>141</v>
      </c>
      <c r="D23" s="4" t="s">
        <v>142</v>
      </c>
      <c r="E23" s="8" t="s">
        <v>133</v>
      </c>
      <c r="F23" s="8" t="s">
        <v>116</v>
      </c>
      <c r="G23" s="18" t="s">
        <v>143</v>
      </c>
      <c r="H23" s="18"/>
      <c r="I23" s="13"/>
      <c r="J23" s="18"/>
      <c r="K23" s="18"/>
    </row>
    <row r="24" spans="1:11" ht="25.85" x14ac:dyDescent="0.2">
      <c r="A24" s="12" t="s">
        <v>129</v>
      </c>
      <c r="B24" s="4" t="s">
        <v>144</v>
      </c>
      <c r="C24" s="7" t="s">
        <v>145</v>
      </c>
      <c r="D24" s="4" t="s">
        <v>146</v>
      </c>
      <c r="E24" s="8" t="s">
        <v>133</v>
      </c>
      <c r="F24" s="8" t="s">
        <v>116</v>
      </c>
      <c r="G24" s="18" t="s">
        <v>147</v>
      </c>
      <c r="H24" s="18"/>
      <c r="I24" s="13" t="s">
        <v>148</v>
      </c>
      <c r="J24" s="18"/>
      <c r="K24" s="18"/>
    </row>
    <row r="25" spans="1:11" ht="51.65" x14ac:dyDescent="0.2">
      <c r="A25" s="12" t="s">
        <v>149</v>
      </c>
      <c r="B25" s="4" t="s">
        <v>150</v>
      </c>
      <c r="C25" s="7" t="s">
        <v>151</v>
      </c>
      <c r="D25" s="4" t="s">
        <v>152</v>
      </c>
      <c r="E25" s="8" t="s">
        <v>133</v>
      </c>
      <c r="F25" s="8" t="s">
        <v>153</v>
      </c>
      <c r="G25" s="18" t="s">
        <v>154</v>
      </c>
      <c r="H25" s="18"/>
      <c r="I25" s="13" t="s">
        <v>155</v>
      </c>
      <c r="J25" s="18"/>
      <c r="K25" s="18"/>
    </row>
    <row r="26" spans="1:11" ht="64.55" x14ac:dyDescent="0.2">
      <c r="A26" s="12" t="s">
        <v>156</v>
      </c>
      <c r="B26" s="4" t="s">
        <v>157</v>
      </c>
      <c r="C26" s="7" t="s">
        <v>158</v>
      </c>
      <c r="D26" s="4" t="s">
        <v>159</v>
      </c>
      <c r="E26" s="8" t="s">
        <v>133</v>
      </c>
      <c r="F26" s="8" t="s">
        <v>103</v>
      </c>
      <c r="G26" s="18" t="s">
        <v>160</v>
      </c>
      <c r="H26" s="18"/>
      <c r="I26" s="13"/>
      <c r="J26" s="18"/>
      <c r="K26" s="18"/>
    </row>
    <row r="27" spans="1:11" x14ac:dyDescent="0.2">
      <c r="A27" s="12" t="s">
        <v>161</v>
      </c>
      <c r="B27" s="4" t="s">
        <v>162</v>
      </c>
      <c r="C27" s="7" t="s">
        <v>163</v>
      </c>
      <c r="D27" s="4" t="s">
        <v>164</v>
      </c>
      <c r="E27" s="8" t="s">
        <v>133</v>
      </c>
      <c r="F27" s="8" t="s">
        <v>165</v>
      </c>
      <c r="G27" s="18" t="s">
        <v>166</v>
      </c>
      <c r="H27" s="18"/>
      <c r="I27" s="13" t="s">
        <v>167</v>
      </c>
      <c r="J27" s="18"/>
      <c r="K27" s="18"/>
    </row>
    <row r="28" spans="1:11" ht="38.75" x14ac:dyDescent="0.2">
      <c r="A28" s="12" t="s">
        <v>168</v>
      </c>
      <c r="B28" s="4" t="s">
        <v>169</v>
      </c>
      <c r="C28" s="7" t="s">
        <v>170</v>
      </c>
      <c r="D28" s="4" t="s">
        <v>171</v>
      </c>
      <c r="E28" s="8" t="s">
        <v>172</v>
      </c>
      <c r="F28" s="8" t="s">
        <v>173</v>
      </c>
      <c r="G28" s="18" t="s">
        <v>174</v>
      </c>
      <c r="H28" s="18"/>
      <c r="I28" s="13"/>
      <c r="J28" s="18"/>
      <c r="K28" s="18"/>
    </row>
    <row r="29" spans="1:11" ht="51.65" x14ac:dyDescent="0.2">
      <c r="A29" s="12" t="s">
        <v>175</v>
      </c>
      <c r="B29" s="4" t="s">
        <v>176</v>
      </c>
      <c r="C29" s="7" t="s">
        <v>177</v>
      </c>
      <c r="D29" s="4" t="s">
        <v>178</v>
      </c>
      <c r="E29" s="8" t="s">
        <v>179</v>
      </c>
      <c r="F29" s="8" t="s">
        <v>66</v>
      </c>
      <c r="G29" s="18" t="s">
        <v>180</v>
      </c>
      <c r="H29" s="18"/>
      <c r="I29" s="13"/>
      <c r="J29" s="18"/>
      <c r="K29" s="18"/>
    </row>
    <row r="30" spans="1:11" ht="51.65" x14ac:dyDescent="0.2">
      <c r="A30" s="12" t="s">
        <v>181</v>
      </c>
      <c r="B30" s="4" t="s">
        <v>182</v>
      </c>
      <c r="C30" s="7" t="s">
        <v>183</v>
      </c>
      <c r="D30" s="4" t="s">
        <v>184</v>
      </c>
      <c r="E30" s="8" t="s">
        <v>179</v>
      </c>
      <c r="F30" s="8" t="s">
        <v>185</v>
      </c>
      <c r="G30" s="18" t="s">
        <v>186</v>
      </c>
      <c r="H30" s="18"/>
      <c r="I30" s="13" t="s">
        <v>187</v>
      </c>
      <c r="J30" s="18"/>
      <c r="K30" s="18"/>
    </row>
    <row r="31" spans="1:11" ht="51.65" x14ac:dyDescent="0.2">
      <c r="A31" s="12" t="s">
        <v>188</v>
      </c>
      <c r="B31" s="4" t="s">
        <v>189</v>
      </c>
      <c r="C31" s="7" t="s">
        <v>190</v>
      </c>
      <c r="D31" s="4" t="s">
        <v>191</v>
      </c>
      <c r="E31" s="8" t="s">
        <v>179</v>
      </c>
      <c r="F31" s="8" t="s">
        <v>192</v>
      </c>
      <c r="G31" s="18" t="s">
        <v>193</v>
      </c>
      <c r="H31" s="18"/>
      <c r="I31" s="13" t="s">
        <v>194</v>
      </c>
      <c r="J31" s="18"/>
      <c r="K31" s="18"/>
    </row>
    <row r="32" spans="1:11" ht="25.85" x14ac:dyDescent="0.2">
      <c r="A32" s="12" t="s">
        <v>195</v>
      </c>
      <c r="B32" s="4" t="s">
        <v>196</v>
      </c>
      <c r="C32" s="7" t="s">
        <v>197</v>
      </c>
      <c r="D32" s="4" t="s">
        <v>198</v>
      </c>
      <c r="E32" s="8" t="s">
        <v>179</v>
      </c>
      <c r="F32" s="8" t="s">
        <v>199</v>
      </c>
      <c r="G32" s="18" t="s">
        <v>200</v>
      </c>
      <c r="H32" s="18"/>
      <c r="I32" s="13" t="s">
        <v>201</v>
      </c>
      <c r="J32" s="18"/>
      <c r="K32" s="18"/>
    </row>
    <row r="33" spans="1:11" ht="51.65" x14ac:dyDescent="0.2">
      <c r="A33" s="12" t="s">
        <v>202</v>
      </c>
      <c r="B33" s="4" t="s">
        <v>203</v>
      </c>
      <c r="C33" s="7" t="s">
        <v>204</v>
      </c>
      <c r="D33" s="4" t="s">
        <v>205</v>
      </c>
      <c r="E33" s="8" t="s">
        <v>206</v>
      </c>
      <c r="F33" s="8" t="s">
        <v>207</v>
      </c>
      <c r="G33" s="18" t="s">
        <v>186</v>
      </c>
      <c r="H33" s="18"/>
      <c r="I33" s="13"/>
      <c r="J33" s="18"/>
      <c r="K33" s="18"/>
    </row>
    <row r="34" spans="1:11" ht="38.75" x14ac:dyDescent="0.2">
      <c r="A34" s="12" t="s">
        <v>208</v>
      </c>
      <c r="B34" s="4" t="s">
        <v>209</v>
      </c>
      <c r="C34" s="7" t="s">
        <v>210</v>
      </c>
      <c r="D34" s="4" t="s">
        <v>211</v>
      </c>
      <c r="E34" s="8" t="s">
        <v>212</v>
      </c>
      <c r="F34" s="8" t="s">
        <v>213</v>
      </c>
      <c r="G34" s="18" t="s">
        <v>214</v>
      </c>
      <c r="H34" s="18"/>
      <c r="I34" s="13"/>
      <c r="J34" s="18"/>
      <c r="K34" s="18"/>
    </row>
    <row r="35" spans="1:11" ht="51.65" x14ac:dyDescent="0.2">
      <c r="A35" s="12" t="s">
        <v>215</v>
      </c>
      <c r="B35" s="4" t="s">
        <v>216</v>
      </c>
      <c r="C35" s="7" t="s">
        <v>217</v>
      </c>
      <c r="D35" s="4" t="s">
        <v>218</v>
      </c>
      <c r="E35" s="8" t="s">
        <v>219</v>
      </c>
      <c r="F35" s="8" t="s">
        <v>66</v>
      </c>
      <c r="G35" s="18" t="s">
        <v>220</v>
      </c>
      <c r="H35" s="18"/>
      <c r="I35" s="13" t="s">
        <v>221</v>
      </c>
      <c r="J35" s="18"/>
      <c r="K35" s="18"/>
    </row>
    <row r="36" spans="1:11" ht="51.65" x14ac:dyDescent="0.2">
      <c r="A36" s="12" t="s">
        <v>215</v>
      </c>
      <c r="B36" s="3" t="s">
        <v>222</v>
      </c>
      <c r="C36" s="11" t="s">
        <v>223</v>
      </c>
      <c r="D36" s="1" t="s">
        <v>224</v>
      </c>
      <c r="E36" s="10" t="s">
        <v>219</v>
      </c>
      <c r="F36" s="10" t="s">
        <v>66</v>
      </c>
      <c r="G36" s="22" t="s">
        <v>225</v>
      </c>
      <c r="H36" s="22"/>
      <c r="I36" s="20" t="s">
        <v>226</v>
      </c>
      <c r="J36" s="18"/>
      <c r="K36" s="18"/>
    </row>
    <row r="37" spans="1:11" ht="25.85" x14ac:dyDescent="0.2">
      <c r="A37" s="12" t="s">
        <v>227</v>
      </c>
      <c r="B37" s="4" t="s">
        <v>228</v>
      </c>
      <c r="C37" s="7" t="s">
        <v>229</v>
      </c>
      <c r="D37" s="4" t="s">
        <v>230</v>
      </c>
      <c r="E37" s="8" t="s">
        <v>219</v>
      </c>
      <c r="F37" s="8" t="s">
        <v>116</v>
      </c>
      <c r="G37" s="18" t="s">
        <v>231</v>
      </c>
      <c r="H37" s="18" t="s">
        <v>232</v>
      </c>
      <c r="I37" s="13"/>
      <c r="J37" s="18"/>
      <c r="K37" s="18"/>
    </row>
    <row r="38" spans="1:11" ht="25.85" x14ac:dyDescent="0.2">
      <c r="A38" s="12" t="s">
        <v>227</v>
      </c>
      <c r="B38" s="4" t="s">
        <v>233</v>
      </c>
      <c r="C38" s="7" t="s">
        <v>234</v>
      </c>
      <c r="D38" s="12" t="s">
        <v>235</v>
      </c>
      <c r="E38" s="8" t="s">
        <v>219</v>
      </c>
      <c r="F38" s="8" t="s">
        <v>116</v>
      </c>
      <c r="G38" s="18" t="s">
        <v>236</v>
      </c>
      <c r="H38" s="18"/>
      <c r="I38" s="13"/>
      <c r="J38" s="18"/>
      <c r="K38" s="18"/>
    </row>
    <row r="39" spans="1:11" ht="25.85" x14ac:dyDescent="0.2">
      <c r="A39" s="12" t="s">
        <v>237</v>
      </c>
      <c r="B39" s="3" t="s">
        <v>238</v>
      </c>
      <c r="C39" s="11" t="s">
        <v>239</v>
      </c>
      <c r="D39" s="1" t="s">
        <v>240</v>
      </c>
      <c r="E39" s="10" t="s">
        <v>219</v>
      </c>
      <c r="F39" s="10" t="s">
        <v>153</v>
      </c>
      <c r="G39" s="22" t="s">
        <v>241</v>
      </c>
      <c r="H39" s="22"/>
      <c r="I39" s="20"/>
      <c r="J39" s="18"/>
      <c r="K39" s="18"/>
    </row>
    <row r="40" spans="1:11" ht="25.85" x14ac:dyDescent="0.2">
      <c r="A40" s="12" t="s">
        <v>242</v>
      </c>
      <c r="B40" s="4" t="s">
        <v>243</v>
      </c>
      <c r="C40" s="7" t="s">
        <v>244</v>
      </c>
      <c r="D40" s="4" t="s">
        <v>245</v>
      </c>
      <c r="E40" s="8" t="s">
        <v>219</v>
      </c>
      <c r="F40" s="8" t="s">
        <v>246</v>
      </c>
      <c r="G40" s="18" t="s">
        <v>247</v>
      </c>
      <c r="H40" s="18"/>
      <c r="I40" s="13"/>
      <c r="J40" s="18"/>
      <c r="K40" s="18"/>
    </row>
    <row r="41" spans="1:11" ht="25.85" x14ac:dyDescent="0.2">
      <c r="A41" s="12" t="s">
        <v>248</v>
      </c>
      <c r="B41" s="4" t="s">
        <v>249</v>
      </c>
      <c r="C41" s="7" t="s">
        <v>250</v>
      </c>
      <c r="D41" s="4" t="s">
        <v>251</v>
      </c>
      <c r="E41" s="8" t="s">
        <v>252</v>
      </c>
      <c r="F41" s="8" t="s">
        <v>246</v>
      </c>
      <c r="G41" s="18" t="s">
        <v>253</v>
      </c>
      <c r="H41" s="18"/>
      <c r="I41" s="13" t="s">
        <v>254</v>
      </c>
      <c r="J41" s="18"/>
      <c r="K41" s="18"/>
    </row>
    <row r="42" spans="1:11" ht="25.85" x14ac:dyDescent="0.2">
      <c r="A42" s="12" t="s">
        <v>255</v>
      </c>
      <c r="B42" s="4" t="s">
        <v>256</v>
      </c>
      <c r="C42" s="7" t="s">
        <v>257</v>
      </c>
      <c r="D42" s="4" t="s">
        <v>258</v>
      </c>
      <c r="E42" s="8" t="s">
        <v>252</v>
      </c>
      <c r="F42" s="8" t="s">
        <v>259</v>
      </c>
      <c r="G42" s="18" t="s">
        <v>260</v>
      </c>
      <c r="H42" s="18"/>
      <c r="I42" s="13"/>
      <c r="J42" s="18"/>
      <c r="K42" s="18"/>
    </row>
    <row r="43" spans="1:11" ht="38.75" x14ac:dyDescent="0.2">
      <c r="A43" s="12" t="s">
        <v>261</v>
      </c>
      <c r="B43" s="4" t="s">
        <v>262</v>
      </c>
      <c r="C43" s="11" t="s">
        <v>263</v>
      </c>
      <c r="D43" s="1" t="s">
        <v>264</v>
      </c>
      <c r="E43" s="10" t="s">
        <v>252</v>
      </c>
      <c r="F43" s="10" t="s">
        <v>265</v>
      </c>
      <c r="G43" s="22" t="s">
        <v>266</v>
      </c>
      <c r="H43" s="22"/>
      <c r="I43" s="20" t="s">
        <v>267</v>
      </c>
      <c r="J43" s="18"/>
      <c r="K43" s="18"/>
    </row>
    <row r="44" spans="1:11" ht="38.75" x14ac:dyDescent="0.2">
      <c r="A44" s="12" t="s">
        <v>261</v>
      </c>
      <c r="B44" s="4" t="s">
        <v>268</v>
      </c>
      <c r="C44" s="7" t="s">
        <v>269</v>
      </c>
      <c r="D44" s="4" t="s">
        <v>270</v>
      </c>
      <c r="E44" s="8" t="s">
        <v>252</v>
      </c>
      <c r="F44" s="8" t="s">
        <v>265</v>
      </c>
      <c r="G44" s="18" t="s">
        <v>271</v>
      </c>
      <c r="H44" s="22"/>
      <c r="I44" s="13"/>
      <c r="J44" s="18"/>
      <c r="K44" s="18"/>
    </row>
    <row r="45" spans="1:11" ht="38.75" x14ac:dyDescent="0.2">
      <c r="A45" s="12" t="s">
        <v>261</v>
      </c>
      <c r="B45" s="4" t="s">
        <v>272</v>
      </c>
      <c r="C45" s="7" t="s">
        <v>273</v>
      </c>
      <c r="D45" s="4" t="s">
        <v>274</v>
      </c>
      <c r="E45" s="8" t="s">
        <v>252</v>
      </c>
      <c r="F45" s="8" t="s">
        <v>265</v>
      </c>
      <c r="G45" s="18" t="s">
        <v>271</v>
      </c>
      <c r="H45" s="22"/>
      <c r="I45" s="13"/>
      <c r="J45" s="18"/>
      <c r="K45" s="18"/>
    </row>
    <row r="46" spans="1:11" ht="25.85" x14ac:dyDescent="0.2">
      <c r="A46" s="12" t="s">
        <v>275</v>
      </c>
      <c r="B46" s="4" t="s">
        <v>276</v>
      </c>
      <c r="C46" s="11" t="s">
        <v>277</v>
      </c>
      <c r="D46" s="1" t="s">
        <v>278</v>
      </c>
      <c r="E46" s="10" t="s">
        <v>279</v>
      </c>
      <c r="F46" s="10" t="s">
        <v>280</v>
      </c>
      <c r="G46" s="22" t="s">
        <v>281</v>
      </c>
      <c r="H46" s="22"/>
      <c r="I46" s="20" t="s">
        <v>282</v>
      </c>
      <c r="J46" s="18"/>
      <c r="K46" s="18"/>
    </row>
    <row r="47" spans="1:11" ht="38.75" x14ac:dyDescent="0.2">
      <c r="A47" s="12" t="s">
        <v>283</v>
      </c>
      <c r="B47" s="4" t="s">
        <v>284</v>
      </c>
      <c r="C47" s="7" t="s">
        <v>285</v>
      </c>
      <c r="D47" s="4" t="s">
        <v>286</v>
      </c>
      <c r="E47" s="8" t="s">
        <v>279</v>
      </c>
      <c r="F47" s="8" t="s">
        <v>287</v>
      </c>
      <c r="G47" s="24" t="s">
        <v>288</v>
      </c>
      <c r="H47" s="22"/>
      <c r="I47" s="13"/>
      <c r="J47" s="18"/>
      <c r="K47" s="18"/>
    </row>
    <row r="48" spans="1:11" ht="64.55" x14ac:dyDescent="0.2">
      <c r="A48" s="12" t="s">
        <v>289</v>
      </c>
      <c r="B48" s="4" t="s">
        <v>290</v>
      </c>
      <c r="C48" s="7" t="s">
        <v>291</v>
      </c>
      <c r="D48" s="4" t="s">
        <v>292</v>
      </c>
      <c r="E48" s="8" t="s">
        <v>279</v>
      </c>
      <c r="F48" s="8" t="s">
        <v>153</v>
      </c>
      <c r="G48" s="18" t="s">
        <v>293</v>
      </c>
      <c r="H48" s="22"/>
      <c r="I48" s="13" t="s">
        <v>294</v>
      </c>
      <c r="J48" s="18"/>
      <c r="K48" s="18"/>
    </row>
    <row r="49" spans="1:11" ht="51.65" x14ac:dyDescent="0.2">
      <c r="A49" s="12" t="s">
        <v>295</v>
      </c>
      <c r="B49" s="4" t="s">
        <v>296</v>
      </c>
      <c r="C49" s="7" t="s">
        <v>297</v>
      </c>
      <c r="D49" s="4" t="s">
        <v>298</v>
      </c>
      <c r="E49" s="8" t="s">
        <v>279</v>
      </c>
      <c r="F49" s="8" t="s">
        <v>207</v>
      </c>
      <c r="G49" s="18" t="s">
        <v>299</v>
      </c>
      <c r="H49" s="18"/>
      <c r="I49" s="13"/>
      <c r="J49" s="18"/>
      <c r="K49" s="18"/>
    </row>
    <row r="50" spans="1:11" ht="77.45" x14ac:dyDescent="0.2">
      <c r="A50" s="12" t="s">
        <v>295</v>
      </c>
      <c r="B50" s="4" t="s">
        <v>300</v>
      </c>
      <c r="C50" s="7" t="s">
        <v>301</v>
      </c>
      <c r="D50" s="4" t="s">
        <v>302</v>
      </c>
      <c r="E50" s="8" t="s">
        <v>279</v>
      </c>
      <c r="F50" s="8" t="s">
        <v>207</v>
      </c>
      <c r="G50" s="18" t="s">
        <v>271</v>
      </c>
      <c r="H50" s="18"/>
      <c r="I50" s="13"/>
      <c r="J50" s="18"/>
      <c r="K50" s="18"/>
    </row>
    <row r="51" spans="1:11" ht="38.75" x14ac:dyDescent="0.2">
      <c r="A51" s="12" t="s">
        <v>303</v>
      </c>
      <c r="B51" s="4" t="s">
        <v>304</v>
      </c>
      <c r="C51" s="11" t="s">
        <v>305</v>
      </c>
      <c r="D51" s="1" t="s">
        <v>306</v>
      </c>
      <c r="E51" s="10" t="s">
        <v>279</v>
      </c>
      <c r="F51" s="10" t="s">
        <v>307</v>
      </c>
      <c r="G51" s="22" t="s">
        <v>308</v>
      </c>
      <c r="H51" s="22"/>
      <c r="I51" s="20"/>
      <c r="J51" s="18"/>
      <c r="K51" s="18"/>
    </row>
    <row r="52" spans="1:11" ht="348.45" x14ac:dyDescent="0.2">
      <c r="A52" s="12" t="s">
        <v>309</v>
      </c>
      <c r="B52" s="4" t="s">
        <v>310</v>
      </c>
      <c r="C52" s="7" t="s">
        <v>311</v>
      </c>
      <c r="D52" s="4" t="s">
        <v>312</v>
      </c>
      <c r="E52" s="8" t="s">
        <v>279</v>
      </c>
      <c r="F52" s="8" t="s">
        <v>313</v>
      </c>
      <c r="G52" s="18" t="s">
        <v>314</v>
      </c>
      <c r="H52" s="18" t="s">
        <v>315</v>
      </c>
      <c r="I52" s="13" t="s">
        <v>316</v>
      </c>
      <c r="J52" s="18"/>
      <c r="K52" s="18"/>
    </row>
    <row r="53" spans="1:11" ht="90.35" x14ac:dyDescent="0.2">
      <c r="A53" s="12" t="s">
        <v>309</v>
      </c>
      <c r="B53" s="3" t="s">
        <v>317</v>
      </c>
      <c r="C53" s="11" t="s">
        <v>318</v>
      </c>
      <c r="D53" s="1" t="s">
        <v>319</v>
      </c>
      <c r="E53" s="10" t="s">
        <v>279</v>
      </c>
      <c r="F53" s="10" t="s">
        <v>313</v>
      </c>
      <c r="G53" s="22" t="s">
        <v>320</v>
      </c>
      <c r="H53" s="22" t="s">
        <v>321</v>
      </c>
      <c r="I53" s="20" t="s">
        <v>322</v>
      </c>
      <c r="J53" s="18"/>
      <c r="K53" s="18"/>
    </row>
    <row r="54" spans="1:11" ht="77.45" x14ac:dyDescent="0.2">
      <c r="A54" s="12" t="s">
        <v>323</v>
      </c>
      <c r="B54" s="4" t="s">
        <v>324</v>
      </c>
      <c r="C54" s="7" t="s">
        <v>325</v>
      </c>
      <c r="D54" s="4" t="s">
        <v>326</v>
      </c>
      <c r="E54" s="8" t="s">
        <v>279</v>
      </c>
      <c r="F54" s="8" t="s">
        <v>327</v>
      </c>
      <c r="G54" s="18" t="s">
        <v>328</v>
      </c>
      <c r="H54" s="18"/>
      <c r="I54" s="13" t="s">
        <v>329</v>
      </c>
      <c r="J54" s="18"/>
      <c r="K54" s="18"/>
    </row>
    <row r="55" spans="1:11" ht="64.55" x14ac:dyDescent="0.2">
      <c r="A55" s="12" t="s">
        <v>330</v>
      </c>
      <c r="B55" s="4" t="s">
        <v>331</v>
      </c>
      <c r="C55" s="7" t="s">
        <v>332</v>
      </c>
      <c r="D55" s="4" t="s">
        <v>333</v>
      </c>
      <c r="E55" s="8" t="s">
        <v>279</v>
      </c>
      <c r="F55" s="8" t="s">
        <v>334</v>
      </c>
      <c r="G55" s="18" t="s">
        <v>335</v>
      </c>
      <c r="H55" s="18"/>
      <c r="I55" s="13"/>
      <c r="J55" s="18"/>
      <c r="K55" s="18"/>
    </row>
    <row r="56" spans="1:11" ht="38.75" x14ac:dyDescent="0.2">
      <c r="A56" s="12" t="s">
        <v>336</v>
      </c>
      <c r="B56" s="4" t="s">
        <v>337</v>
      </c>
      <c r="C56" s="7" t="s">
        <v>338</v>
      </c>
      <c r="D56" s="4" t="s">
        <v>339</v>
      </c>
      <c r="E56" s="8" t="s">
        <v>279</v>
      </c>
      <c r="F56" s="8" t="s">
        <v>340</v>
      </c>
      <c r="G56" s="18" t="s">
        <v>341</v>
      </c>
      <c r="H56" s="18"/>
      <c r="I56" s="13"/>
      <c r="J56" s="18"/>
      <c r="K56" s="18"/>
    </row>
    <row r="57" spans="1:11" ht="25.85" x14ac:dyDescent="0.2">
      <c r="A57" s="12" t="s">
        <v>342</v>
      </c>
      <c r="B57" s="2" t="s">
        <v>343</v>
      </c>
      <c r="C57" s="11" t="s">
        <v>344</v>
      </c>
      <c r="D57" s="1" t="s">
        <v>345</v>
      </c>
      <c r="E57" s="10" t="s">
        <v>346</v>
      </c>
      <c r="F57" s="10" t="s">
        <v>153</v>
      </c>
      <c r="G57" s="22" t="s">
        <v>347</v>
      </c>
      <c r="H57" s="22"/>
      <c r="I57" s="20" t="s">
        <v>348</v>
      </c>
      <c r="J57" s="18"/>
      <c r="K57" s="18"/>
    </row>
    <row r="58" spans="1:11" ht="38.75" x14ac:dyDescent="0.2">
      <c r="A58" s="12" t="s">
        <v>342</v>
      </c>
      <c r="B58" s="4" t="s">
        <v>349</v>
      </c>
      <c r="C58" s="7" t="s">
        <v>350</v>
      </c>
      <c r="D58" s="4" t="s">
        <v>351</v>
      </c>
      <c r="E58" s="8" t="s">
        <v>346</v>
      </c>
      <c r="F58" s="8" t="s">
        <v>153</v>
      </c>
      <c r="G58" s="18" t="s">
        <v>352</v>
      </c>
      <c r="H58" s="18"/>
      <c r="I58" s="13"/>
      <c r="J58" s="18"/>
      <c r="K58" s="18"/>
    </row>
    <row r="59" spans="1:11" ht="25.85" x14ac:dyDescent="0.2">
      <c r="A59" s="12" t="s">
        <v>342</v>
      </c>
      <c r="B59" s="4" t="s">
        <v>353</v>
      </c>
      <c r="C59" s="7" t="s">
        <v>354</v>
      </c>
      <c r="D59" s="4" t="s">
        <v>355</v>
      </c>
      <c r="E59" s="8" t="s">
        <v>346</v>
      </c>
      <c r="F59" s="8" t="s">
        <v>153</v>
      </c>
      <c r="G59" s="18" t="s">
        <v>356</v>
      </c>
      <c r="H59" s="18"/>
      <c r="I59" s="13"/>
      <c r="J59" s="18"/>
      <c r="K59" s="18"/>
    </row>
    <row r="60" spans="1:11" ht="25.85" x14ac:dyDescent="0.2">
      <c r="A60" s="12" t="s">
        <v>357</v>
      </c>
      <c r="B60" s="4" t="s">
        <v>358</v>
      </c>
      <c r="C60" s="7" t="s">
        <v>359</v>
      </c>
      <c r="D60" s="4" t="s">
        <v>360</v>
      </c>
      <c r="E60" s="8" t="s">
        <v>346</v>
      </c>
      <c r="F60" s="8" t="s">
        <v>103</v>
      </c>
      <c r="G60" s="24" t="s">
        <v>361</v>
      </c>
      <c r="H60" s="18"/>
      <c r="I60" s="13"/>
      <c r="J60" s="18"/>
      <c r="K60" s="18"/>
    </row>
    <row r="61" spans="1:11" ht="25.85" x14ac:dyDescent="0.2">
      <c r="A61" s="12" t="s">
        <v>362</v>
      </c>
      <c r="B61" s="2" t="s">
        <v>363</v>
      </c>
      <c r="C61" s="11" t="s">
        <v>364</v>
      </c>
      <c r="D61" s="1" t="s">
        <v>365</v>
      </c>
      <c r="E61" s="10" t="s">
        <v>346</v>
      </c>
      <c r="F61" s="10" t="s">
        <v>366</v>
      </c>
      <c r="G61" s="25" t="s">
        <v>367</v>
      </c>
      <c r="H61" s="18"/>
      <c r="I61" s="20"/>
      <c r="J61" s="18"/>
      <c r="K61" s="18"/>
    </row>
    <row r="62" spans="1:11" ht="64.55" x14ac:dyDescent="0.2">
      <c r="A62" s="12" t="s">
        <v>368</v>
      </c>
      <c r="B62" s="4" t="s">
        <v>369</v>
      </c>
      <c r="C62" s="7" t="s">
        <v>370</v>
      </c>
      <c r="D62" s="4" t="s">
        <v>371</v>
      </c>
      <c r="E62" s="8" t="s">
        <v>372</v>
      </c>
      <c r="F62" s="8" t="s">
        <v>116</v>
      </c>
      <c r="G62" s="18" t="s">
        <v>373</v>
      </c>
      <c r="H62" s="18"/>
      <c r="I62" s="13" t="s">
        <v>374</v>
      </c>
      <c r="J62" s="18"/>
      <c r="K62" s="18"/>
    </row>
    <row r="63" spans="1:11" ht="38.75" x14ac:dyDescent="0.2">
      <c r="A63" s="12" t="s">
        <v>368</v>
      </c>
      <c r="B63" s="4" t="s">
        <v>375</v>
      </c>
      <c r="C63" s="7" t="s">
        <v>376</v>
      </c>
      <c r="D63" s="4" t="s">
        <v>377</v>
      </c>
      <c r="E63" s="8" t="s">
        <v>372</v>
      </c>
      <c r="F63" s="8" t="s">
        <v>116</v>
      </c>
      <c r="G63" s="18" t="s">
        <v>378</v>
      </c>
      <c r="H63" s="18"/>
      <c r="I63" s="13" t="s">
        <v>379</v>
      </c>
      <c r="J63" s="18"/>
      <c r="K63" s="18"/>
    </row>
    <row r="64" spans="1:11" ht="25.85" x14ac:dyDescent="0.2">
      <c r="A64" s="12" t="s">
        <v>368</v>
      </c>
      <c r="B64" s="4" t="s">
        <v>380</v>
      </c>
      <c r="C64" s="7" t="s">
        <v>381</v>
      </c>
      <c r="D64" s="4" t="s">
        <v>382</v>
      </c>
      <c r="E64" s="8" t="s">
        <v>372</v>
      </c>
      <c r="F64" s="8" t="s">
        <v>116</v>
      </c>
      <c r="G64" s="18" t="s">
        <v>383</v>
      </c>
      <c r="H64" s="18"/>
      <c r="I64" s="13" t="s">
        <v>384</v>
      </c>
      <c r="J64" s="18"/>
      <c r="K64" s="18"/>
    </row>
    <row r="65" spans="1:11" ht="51.65" x14ac:dyDescent="0.2">
      <c r="A65" s="12" t="s">
        <v>368</v>
      </c>
      <c r="B65" s="4" t="s">
        <v>385</v>
      </c>
      <c r="C65" s="7" t="s">
        <v>386</v>
      </c>
      <c r="D65" s="4" t="s">
        <v>387</v>
      </c>
      <c r="E65" s="8" t="s">
        <v>372</v>
      </c>
      <c r="F65" s="8" t="s">
        <v>116</v>
      </c>
      <c r="G65" s="24" t="s">
        <v>388</v>
      </c>
      <c r="H65" s="18"/>
      <c r="I65" s="13"/>
      <c r="J65" s="18"/>
      <c r="K65" s="18"/>
    </row>
    <row r="66" spans="1:11" ht="116.15" x14ac:dyDescent="0.2">
      <c r="A66" s="12" t="s">
        <v>368</v>
      </c>
      <c r="B66" s="4" t="s">
        <v>389</v>
      </c>
      <c r="C66" s="7" t="s">
        <v>390</v>
      </c>
      <c r="D66" s="4" t="s">
        <v>391</v>
      </c>
      <c r="E66" s="8" t="s">
        <v>372</v>
      </c>
      <c r="F66" s="8" t="s">
        <v>116</v>
      </c>
      <c r="G66" s="24" t="s">
        <v>392</v>
      </c>
      <c r="H66" s="18"/>
      <c r="I66" s="13"/>
      <c r="J66" s="18"/>
      <c r="K66" s="18"/>
    </row>
    <row r="67" spans="1:11" ht="116.15" x14ac:dyDescent="0.2">
      <c r="A67" s="12" t="s">
        <v>368</v>
      </c>
      <c r="B67" s="4" t="s">
        <v>393</v>
      </c>
      <c r="C67" s="7" t="s">
        <v>394</v>
      </c>
      <c r="D67" s="4" t="s">
        <v>395</v>
      </c>
      <c r="E67" s="8" t="s">
        <v>372</v>
      </c>
      <c r="F67" s="8" t="s">
        <v>116</v>
      </c>
      <c r="G67" s="18" t="s">
        <v>396</v>
      </c>
      <c r="H67" s="18"/>
      <c r="I67" s="13" t="s">
        <v>397</v>
      </c>
      <c r="J67" s="18"/>
      <c r="K67" s="18"/>
    </row>
    <row r="68" spans="1:11" ht="409.6" x14ac:dyDescent="0.2">
      <c r="A68" s="12" t="s">
        <v>398</v>
      </c>
      <c r="B68" s="4" t="s">
        <v>399</v>
      </c>
      <c r="C68" s="7" t="s">
        <v>400</v>
      </c>
      <c r="D68" s="4" t="s">
        <v>401</v>
      </c>
      <c r="E68" s="8" t="s">
        <v>372</v>
      </c>
      <c r="F68" s="8" t="s">
        <v>74</v>
      </c>
      <c r="G68" s="18" t="s">
        <v>402</v>
      </c>
      <c r="H68" s="18"/>
      <c r="I68" s="13" t="s">
        <v>403</v>
      </c>
      <c r="J68" s="18"/>
      <c r="K68" s="18"/>
    </row>
    <row r="69" spans="1:11" ht="38.75" x14ac:dyDescent="0.2">
      <c r="A69" s="12" t="s">
        <v>404</v>
      </c>
      <c r="B69" s="4" t="s">
        <v>405</v>
      </c>
      <c r="C69" s="7" t="s">
        <v>406</v>
      </c>
      <c r="D69" s="4" t="s">
        <v>407</v>
      </c>
      <c r="E69" s="8" t="s">
        <v>372</v>
      </c>
      <c r="F69" s="8" t="s">
        <v>366</v>
      </c>
      <c r="G69" s="24" t="s">
        <v>408</v>
      </c>
      <c r="H69" s="18"/>
      <c r="I69" s="13" t="s">
        <v>409</v>
      </c>
      <c r="J69" s="18"/>
      <c r="K69" s="18"/>
    </row>
    <row r="70" spans="1:11" ht="103.25" x14ac:dyDescent="0.2">
      <c r="A70" s="12" t="s">
        <v>410</v>
      </c>
      <c r="B70" s="4" t="s">
        <v>411</v>
      </c>
      <c r="C70" s="7" t="s">
        <v>412</v>
      </c>
      <c r="D70" s="4" t="s">
        <v>413</v>
      </c>
      <c r="E70" s="8" t="s">
        <v>372</v>
      </c>
      <c r="F70" s="8" t="s">
        <v>414</v>
      </c>
      <c r="G70" s="18" t="s">
        <v>415</v>
      </c>
      <c r="H70" s="18"/>
      <c r="I70" s="13"/>
      <c r="J70" s="18"/>
      <c r="K70" s="18"/>
    </row>
    <row r="71" spans="1:11" ht="25.85" x14ac:dyDescent="0.2">
      <c r="A71" s="12" t="s">
        <v>416</v>
      </c>
      <c r="B71" s="4" t="s">
        <v>417</v>
      </c>
      <c r="C71" s="11" t="s">
        <v>418</v>
      </c>
      <c r="D71" s="1" t="s">
        <v>419</v>
      </c>
      <c r="E71" s="10" t="s">
        <v>420</v>
      </c>
      <c r="F71" s="10" t="s">
        <v>421</v>
      </c>
      <c r="G71" s="22" t="s">
        <v>422</v>
      </c>
      <c r="H71" s="22"/>
      <c r="I71" s="20"/>
      <c r="J71" s="18"/>
      <c r="K71" s="18"/>
    </row>
    <row r="72" spans="1:11" ht="25.85" x14ac:dyDescent="0.2">
      <c r="A72" s="12" t="s">
        <v>423</v>
      </c>
      <c r="B72" s="4" t="s">
        <v>424</v>
      </c>
      <c r="C72" s="11" t="s">
        <v>425</v>
      </c>
      <c r="D72" s="1" t="s">
        <v>426</v>
      </c>
      <c r="E72" s="10" t="s">
        <v>420</v>
      </c>
      <c r="F72" s="10" t="s">
        <v>427</v>
      </c>
      <c r="G72" s="22" t="s">
        <v>422</v>
      </c>
      <c r="H72" s="22"/>
      <c r="I72" s="20"/>
      <c r="J72" s="18"/>
      <c r="K72" s="18"/>
    </row>
    <row r="73" spans="1:11" ht="38.75" x14ac:dyDescent="0.2">
      <c r="A73" s="12" t="s">
        <v>428</v>
      </c>
      <c r="B73" s="4" t="s">
        <v>429</v>
      </c>
      <c r="C73" s="7" t="s">
        <v>430</v>
      </c>
      <c r="D73" s="4" t="s">
        <v>431</v>
      </c>
      <c r="E73" s="8" t="s">
        <v>432</v>
      </c>
      <c r="F73" s="8" t="s">
        <v>66</v>
      </c>
      <c r="G73" s="18" t="s">
        <v>433</v>
      </c>
      <c r="H73" s="18"/>
      <c r="I73" s="13" t="s">
        <v>434</v>
      </c>
      <c r="J73" s="18"/>
      <c r="K73" s="18"/>
    </row>
    <row r="74" spans="1:11" ht="38.75" x14ac:dyDescent="0.2">
      <c r="A74" s="12" t="s">
        <v>428</v>
      </c>
      <c r="B74" s="4" t="s">
        <v>435</v>
      </c>
      <c r="C74" s="7" t="s">
        <v>436</v>
      </c>
      <c r="D74" s="4" t="s">
        <v>437</v>
      </c>
      <c r="E74" s="8" t="s">
        <v>432</v>
      </c>
      <c r="F74" s="8" t="s">
        <v>66</v>
      </c>
      <c r="G74" s="18" t="s">
        <v>438</v>
      </c>
      <c r="H74" s="18"/>
      <c r="I74" s="13" t="s">
        <v>439</v>
      </c>
      <c r="J74" s="18"/>
      <c r="K74" s="18"/>
    </row>
    <row r="75" spans="1:11" ht="64.55" x14ac:dyDescent="0.2">
      <c r="A75" s="12" t="s">
        <v>428</v>
      </c>
      <c r="B75" s="4" t="s">
        <v>440</v>
      </c>
      <c r="C75" s="7" t="s">
        <v>441</v>
      </c>
      <c r="D75" s="4" t="s">
        <v>442</v>
      </c>
      <c r="E75" s="8" t="s">
        <v>432</v>
      </c>
      <c r="F75" s="8" t="s">
        <v>66</v>
      </c>
      <c r="G75" s="24" t="s">
        <v>443</v>
      </c>
      <c r="H75" s="18"/>
      <c r="I75" s="13"/>
      <c r="J75" s="18"/>
      <c r="K75" s="18"/>
    </row>
    <row r="76" spans="1:11" ht="90.35" x14ac:dyDescent="0.2">
      <c r="A76" s="12" t="s">
        <v>444</v>
      </c>
      <c r="B76" s="4" t="s">
        <v>445</v>
      </c>
      <c r="C76" s="7" t="s">
        <v>446</v>
      </c>
      <c r="D76" s="4" t="s">
        <v>447</v>
      </c>
      <c r="E76" s="8" t="s">
        <v>448</v>
      </c>
      <c r="F76" s="8" t="s">
        <v>246</v>
      </c>
      <c r="G76" s="18" t="s">
        <v>449</v>
      </c>
      <c r="H76" s="18"/>
      <c r="I76" s="13"/>
      <c r="J76" s="18"/>
      <c r="K76" s="18"/>
    </row>
    <row r="77" spans="1:11" ht="25.85" x14ac:dyDescent="0.2">
      <c r="A77" s="12" t="s">
        <v>450</v>
      </c>
      <c r="B77" s="4" t="s">
        <v>451</v>
      </c>
      <c r="C77" s="7" t="s">
        <v>452</v>
      </c>
      <c r="D77" s="4" t="s">
        <v>453</v>
      </c>
      <c r="E77" s="8" t="s">
        <v>448</v>
      </c>
      <c r="F77" s="8" t="s">
        <v>90</v>
      </c>
      <c r="G77" s="18" t="s">
        <v>454</v>
      </c>
      <c r="H77" s="18"/>
      <c r="I77" s="13"/>
      <c r="J77" s="18"/>
      <c r="K77" s="18"/>
    </row>
    <row r="78" spans="1:11" ht="64.55" x14ac:dyDescent="0.2">
      <c r="A78" s="12" t="s">
        <v>455</v>
      </c>
      <c r="B78" s="4" t="s">
        <v>456</v>
      </c>
      <c r="C78" s="7" t="s">
        <v>457</v>
      </c>
      <c r="D78" s="4" t="s">
        <v>458</v>
      </c>
      <c r="E78" s="8" t="s">
        <v>448</v>
      </c>
      <c r="F78" s="8" t="s">
        <v>366</v>
      </c>
      <c r="G78" s="18" t="s">
        <v>459</v>
      </c>
      <c r="H78" s="18"/>
      <c r="I78" s="13"/>
      <c r="J78" s="18"/>
      <c r="K78" s="18"/>
    </row>
    <row r="79" spans="1:11" ht="167.8" x14ac:dyDescent="0.2">
      <c r="A79" s="12" t="s">
        <v>460</v>
      </c>
      <c r="B79" s="4" t="s">
        <v>461</v>
      </c>
      <c r="C79" s="7" t="s">
        <v>462</v>
      </c>
      <c r="D79" s="4" t="s">
        <v>463</v>
      </c>
      <c r="E79" s="8" t="s">
        <v>464</v>
      </c>
      <c r="F79" s="8" t="s">
        <v>465</v>
      </c>
      <c r="G79" s="18" t="s">
        <v>466</v>
      </c>
      <c r="H79" s="18"/>
      <c r="I79" s="13" t="s">
        <v>467</v>
      </c>
      <c r="J79" s="18"/>
      <c r="K79" s="18"/>
    </row>
    <row r="80" spans="1:11" ht="25.85" x14ac:dyDescent="0.2">
      <c r="A80" s="12" t="s">
        <v>468</v>
      </c>
      <c r="B80" s="3" t="s">
        <v>469</v>
      </c>
      <c r="C80" s="11" t="s">
        <v>470</v>
      </c>
      <c r="D80" s="1" t="s">
        <v>471</v>
      </c>
      <c r="E80" s="10" t="s">
        <v>464</v>
      </c>
      <c r="F80" s="10" t="s">
        <v>472</v>
      </c>
      <c r="G80" s="22" t="s">
        <v>473</v>
      </c>
      <c r="H80" s="22"/>
      <c r="I80" s="20"/>
      <c r="J80" s="18"/>
      <c r="K80" s="18"/>
    </row>
    <row r="81" spans="1:11" ht="25.85" x14ac:dyDescent="0.2">
      <c r="A81" s="12" t="s">
        <v>474</v>
      </c>
      <c r="B81" s="4" t="s">
        <v>475</v>
      </c>
      <c r="C81" s="7" t="s">
        <v>476</v>
      </c>
      <c r="D81" s="4" t="s">
        <v>477</v>
      </c>
      <c r="E81" s="8" t="s">
        <v>464</v>
      </c>
      <c r="F81" s="8" t="s">
        <v>478</v>
      </c>
      <c r="G81" s="18" t="s">
        <v>479</v>
      </c>
      <c r="H81" s="18"/>
      <c r="I81" s="13"/>
      <c r="J81" s="18"/>
      <c r="K81" s="18"/>
    </row>
    <row r="82" spans="1:11" ht="77.45" x14ac:dyDescent="0.2">
      <c r="A82" s="12" t="s">
        <v>480</v>
      </c>
      <c r="B82" s="4" t="s">
        <v>481</v>
      </c>
      <c r="C82" s="7" t="s">
        <v>482</v>
      </c>
      <c r="D82" s="4" t="s">
        <v>483</v>
      </c>
      <c r="E82" s="8" t="s">
        <v>464</v>
      </c>
      <c r="F82" s="8" t="s">
        <v>90</v>
      </c>
      <c r="G82" s="18" t="s">
        <v>484</v>
      </c>
      <c r="H82" s="18"/>
      <c r="I82" s="13"/>
      <c r="J82" s="18"/>
      <c r="K82" s="18"/>
    </row>
    <row r="83" spans="1:11" ht="116.15" x14ac:dyDescent="0.2">
      <c r="A83" s="12" t="s">
        <v>485</v>
      </c>
      <c r="B83" s="3" t="s">
        <v>486</v>
      </c>
      <c r="C83" s="11" t="s">
        <v>487</v>
      </c>
      <c r="D83" s="1" t="s">
        <v>488</v>
      </c>
      <c r="E83" s="10" t="s">
        <v>489</v>
      </c>
      <c r="F83" s="10" t="s">
        <v>246</v>
      </c>
      <c r="G83" s="22" t="s">
        <v>490</v>
      </c>
      <c r="H83" s="22"/>
      <c r="I83" s="20" t="s">
        <v>491</v>
      </c>
      <c r="J83" s="18"/>
      <c r="K83" s="18"/>
    </row>
    <row r="84" spans="1:11" ht="38.75" x14ac:dyDescent="0.2">
      <c r="A84" s="12" t="s">
        <v>492</v>
      </c>
      <c r="B84" s="4" t="s">
        <v>493</v>
      </c>
      <c r="C84" s="7" t="s">
        <v>494</v>
      </c>
      <c r="D84" s="4" t="s">
        <v>495</v>
      </c>
      <c r="E84" s="8" t="s">
        <v>489</v>
      </c>
      <c r="F84" s="8" t="s">
        <v>199</v>
      </c>
      <c r="G84" s="26" t="s">
        <v>496</v>
      </c>
      <c r="H84" s="22"/>
      <c r="I84" s="13"/>
      <c r="J84" s="18"/>
      <c r="K84" s="18"/>
    </row>
    <row r="85" spans="1:11" ht="38.75" x14ac:dyDescent="0.2">
      <c r="A85" s="12" t="s">
        <v>497</v>
      </c>
      <c r="B85" s="3" t="s">
        <v>498</v>
      </c>
      <c r="C85" s="11" t="s">
        <v>499</v>
      </c>
      <c r="D85" s="1" t="s">
        <v>500</v>
      </c>
      <c r="E85" s="10" t="s">
        <v>501</v>
      </c>
      <c r="F85" s="10" t="s">
        <v>66</v>
      </c>
      <c r="G85" s="22" t="s">
        <v>502</v>
      </c>
      <c r="H85" s="22"/>
      <c r="I85" s="20"/>
      <c r="J85" s="18"/>
      <c r="K85" s="18"/>
    </row>
    <row r="86" spans="1:11" ht="51.65" x14ac:dyDescent="0.2">
      <c r="A86" s="12" t="s">
        <v>503</v>
      </c>
      <c r="B86" s="4" t="s">
        <v>504</v>
      </c>
      <c r="C86" s="11" t="s">
        <v>505</v>
      </c>
      <c r="D86" s="1" t="s">
        <v>506</v>
      </c>
      <c r="E86" s="10" t="s">
        <v>501</v>
      </c>
      <c r="F86" s="10" t="s">
        <v>173</v>
      </c>
      <c r="G86" s="22" t="s">
        <v>507</v>
      </c>
      <c r="H86" s="22"/>
      <c r="I86" s="20"/>
      <c r="J86" s="18"/>
      <c r="K86" s="18"/>
    </row>
    <row r="87" spans="1:11" ht="51.65" x14ac:dyDescent="0.2">
      <c r="A87" s="12" t="s">
        <v>508</v>
      </c>
      <c r="B87" s="4" t="s">
        <v>509</v>
      </c>
      <c r="C87" s="7" t="s">
        <v>510</v>
      </c>
      <c r="D87" s="4" t="s">
        <v>511</v>
      </c>
      <c r="E87" s="8" t="s">
        <v>501</v>
      </c>
      <c r="F87" s="8" t="s">
        <v>280</v>
      </c>
      <c r="G87" s="18" t="s">
        <v>512</v>
      </c>
      <c r="H87" s="18"/>
      <c r="I87" s="13"/>
      <c r="J87" s="18"/>
      <c r="K87" s="18"/>
    </row>
    <row r="88" spans="1:11" ht="51.65" x14ac:dyDescent="0.2">
      <c r="A88" s="12" t="s">
        <v>513</v>
      </c>
      <c r="B88" s="2" t="s">
        <v>514</v>
      </c>
      <c r="C88" s="11" t="s">
        <v>515</v>
      </c>
      <c r="D88" s="1" t="s">
        <v>516</v>
      </c>
      <c r="E88" s="10" t="s">
        <v>501</v>
      </c>
      <c r="F88" s="10" t="s">
        <v>517</v>
      </c>
      <c r="G88" s="22" t="s">
        <v>518</v>
      </c>
      <c r="H88" s="22"/>
      <c r="I88" s="20"/>
      <c r="J88" s="18"/>
      <c r="K88" s="18"/>
    </row>
    <row r="89" spans="1:11" ht="51.65" x14ac:dyDescent="0.2">
      <c r="A89" s="12" t="s">
        <v>519</v>
      </c>
      <c r="B89" s="4" t="s">
        <v>520</v>
      </c>
      <c r="C89" s="7" t="s">
        <v>521</v>
      </c>
      <c r="D89" s="4" t="s">
        <v>522</v>
      </c>
      <c r="E89" s="8" t="s">
        <v>501</v>
      </c>
      <c r="F89" s="8" t="s">
        <v>523</v>
      </c>
      <c r="G89" s="18" t="s">
        <v>524</v>
      </c>
      <c r="H89" s="18"/>
      <c r="I89" s="13"/>
      <c r="J89" s="18"/>
      <c r="K89" s="18"/>
    </row>
    <row r="90" spans="1:11" ht="51.65" x14ac:dyDescent="0.2">
      <c r="A90" s="12" t="s">
        <v>525</v>
      </c>
      <c r="B90" s="4" t="s">
        <v>526</v>
      </c>
      <c r="C90" s="7" t="s">
        <v>527</v>
      </c>
      <c r="D90" s="4" t="s">
        <v>528</v>
      </c>
      <c r="E90" s="8" t="s">
        <v>501</v>
      </c>
      <c r="F90" s="8" t="s">
        <v>529</v>
      </c>
      <c r="G90" s="18" t="s">
        <v>530</v>
      </c>
      <c r="H90" s="18"/>
      <c r="I90" s="13"/>
      <c r="J90" s="18"/>
      <c r="K90" s="18"/>
    </row>
    <row r="91" spans="1:11" ht="51.65" x14ac:dyDescent="0.2">
      <c r="A91" s="12" t="s">
        <v>525</v>
      </c>
      <c r="B91" s="2" t="s">
        <v>531</v>
      </c>
      <c r="C91" s="11" t="s">
        <v>532</v>
      </c>
      <c r="D91" s="1" t="s">
        <v>533</v>
      </c>
      <c r="E91" s="10" t="s">
        <v>501</v>
      </c>
      <c r="F91" s="10" t="s">
        <v>529</v>
      </c>
      <c r="G91" s="22" t="s">
        <v>534</v>
      </c>
      <c r="H91" s="22"/>
      <c r="I91" s="20"/>
      <c r="J91" s="18"/>
      <c r="K91" s="18"/>
    </row>
    <row r="92" spans="1:11" ht="51.65" x14ac:dyDescent="0.2">
      <c r="A92" s="12" t="s">
        <v>525</v>
      </c>
      <c r="B92" s="4" t="s">
        <v>535</v>
      </c>
      <c r="C92" s="7" t="s">
        <v>536</v>
      </c>
      <c r="D92" s="4" t="s">
        <v>537</v>
      </c>
      <c r="E92" s="8" t="s">
        <v>501</v>
      </c>
      <c r="F92" s="8" t="s">
        <v>529</v>
      </c>
      <c r="G92" s="18" t="s">
        <v>538</v>
      </c>
      <c r="H92" s="18"/>
      <c r="I92" s="13"/>
      <c r="J92" s="18"/>
      <c r="K92" s="18"/>
    </row>
    <row r="93" spans="1:11" ht="51.65" x14ac:dyDescent="0.2">
      <c r="A93" s="12" t="s">
        <v>539</v>
      </c>
      <c r="B93" s="3" t="s">
        <v>540</v>
      </c>
      <c r="C93" s="11" t="s">
        <v>541</v>
      </c>
      <c r="D93" s="1" t="s">
        <v>542</v>
      </c>
      <c r="E93" s="10" t="s">
        <v>501</v>
      </c>
      <c r="F93" s="10" t="s">
        <v>32</v>
      </c>
      <c r="G93" s="22" t="s">
        <v>543</v>
      </c>
      <c r="H93" s="22"/>
      <c r="I93" s="20"/>
      <c r="J93" s="18"/>
      <c r="K93" s="18"/>
    </row>
    <row r="94" spans="1:11" ht="77.45" x14ac:dyDescent="0.2">
      <c r="A94" s="12" t="s">
        <v>544</v>
      </c>
      <c r="B94" s="4" t="s">
        <v>545</v>
      </c>
      <c r="C94" s="7" t="s">
        <v>546</v>
      </c>
      <c r="D94" s="4" t="s">
        <v>547</v>
      </c>
      <c r="E94" s="8" t="s">
        <v>501</v>
      </c>
      <c r="F94" s="8" t="s">
        <v>307</v>
      </c>
      <c r="G94" s="18" t="s">
        <v>548</v>
      </c>
      <c r="H94" s="18"/>
      <c r="I94" s="13"/>
      <c r="J94" s="18"/>
      <c r="K94" s="18"/>
    </row>
    <row r="95" spans="1:11" ht="51.65" x14ac:dyDescent="0.2">
      <c r="A95" s="12" t="s">
        <v>549</v>
      </c>
      <c r="B95" s="4" t="s">
        <v>550</v>
      </c>
      <c r="C95" s="7" t="s">
        <v>551</v>
      </c>
      <c r="D95" s="4" t="s">
        <v>552</v>
      </c>
      <c r="E95" s="8" t="s">
        <v>501</v>
      </c>
      <c r="F95" s="8" t="s">
        <v>246</v>
      </c>
      <c r="G95" s="18" t="s">
        <v>553</v>
      </c>
      <c r="H95" s="18"/>
      <c r="I95" s="13" t="s">
        <v>554</v>
      </c>
      <c r="J95" s="18"/>
      <c r="K95" s="18"/>
    </row>
    <row r="96" spans="1:11" ht="51.65" x14ac:dyDescent="0.2">
      <c r="A96" s="12" t="s">
        <v>555</v>
      </c>
      <c r="B96" s="4" t="s">
        <v>556</v>
      </c>
      <c r="C96" s="7" t="s">
        <v>557</v>
      </c>
      <c r="D96" s="4" t="s">
        <v>558</v>
      </c>
      <c r="E96" s="8" t="s">
        <v>501</v>
      </c>
      <c r="F96" s="8" t="s">
        <v>559</v>
      </c>
      <c r="G96" s="18" t="s">
        <v>560</v>
      </c>
      <c r="H96" s="18" t="s">
        <v>561</v>
      </c>
      <c r="I96" s="13" t="s">
        <v>562</v>
      </c>
      <c r="J96" s="18"/>
      <c r="K96" s="18"/>
    </row>
    <row r="97" spans="1:11" ht="51.65" x14ac:dyDescent="0.2">
      <c r="A97" s="12" t="s">
        <v>563</v>
      </c>
      <c r="B97" s="4" t="s">
        <v>564</v>
      </c>
      <c r="C97" s="7" t="s">
        <v>565</v>
      </c>
      <c r="D97" s="4" t="s">
        <v>566</v>
      </c>
      <c r="E97" s="8" t="s">
        <v>501</v>
      </c>
      <c r="F97" s="8" t="s">
        <v>567</v>
      </c>
      <c r="G97" s="18" t="s">
        <v>568</v>
      </c>
      <c r="H97" s="18" t="s">
        <v>561</v>
      </c>
      <c r="I97" s="13" t="s">
        <v>569</v>
      </c>
      <c r="J97" s="18"/>
      <c r="K97" s="18"/>
    </row>
    <row r="98" spans="1:11" ht="51.65" x14ac:dyDescent="0.2">
      <c r="A98" s="12" t="s">
        <v>570</v>
      </c>
      <c r="B98" s="4" t="s">
        <v>571</v>
      </c>
      <c r="C98" s="7" t="s">
        <v>572</v>
      </c>
      <c r="D98" s="4" t="s">
        <v>573</v>
      </c>
      <c r="E98" s="8" t="s">
        <v>501</v>
      </c>
      <c r="F98" s="8" t="s">
        <v>574</v>
      </c>
      <c r="G98" s="18" t="s">
        <v>575</v>
      </c>
      <c r="H98" s="18"/>
      <c r="I98" s="13"/>
      <c r="J98" s="18"/>
      <c r="K98" s="18"/>
    </row>
    <row r="99" spans="1:11" ht="38.75" x14ac:dyDescent="0.2">
      <c r="A99" s="12" t="s">
        <v>576</v>
      </c>
      <c r="B99" s="4" t="s">
        <v>577</v>
      </c>
      <c r="C99" s="7" t="s">
        <v>578</v>
      </c>
      <c r="D99" s="4" t="s">
        <v>579</v>
      </c>
      <c r="E99" s="8" t="s">
        <v>501</v>
      </c>
      <c r="F99" s="8" t="s">
        <v>103</v>
      </c>
      <c r="G99" s="18" t="s">
        <v>580</v>
      </c>
      <c r="H99" s="18"/>
      <c r="I99" s="13" t="s">
        <v>581</v>
      </c>
      <c r="J99" s="18"/>
      <c r="K99" s="18"/>
    </row>
    <row r="100" spans="1:11" ht="90.35" x14ac:dyDescent="0.2">
      <c r="A100" s="12" t="s">
        <v>582</v>
      </c>
      <c r="B100" s="4" t="s">
        <v>583</v>
      </c>
      <c r="C100" s="11" t="s">
        <v>584</v>
      </c>
      <c r="D100" s="1" t="s">
        <v>585</v>
      </c>
      <c r="E100" s="10" t="s">
        <v>501</v>
      </c>
      <c r="F100" s="10" t="s">
        <v>31</v>
      </c>
      <c r="G100" s="27" t="s">
        <v>586</v>
      </c>
      <c r="H100" s="18"/>
      <c r="I100" s="20"/>
      <c r="J100" s="18"/>
      <c r="K100" s="18"/>
    </row>
    <row r="101" spans="1:11" ht="103.25" x14ac:dyDescent="0.2">
      <c r="A101" s="12" t="s">
        <v>582</v>
      </c>
      <c r="B101" s="2" t="s">
        <v>587</v>
      </c>
      <c r="C101" s="11" t="s">
        <v>588</v>
      </c>
      <c r="D101" s="1" t="s">
        <v>589</v>
      </c>
      <c r="E101" s="10" t="s">
        <v>501</v>
      </c>
      <c r="F101" s="10" t="s">
        <v>31</v>
      </c>
      <c r="G101" s="22" t="s">
        <v>590</v>
      </c>
      <c r="H101" s="18"/>
      <c r="I101" s="20"/>
      <c r="J101" s="18"/>
      <c r="K101" s="18"/>
    </row>
    <row r="102" spans="1:11" ht="90.35" x14ac:dyDescent="0.2">
      <c r="A102" s="12" t="s">
        <v>591</v>
      </c>
      <c r="B102" s="4" t="s">
        <v>592</v>
      </c>
      <c r="C102" s="7" t="s">
        <v>593</v>
      </c>
      <c r="D102" s="4" t="s">
        <v>594</v>
      </c>
      <c r="E102" s="8" t="s">
        <v>501</v>
      </c>
      <c r="F102" s="8" t="s">
        <v>595</v>
      </c>
      <c r="G102" s="26" t="s">
        <v>596</v>
      </c>
      <c r="H102" s="18"/>
      <c r="I102" s="13"/>
      <c r="J102" s="18"/>
      <c r="K102" s="18"/>
    </row>
    <row r="103" spans="1:11" ht="90.35" x14ac:dyDescent="0.2">
      <c r="A103" s="12" t="s">
        <v>597</v>
      </c>
      <c r="B103" s="4" t="s">
        <v>598</v>
      </c>
      <c r="C103" s="7" t="s">
        <v>599</v>
      </c>
      <c r="D103" s="4" t="s">
        <v>600</v>
      </c>
      <c r="E103" s="8" t="s">
        <v>501</v>
      </c>
      <c r="F103" s="8" t="s">
        <v>601</v>
      </c>
      <c r="G103" s="26" t="s">
        <v>602</v>
      </c>
      <c r="H103" s="18"/>
      <c r="I103" s="13"/>
      <c r="J103" s="18"/>
      <c r="K103" s="18"/>
    </row>
    <row r="104" spans="1:11" ht="90.35" x14ac:dyDescent="0.2">
      <c r="A104" s="12" t="s">
        <v>603</v>
      </c>
      <c r="B104" s="4" t="s">
        <v>604</v>
      </c>
      <c r="C104" s="11" t="s">
        <v>605</v>
      </c>
      <c r="D104" s="1" t="s">
        <v>606</v>
      </c>
      <c r="E104" s="10" t="s">
        <v>501</v>
      </c>
      <c r="F104" s="10" t="s">
        <v>59</v>
      </c>
      <c r="G104" s="27" t="s">
        <v>607</v>
      </c>
      <c r="H104" s="18"/>
      <c r="I104" s="20"/>
      <c r="J104" s="18"/>
      <c r="K104" s="18"/>
    </row>
    <row r="105" spans="1:11" ht="38.75" x14ac:dyDescent="0.2">
      <c r="A105" s="12" t="s">
        <v>608</v>
      </c>
      <c r="B105" s="4" t="s">
        <v>609</v>
      </c>
      <c r="C105" s="7" t="s">
        <v>610</v>
      </c>
      <c r="D105" s="4" t="s">
        <v>611</v>
      </c>
      <c r="E105" s="8" t="s">
        <v>501</v>
      </c>
      <c r="F105" s="8" t="s">
        <v>612</v>
      </c>
      <c r="G105" s="18" t="s">
        <v>613</v>
      </c>
      <c r="H105" s="18"/>
      <c r="I105" s="13"/>
      <c r="J105" s="18"/>
      <c r="K105" s="18"/>
    </row>
    <row r="106" spans="1:11" ht="51.65" x14ac:dyDescent="0.2">
      <c r="A106" s="12" t="s">
        <v>614</v>
      </c>
      <c r="B106" s="4" t="s">
        <v>615</v>
      </c>
      <c r="C106" s="7" t="s">
        <v>616</v>
      </c>
      <c r="D106" s="4" t="s">
        <v>617</v>
      </c>
      <c r="E106" s="8" t="s">
        <v>618</v>
      </c>
      <c r="F106" s="8" t="s">
        <v>74</v>
      </c>
      <c r="G106" s="18" t="s">
        <v>619</v>
      </c>
      <c r="H106" s="18"/>
      <c r="I106" s="13"/>
      <c r="J106" s="18"/>
      <c r="K106" s="18"/>
    </row>
    <row r="107" spans="1:11" ht="51.65" x14ac:dyDescent="0.2">
      <c r="A107" s="12" t="s">
        <v>614</v>
      </c>
      <c r="B107" s="4" t="s">
        <v>620</v>
      </c>
      <c r="C107" s="7" t="s">
        <v>621</v>
      </c>
      <c r="D107" s="4" t="s">
        <v>622</v>
      </c>
      <c r="E107" s="8" t="s">
        <v>618</v>
      </c>
      <c r="F107" s="8" t="s">
        <v>74</v>
      </c>
      <c r="G107" s="18" t="s">
        <v>623</v>
      </c>
      <c r="H107" s="18"/>
      <c r="I107" s="13"/>
      <c r="J107" s="18"/>
      <c r="K107" s="18"/>
    </row>
    <row r="108" spans="1:11" ht="90.35" x14ac:dyDescent="0.2">
      <c r="A108" s="12" t="s">
        <v>624</v>
      </c>
      <c r="B108" s="2" t="s">
        <v>625</v>
      </c>
      <c r="C108" s="11" t="s">
        <v>626</v>
      </c>
      <c r="D108" s="1" t="s">
        <v>627</v>
      </c>
      <c r="E108" s="10" t="s">
        <v>618</v>
      </c>
      <c r="F108" s="10" t="s">
        <v>32</v>
      </c>
      <c r="G108" s="22" t="s">
        <v>628</v>
      </c>
      <c r="H108" s="18"/>
      <c r="I108" s="20"/>
      <c r="J108" s="18"/>
      <c r="K108" s="18"/>
    </row>
    <row r="109" spans="1:11" ht="90.35" x14ac:dyDescent="0.2">
      <c r="A109" s="12" t="s">
        <v>629</v>
      </c>
      <c r="B109" s="4" t="s">
        <v>630</v>
      </c>
      <c r="C109" s="7" t="s">
        <v>631</v>
      </c>
      <c r="D109" s="4" t="s">
        <v>632</v>
      </c>
      <c r="E109" s="8" t="s">
        <v>618</v>
      </c>
      <c r="F109" s="8" t="s">
        <v>633</v>
      </c>
      <c r="G109" s="18" t="s">
        <v>634</v>
      </c>
      <c r="H109" s="18"/>
      <c r="I109" s="13"/>
      <c r="J109" s="18"/>
      <c r="K109" s="18"/>
    </row>
    <row r="110" spans="1:11" ht="116.15" x14ac:dyDescent="0.2">
      <c r="A110" s="12" t="s">
        <v>629</v>
      </c>
      <c r="B110" s="4" t="s">
        <v>635</v>
      </c>
      <c r="C110" s="7" t="s">
        <v>636</v>
      </c>
      <c r="D110" s="4" t="s">
        <v>637</v>
      </c>
      <c r="E110" s="8" t="s">
        <v>618</v>
      </c>
      <c r="F110" s="8" t="s">
        <v>633</v>
      </c>
      <c r="G110" s="18" t="s">
        <v>271</v>
      </c>
      <c r="H110" s="18"/>
      <c r="I110" s="13"/>
      <c r="J110" s="18"/>
      <c r="K110" s="18"/>
    </row>
    <row r="111" spans="1:11" ht="38.75" x14ac:dyDescent="0.2">
      <c r="A111" s="12" t="s">
        <v>638</v>
      </c>
      <c r="B111" s="4" t="s">
        <v>639</v>
      </c>
      <c r="C111" s="7" t="s">
        <v>640</v>
      </c>
      <c r="D111" s="4" t="s">
        <v>641</v>
      </c>
      <c r="E111" s="8" t="s">
        <v>618</v>
      </c>
      <c r="F111" s="8" t="s">
        <v>642</v>
      </c>
      <c r="G111" s="18" t="s">
        <v>643</v>
      </c>
      <c r="H111" s="18"/>
      <c r="I111" s="13"/>
      <c r="J111" s="18"/>
      <c r="K111" s="18"/>
    </row>
    <row r="112" spans="1:11" ht="51.65" x14ac:dyDescent="0.2">
      <c r="A112" s="12" t="s">
        <v>644</v>
      </c>
      <c r="B112" s="4" t="s">
        <v>645</v>
      </c>
      <c r="C112" s="7" t="s">
        <v>646</v>
      </c>
      <c r="D112" s="4" t="s">
        <v>647</v>
      </c>
      <c r="E112" s="8" t="s">
        <v>618</v>
      </c>
      <c r="F112" s="8" t="s">
        <v>648</v>
      </c>
      <c r="G112" s="18" t="s">
        <v>649</v>
      </c>
      <c r="H112" s="18"/>
      <c r="I112" s="13"/>
      <c r="J112" s="18"/>
      <c r="K112" s="18"/>
    </row>
    <row r="113" spans="1:11" ht="25.85" x14ac:dyDescent="0.2">
      <c r="A113" s="12" t="s">
        <v>650</v>
      </c>
      <c r="B113" s="4" t="s">
        <v>651</v>
      </c>
      <c r="C113" s="11" t="s">
        <v>652</v>
      </c>
      <c r="D113" s="1" t="s">
        <v>653</v>
      </c>
      <c r="E113" s="10" t="s">
        <v>618</v>
      </c>
      <c r="F113" s="10" t="s">
        <v>654</v>
      </c>
      <c r="G113" s="22" t="s">
        <v>655</v>
      </c>
      <c r="H113" s="18"/>
      <c r="I113" s="20"/>
      <c r="J113" s="18"/>
      <c r="K113" s="18"/>
    </row>
    <row r="114" spans="1:11" ht="25.85" x14ac:dyDescent="0.2">
      <c r="A114" s="12" t="s">
        <v>656</v>
      </c>
      <c r="B114" s="4" t="s">
        <v>657</v>
      </c>
      <c r="C114" s="7" t="s">
        <v>658</v>
      </c>
      <c r="D114" s="4" t="s">
        <v>659</v>
      </c>
      <c r="E114" s="8" t="s">
        <v>618</v>
      </c>
      <c r="F114" s="8" t="s">
        <v>660</v>
      </c>
      <c r="G114" s="18" t="s">
        <v>661</v>
      </c>
      <c r="H114" s="18"/>
      <c r="I114" s="13"/>
      <c r="J114" s="18"/>
      <c r="K114" s="18"/>
    </row>
    <row r="115" spans="1:11" ht="51.65" x14ac:dyDescent="0.2">
      <c r="A115" s="12" t="s">
        <v>662</v>
      </c>
      <c r="B115" s="4" t="s">
        <v>663</v>
      </c>
      <c r="C115" s="7" t="s">
        <v>664</v>
      </c>
      <c r="D115" s="4" t="s">
        <v>665</v>
      </c>
      <c r="E115" s="8" t="s">
        <v>618</v>
      </c>
      <c r="F115" s="8" t="s">
        <v>666</v>
      </c>
      <c r="G115" s="18" t="s">
        <v>667</v>
      </c>
      <c r="H115" s="18"/>
      <c r="I115" s="13"/>
      <c r="J115" s="18"/>
      <c r="K115" s="18"/>
    </row>
    <row r="116" spans="1:11" ht="64.55" x14ac:dyDescent="0.2">
      <c r="A116" s="12" t="s">
        <v>662</v>
      </c>
      <c r="B116" s="4" t="s">
        <v>668</v>
      </c>
      <c r="C116" s="7" t="s">
        <v>669</v>
      </c>
      <c r="D116" s="4" t="s">
        <v>670</v>
      </c>
      <c r="E116" s="8" t="s">
        <v>618</v>
      </c>
      <c r="F116" s="8" t="s">
        <v>666</v>
      </c>
      <c r="G116" s="18" t="s">
        <v>271</v>
      </c>
      <c r="H116" s="18"/>
      <c r="I116" s="13"/>
      <c r="J116" s="18"/>
      <c r="K116" s="18"/>
    </row>
    <row r="117" spans="1:11" ht="38.75" x14ac:dyDescent="0.2">
      <c r="A117" s="12" t="s">
        <v>671</v>
      </c>
      <c r="B117" s="4" t="s">
        <v>672</v>
      </c>
      <c r="C117" s="7" t="s">
        <v>673</v>
      </c>
      <c r="D117" s="4" t="s">
        <v>674</v>
      </c>
      <c r="E117" s="8" t="s">
        <v>618</v>
      </c>
      <c r="F117" s="8" t="s">
        <v>675</v>
      </c>
      <c r="G117" s="18" t="s">
        <v>676</v>
      </c>
      <c r="H117" s="18"/>
      <c r="I117" s="13" t="s">
        <v>677</v>
      </c>
      <c r="J117" s="18"/>
      <c r="K117" s="18"/>
    </row>
    <row r="118" spans="1:11" ht="25.85" x14ac:dyDescent="0.2">
      <c r="A118" s="12" t="s">
        <v>678</v>
      </c>
      <c r="B118" s="4" t="s">
        <v>679</v>
      </c>
      <c r="C118" s="7" t="s">
        <v>680</v>
      </c>
      <c r="D118" s="4" t="s">
        <v>681</v>
      </c>
      <c r="E118" s="8" t="s">
        <v>682</v>
      </c>
      <c r="F118" s="8" t="s">
        <v>66</v>
      </c>
      <c r="G118" s="18" t="s">
        <v>683</v>
      </c>
      <c r="H118" s="18"/>
      <c r="I118" s="13"/>
      <c r="J118" s="18"/>
      <c r="K118" s="18"/>
    </row>
    <row r="119" spans="1:11" ht="90.35" x14ac:dyDescent="0.2">
      <c r="A119" s="12" t="s">
        <v>684</v>
      </c>
      <c r="B119" s="2" t="s">
        <v>685</v>
      </c>
      <c r="C119" s="11" t="s">
        <v>686</v>
      </c>
      <c r="D119" s="1" t="s">
        <v>687</v>
      </c>
      <c r="E119" s="10" t="s">
        <v>688</v>
      </c>
      <c r="F119" s="10" t="s">
        <v>116</v>
      </c>
      <c r="G119" s="22" t="s">
        <v>689</v>
      </c>
      <c r="H119" s="18"/>
      <c r="I119" s="20"/>
      <c r="J119" s="18"/>
      <c r="K119" s="18"/>
    </row>
    <row r="120" spans="1:11" ht="77.45" x14ac:dyDescent="0.2">
      <c r="A120" s="12" t="s">
        <v>690</v>
      </c>
      <c r="B120" s="4" t="s">
        <v>691</v>
      </c>
      <c r="C120" s="7" t="s">
        <v>692</v>
      </c>
      <c r="D120" s="4" t="s">
        <v>693</v>
      </c>
      <c r="E120" s="8" t="s">
        <v>688</v>
      </c>
      <c r="F120" s="8" t="s">
        <v>694</v>
      </c>
      <c r="G120" s="18" t="s">
        <v>271</v>
      </c>
      <c r="H120" s="18"/>
      <c r="I120" s="13"/>
      <c r="J120" s="18"/>
      <c r="K120" s="18"/>
    </row>
    <row r="121" spans="1:11" ht="90.35" x14ac:dyDescent="0.2">
      <c r="A121" s="12" t="s">
        <v>695</v>
      </c>
      <c r="B121" s="2" t="s">
        <v>696</v>
      </c>
      <c r="C121" s="11" t="s">
        <v>697</v>
      </c>
      <c r="D121" s="1" t="s">
        <v>698</v>
      </c>
      <c r="E121" s="10" t="s">
        <v>699</v>
      </c>
      <c r="F121" s="10" t="s">
        <v>90</v>
      </c>
      <c r="G121" s="22" t="s">
        <v>700</v>
      </c>
      <c r="H121" s="18"/>
      <c r="I121" s="20" t="s">
        <v>701</v>
      </c>
      <c r="J121" s="18"/>
      <c r="K121" s="18"/>
    </row>
    <row r="122" spans="1:11" ht="38.75" x14ac:dyDescent="0.2">
      <c r="A122" s="12" t="s">
        <v>695</v>
      </c>
      <c r="B122" s="4" t="s">
        <v>702</v>
      </c>
      <c r="C122" s="7" t="s">
        <v>703</v>
      </c>
      <c r="D122" s="4" t="s">
        <v>704</v>
      </c>
      <c r="E122" s="8" t="s">
        <v>699</v>
      </c>
      <c r="F122" s="8" t="s">
        <v>90</v>
      </c>
      <c r="G122" s="18" t="s">
        <v>705</v>
      </c>
      <c r="H122" s="18"/>
      <c r="I122" s="13"/>
      <c r="J122" s="18"/>
      <c r="K122" s="18"/>
    </row>
    <row r="123" spans="1:11" ht="77.45" x14ac:dyDescent="0.2">
      <c r="A123" s="12" t="s">
        <v>706</v>
      </c>
      <c r="B123" s="4" t="s">
        <v>707</v>
      </c>
      <c r="C123" s="11" t="s">
        <v>708</v>
      </c>
      <c r="D123" s="1" t="s">
        <v>709</v>
      </c>
      <c r="E123" s="10" t="s">
        <v>710</v>
      </c>
      <c r="F123" s="10" t="s">
        <v>90</v>
      </c>
      <c r="G123" s="22" t="s">
        <v>711</v>
      </c>
      <c r="H123" s="18"/>
      <c r="I123" s="20"/>
      <c r="J123" s="18"/>
      <c r="K123" s="18"/>
    </row>
    <row r="124" spans="1:11" ht="90.35" x14ac:dyDescent="0.2">
      <c r="A124" s="12" t="s">
        <v>712</v>
      </c>
      <c r="B124" s="2" t="s">
        <v>713</v>
      </c>
      <c r="C124" s="11" t="s">
        <v>714</v>
      </c>
      <c r="D124" s="1" t="s">
        <v>715</v>
      </c>
      <c r="E124" s="10" t="s">
        <v>710</v>
      </c>
      <c r="F124" s="10" t="s">
        <v>574</v>
      </c>
      <c r="G124" s="22" t="s">
        <v>716</v>
      </c>
      <c r="H124" s="18"/>
      <c r="I124" s="20" t="s">
        <v>717</v>
      </c>
      <c r="J124" s="18"/>
      <c r="K124" s="18"/>
    </row>
    <row r="125" spans="1:11" ht="51.65" x14ac:dyDescent="0.2">
      <c r="A125" s="12" t="s">
        <v>712</v>
      </c>
      <c r="B125" s="4" t="s">
        <v>718</v>
      </c>
      <c r="C125" s="7" t="s">
        <v>719</v>
      </c>
      <c r="D125" s="4" t="s">
        <v>720</v>
      </c>
      <c r="E125" s="8" t="s">
        <v>710</v>
      </c>
      <c r="F125" s="8" t="s">
        <v>574</v>
      </c>
      <c r="G125" s="18" t="s">
        <v>721</v>
      </c>
      <c r="H125" s="18"/>
      <c r="I125" s="13"/>
      <c r="J125" s="18"/>
      <c r="K125" s="18"/>
    </row>
    <row r="126" spans="1:11" ht="25.85" x14ac:dyDescent="0.2">
      <c r="A126" s="12" t="s">
        <v>722</v>
      </c>
      <c r="B126" s="4" t="s">
        <v>723</v>
      </c>
      <c r="C126" s="7" t="s">
        <v>724</v>
      </c>
      <c r="D126" s="4" t="s">
        <v>725</v>
      </c>
      <c r="E126" s="8" t="s">
        <v>726</v>
      </c>
      <c r="F126" s="8" t="s">
        <v>727</v>
      </c>
      <c r="G126" s="18" t="s">
        <v>728</v>
      </c>
      <c r="H126" s="18"/>
      <c r="I126" s="13"/>
      <c r="J126" s="18"/>
      <c r="K126" s="18"/>
    </row>
    <row r="127" spans="1:11" ht="38.75" x14ac:dyDescent="0.2">
      <c r="A127" s="12" t="s">
        <v>722</v>
      </c>
      <c r="B127" s="4" t="s">
        <v>729</v>
      </c>
      <c r="C127" s="7" t="s">
        <v>730</v>
      </c>
      <c r="D127" s="4" t="s">
        <v>731</v>
      </c>
      <c r="E127" s="8" t="s">
        <v>726</v>
      </c>
      <c r="F127" s="8" t="s">
        <v>727</v>
      </c>
      <c r="G127" s="18" t="s">
        <v>271</v>
      </c>
      <c r="H127" s="18"/>
      <c r="I127" s="13"/>
      <c r="J127" s="18"/>
      <c r="K127" s="18"/>
    </row>
    <row r="128" spans="1:11" ht="103.25" x14ac:dyDescent="0.2">
      <c r="A128" s="12" t="s">
        <v>722</v>
      </c>
      <c r="B128" s="4" t="s">
        <v>732</v>
      </c>
      <c r="C128" s="7" t="s">
        <v>733</v>
      </c>
      <c r="D128" s="4" t="s">
        <v>734</v>
      </c>
      <c r="E128" s="8" t="s">
        <v>726</v>
      </c>
      <c r="F128" s="8" t="s">
        <v>727</v>
      </c>
      <c r="G128" s="18" t="s">
        <v>271</v>
      </c>
      <c r="H128" s="18"/>
      <c r="I128" s="13"/>
      <c r="J128" s="18"/>
      <c r="K128" s="18"/>
    </row>
    <row r="129" spans="1:11" ht="90.35" x14ac:dyDescent="0.2">
      <c r="A129" s="12" t="s">
        <v>735</v>
      </c>
      <c r="B129" s="4" t="s">
        <v>736</v>
      </c>
      <c r="C129" s="7" t="s">
        <v>737</v>
      </c>
      <c r="D129" s="4" t="s">
        <v>738</v>
      </c>
      <c r="E129" s="8" t="s">
        <v>726</v>
      </c>
      <c r="F129" s="8" t="s">
        <v>739</v>
      </c>
      <c r="G129" s="18" t="s">
        <v>740</v>
      </c>
      <c r="H129" s="18"/>
      <c r="I129" s="13"/>
      <c r="J129" s="18"/>
      <c r="K129" s="18"/>
    </row>
    <row r="130" spans="1:11" ht="51.65" x14ac:dyDescent="0.2">
      <c r="A130" s="12" t="s">
        <v>741</v>
      </c>
      <c r="B130" s="4" t="s">
        <v>742</v>
      </c>
      <c r="C130" s="7" t="s">
        <v>743</v>
      </c>
      <c r="D130" s="4" t="s">
        <v>744</v>
      </c>
      <c r="E130" s="8" t="s">
        <v>745</v>
      </c>
      <c r="F130" s="8" t="s">
        <v>746</v>
      </c>
      <c r="G130" s="18" t="s">
        <v>747</v>
      </c>
      <c r="H130" s="18"/>
      <c r="I130" s="13"/>
      <c r="J130" s="18"/>
      <c r="K130" s="18"/>
    </row>
    <row r="131" spans="1:11" ht="25.85" x14ac:dyDescent="0.2">
      <c r="A131" s="12" t="s">
        <v>748</v>
      </c>
      <c r="B131" s="4" t="s">
        <v>749</v>
      </c>
      <c r="C131" s="7" t="s">
        <v>750</v>
      </c>
      <c r="D131" s="4" t="s">
        <v>751</v>
      </c>
      <c r="E131" s="8" t="s">
        <v>745</v>
      </c>
      <c r="F131" s="8" t="s">
        <v>752</v>
      </c>
      <c r="G131" s="18" t="s">
        <v>753</v>
      </c>
      <c r="H131" s="18"/>
      <c r="I131" s="13"/>
      <c r="J131" s="18"/>
      <c r="K131" s="18"/>
    </row>
    <row r="132" spans="1:11" ht="38.75" x14ac:dyDescent="0.2">
      <c r="A132" s="12" t="s">
        <v>754</v>
      </c>
      <c r="B132" s="2" t="s">
        <v>755</v>
      </c>
      <c r="C132" s="11" t="s">
        <v>756</v>
      </c>
      <c r="D132" s="1" t="s">
        <v>757</v>
      </c>
      <c r="E132" s="10" t="s">
        <v>745</v>
      </c>
      <c r="F132" s="10" t="s">
        <v>259</v>
      </c>
      <c r="G132" s="22" t="s">
        <v>758</v>
      </c>
      <c r="H132" s="18"/>
      <c r="I132" s="20"/>
      <c r="J132" s="18"/>
      <c r="K132" s="18"/>
    </row>
    <row r="133" spans="1:11" ht="25.85" x14ac:dyDescent="0.2">
      <c r="A133" s="12" t="s">
        <v>759</v>
      </c>
      <c r="B133" s="4" t="s">
        <v>760</v>
      </c>
      <c r="C133" s="7" t="s">
        <v>761</v>
      </c>
      <c r="D133" s="4" t="s">
        <v>762</v>
      </c>
      <c r="E133" s="8" t="s">
        <v>745</v>
      </c>
      <c r="F133" s="8" t="s">
        <v>763</v>
      </c>
      <c r="G133" s="18" t="s">
        <v>271</v>
      </c>
      <c r="H133" s="18"/>
      <c r="I133" s="13"/>
      <c r="J133" s="18"/>
      <c r="K133" s="18"/>
    </row>
    <row r="134" spans="1:11" ht="25.85" x14ac:dyDescent="0.2">
      <c r="A134" s="12" t="s">
        <v>764</v>
      </c>
      <c r="B134" s="4" t="s">
        <v>765</v>
      </c>
      <c r="C134" s="7" t="s">
        <v>766</v>
      </c>
      <c r="D134" s="4" t="s">
        <v>767</v>
      </c>
      <c r="E134" s="8" t="s">
        <v>745</v>
      </c>
      <c r="F134" s="8" t="s">
        <v>601</v>
      </c>
      <c r="G134" s="18" t="s">
        <v>271</v>
      </c>
      <c r="H134" s="18"/>
      <c r="I134" s="13"/>
      <c r="J134" s="18"/>
      <c r="K134" s="18"/>
    </row>
    <row r="135" spans="1:11" ht="51.65" x14ac:dyDescent="0.2">
      <c r="A135" s="12" t="s">
        <v>768</v>
      </c>
      <c r="B135" s="4" t="s">
        <v>769</v>
      </c>
      <c r="C135" s="7" t="s">
        <v>770</v>
      </c>
      <c r="D135" s="4" t="s">
        <v>771</v>
      </c>
      <c r="E135" s="8" t="s">
        <v>745</v>
      </c>
      <c r="F135" s="8" t="s">
        <v>772</v>
      </c>
      <c r="G135" s="18" t="s">
        <v>271</v>
      </c>
      <c r="H135" s="18"/>
      <c r="I135" s="13"/>
      <c r="J135" s="18"/>
      <c r="K135" s="18"/>
    </row>
    <row r="136" spans="1:11" ht="38.75" x14ac:dyDescent="0.2">
      <c r="A136" s="12" t="s">
        <v>773</v>
      </c>
      <c r="B136" s="4" t="s">
        <v>774</v>
      </c>
      <c r="C136" s="7" t="s">
        <v>775</v>
      </c>
      <c r="D136" s="4" t="s">
        <v>776</v>
      </c>
      <c r="E136" s="8" t="s">
        <v>745</v>
      </c>
      <c r="F136" s="8" t="s">
        <v>777</v>
      </c>
      <c r="G136" s="18" t="s">
        <v>778</v>
      </c>
      <c r="H136" s="18"/>
      <c r="I136" s="13"/>
      <c r="J136" s="18"/>
      <c r="K136" s="18"/>
    </row>
    <row r="137" spans="1:11" ht="90.35" x14ac:dyDescent="0.2">
      <c r="A137" s="12" t="s">
        <v>779</v>
      </c>
      <c r="B137" s="4" t="s">
        <v>780</v>
      </c>
      <c r="C137" s="7" t="s">
        <v>781</v>
      </c>
      <c r="D137" s="4" t="s">
        <v>782</v>
      </c>
      <c r="E137" s="8" t="s">
        <v>783</v>
      </c>
      <c r="F137" s="8" t="s">
        <v>784</v>
      </c>
      <c r="G137" s="26" t="s">
        <v>785</v>
      </c>
      <c r="H137" s="18"/>
      <c r="I137" s="13"/>
      <c r="J137" s="18"/>
      <c r="K137" s="18"/>
    </row>
    <row r="138" spans="1:11" ht="77.45" x14ac:dyDescent="0.2">
      <c r="A138" s="12" t="s">
        <v>786</v>
      </c>
      <c r="B138" s="4" t="s">
        <v>787</v>
      </c>
      <c r="C138" s="7" t="s">
        <v>788</v>
      </c>
      <c r="D138" s="4" t="s">
        <v>789</v>
      </c>
      <c r="E138" s="8" t="s">
        <v>783</v>
      </c>
      <c r="F138" s="8" t="s">
        <v>790</v>
      </c>
      <c r="G138" s="18" t="s">
        <v>791</v>
      </c>
      <c r="H138" s="18"/>
      <c r="I138" s="13"/>
      <c r="J138" s="18"/>
      <c r="K138" s="18"/>
    </row>
    <row r="139" spans="1:11" ht="103.25" x14ac:dyDescent="0.2">
      <c r="A139" s="12" t="s">
        <v>792</v>
      </c>
      <c r="B139" s="4" t="s">
        <v>793</v>
      </c>
      <c r="C139" s="7" t="s">
        <v>794</v>
      </c>
      <c r="D139" s="4" t="s">
        <v>795</v>
      </c>
      <c r="E139" s="8" t="s">
        <v>783</v>
      </c>
      <c r="F139" s="8" t="s">
        <v>796</v>
      </c>
      <c r="G139" s="18" t="s">
        <v>797</v>
      </c>
      <c r="H139" s="18"/>
      <c r="I139" s="13" t="s">
        <v>798</v>
      </c>
      <c r="J139" s="18"/>
      <c r="K139" s="18"/>
    </row>
    <row r="140" spans="1:11" ht="64.55" x14ac:dyDescent="0.2">
      <c r="A140" s="12" t="s">
        <v>799</v>
      </c>
      <c r="B140" s="4" t="s">
        <v>800</v>
      </c>
      <c r="C140" s="7" t="s">
        <v>801</v>
      </c>
      <c r="D140" s="4" t="s">
        <v>802</v>
      </c>
      <c r="E140" s="8" t="s">
        <v>783</v>
      </c>
      <c r="F140" s="8" t="s">
        <v>803</v>
      </c>
      <c r="G140" s="26" t="s">
        <v>804</v>
      </c>
      <c r="H140" s="18"/>
      <c r="I140" s="13"/>
      <c r="J140" s="18"/>
      <c r="K140" s="18"/>
    </row>
    <row r="141" spans="1:11" ht="77.45" x14ac:dyDescent="0.2">
      <c r="A141" s="12" t="s">
        <v>805</v>
      </c>
      <c r="B141" s="4" t="s">
        <v>806</v>
      </c>
      <c r="C141" s="11" t="s">
        <v>807</v>
      </c>
      <c r="D141" s="1" t="s">
        <v>808</v>
      </c>
      <c r="E141" s="10" t="s">
        <v>783</v>
      </c>
      <c r="F141" s="10" t="s">
        <v>809</v>
      </c>
      <c r="G141" s="27" t="s">
        <v>810</v>
      </c>
      <c r="H141" s="18"/>
      <c r="I141" s="20"/>
      <c r="J141" s="18"/>
      <c r="K141" s="18"/>
    </row>
    <row r="142" spans="1:11" ht="77.45" x14ac:dyDescent="0.2">
      <c r="A142" s="12" t="s">
        <v>811</v>
      </c>
      <c r="B142" s="4" t="s">
        <v>812</v>
      </c>
      <c r="C142" s="7" t="s">
        <v>813</v>
      </c>
      <c r="D142" s="4" t="s">
        <v>814</v>
      </c>
      <c r="E142" s="8" t="s">
        <v>783</v>
      </c>
      <c r="F142" s="8" t="s">
        <v>815</v>
      </c>
      <c r="G142" s="18" t="s">
        <v>816</v>
      </c>
      <c r="H142" s="18"/>
      <c r="I142" s="13"/>
      <c r="J142" s="18"/>
      <c r="K142" s="18"/>
    </row>
    <row r="143" spans="1:11" ht="38.75" x14ac:dyDescent="0.2">
      <c r="A143" s="12" t="s">
        <v>817</v>
      </c>
      <c r="B143" s="4" t="s">
        <v>818</v>
      </c>
      <c r="C143" s="7" t="s">
        <v>819</v>
      </c>
      <c r="D143" s="4" t="s">
        <v>820</v>
      </c>
      <c r="E143" s="8" t="s">
        <v>783</v>
      </c>
      <c r="F143" s="8" t="s">
        <v>821</v>
      </c>
      <c r="G143" s="18" t="s">
        <v>822</v>
      </c>
      <c r="H143" s="18"/>
      <c r="I143" s="13"/>
      <c r="J143" s="18"/>
      <c r="K143" s="18"/>
    </row>
    <row r="144" spans="1:11" ht="77.45" x14ac:dyDescent="0.2">
      <c r="A144" s="12" t="s">
        <v>823</v>
      </c>
      <c r="B144" s="4" t="s">
        <v>824</v>
      </c>
      <c r="C144" s="7" t="s">
        <v>825</v>
      </c>
      <c r="D144" s="4" t="s">
        <v>826</v>
      </c>
      <c r="E144" s="8" t="s">
        <v>783</v>
      </c>
      <c r="F144" s="8" t="s">
        <v>827</v>
      </c>
      <c r="G144" s="26" t="s">
        <v>828</v>
      </c>
      <c r="H144" s="18"/>
      <c r="I144" s="13"/>
      <c r="J144" s="18"/>
      <c r="K144" s="18"/>
    </row>
    <row r="145" spans="1:11" ht="77.45" x14ac:dyDescent="0.2">
      <c r="A145" s="12" t="s">
        <v>829</v>
      </c>
      <c r="B145" s="4" t="s">
        <v>830</v>
      </c>
      <c r="C145" s="7" t="s">
        <v>831</v>
      </c>
      <c r="D145" s="4" t="s">
        <v>832</v>
      </c>
      <c r="E145" s="8" t="s">
        <v>783</v>
      </c>
      <c r="F145" s="8" t="s">
        <v>833</v>
      </c>
      <c r="G145" s="26" t="s">
        <v>834</v>
      </c>
      <c r="H145" s="18"/>
      <c r="I145" s="13"/>
      <c r="J145" s="18"/>
      <c r="K145" s="18"/>
    </row>
    <row r="146" spans="1:11" ht="77.45" x14ac:dyDescent="0.2">
      <c r="A146" s="12" t="s">
        <v>835</v>
      </c>
      <c r="B146" s="4" t="s">
        <v>836</v>
      </c>
      <c r="C146" s="7" t="s">
        <v>837</v>
      </c>
      <c r="D146" s="4" t="s">
        <v>838</v>
      </c>
      <c r="E146" s="8" t="s">
        <v>783</v>
      </c>
      <c r="F146" s="8" t="s">
        <v>839</v>
      </c>
      <c r="G146" s="26" t="s">
        <v>840</v>
      </c>
      <c r="H146" s="18"/>
      <c r="I146" s="13"/>
      <c r="J146" s="18"/>
      <c r="K146" s="18"/>
    </row>
    <row r="147" spans="1:11" ht="64.55" x14ac:dyDescent="0.2">
      <c r="A147" s="12" t="s">
        <v>841</v>
      </c>
      <c r="B147" s="4" t="s">
        <v>842</v>
      </c>
      <c r="C147" s="7" t="s">
        <v>843</v>
      </c>
      <c r="D147" s="4" t="s">
        <v>844</v>
      </c>
      <c r="E147" s="8" t="s">
        <v>783</v>
      </c>
      <c r="F147" s="8" t="s">
        <v>845</v>
      </c>
      <c r="G147" s="26" t="s">
        <v>846</v>
      </c>
      <c r="H147" s="18"/>
      <c r="I147" s="13"/>
      <c r="J147" s="18"/>
      <c r="K147" s="18"/>
    </row>
    <row r="148" spans="1:11" ht="77.45" x14ac:dyDescent="0.2">
      <c r="A148" s="12" t="s">
        <v>847</v>
      </c>
      <c r="B148" s="4" t="s">
        <v>848</v>
      </c>
      <c r="C148" s="7" t="s">
        <v>849</v>
      </c>
      <c r="D148" s="4" t="s">
        <v>850</v>
      </c>
      <c r="E148" s="8" t="s">
        <v>783</v>
      </c>
      <c r="F148" s="8" t="s">
        <v>851</v>
      </c>
      <c r="G148" s="18" t="s">
        <v>852</v>
      </c>
      <c r="H148" s="18"/>
      <c r="I148" s="13" t="s">
        <v>853</v>
      </c>
      <c r="J148" s="18"/>
      <c r="K148" s="18"/>
    </row>
    <row r="149" spans="1:11" ht="77.45" x14ac:dyDescent="0.2">
      <c r="A149" s="12" t="s">
        <v>854</v>
      </c>
      <c r="B149" s="4" t="s">
        <v>855</v>
      </c>
      <c r="C149" s="7" t="s">
        <v>856</v>
      </c>
      <c r="D149" s="4" t="s">
        <v>857</v>
      </c>
      <c r="E149" s="8" t="s">
        <v>783</v>
      </c>
      <c r="F149" s="8" t="s">
        <v>858</v>
      </c>
      <c r="G149" s="18" t="s">
        <v>859</v>
      </c>
      <c r="H149" s="18"/>
      <c r="I149" s="13" t="s">
        <v>860</v>
      </c>
      <c r="J149" s="18"/>
      <c r="K149" s="18"/>
    </row>
    <row r="150" spans="1:11" ht="77.45" x14ac:dyDescent="0.2">
      <c r="A150" s="12" t="s">
        <v>861</v>
      </c>
      <c r="B150" s="4" t="s">
        <v>862</v>
      </c>
      <c r="C150" s="7" t="s">
        <v>863</v>
      </c>
      <c r="D150" s="4" t="s">
        <v>864</v>
      </c>
      <c r="E150" s="8" t="s">
        <v>783</v>
      </c>
      <c r="F150" s="8" t="s">
        <v>865</v>
      </c>
      <c r="G150" s="18" t="s">
        <v>866</v>
      </c>
      <c r="H150" s="18"/>
      <c r="I150" s="13"/>
      <c r="J150" s="18"/>
      <c r="K150" s="18"/>
    </row>
    <row r="151" spans="1:11" ht="38.75" x14ac:dyDescent="0.2">
      <c r="A151" s="12" t="s">
        <v>867</v>
      </c>
      <c r="B151" s="2" t="s">
        <v>868</v>
      </c>
      <c r="C151" s="11" t="s">
        <v>869</v>
      </c>
      <c r="D151" s="1" t="s">
        <v>870</v>
      </c>
      <c r="E151" s="10" t="s">
        <v>783</v>
      </c>
      <c r="F151" s="10" t="s">
        <v>871</v>
      </c>
      <c r="G151" s="22" t="s">
        <v>872</v>
      </c>
      <c r="H151" s="18"/>
      <c r="I151" s="20"/>
      <c r="J151" s="18"/>
      <c r="K151" s="18"/>
    </row>
    <row r="152" spans="1:11" ht="25.85" x14ac:dyDescent="0.2">
      <c r="A152" s="12" t="s">
        <v>873</v>
      </c>
      <c r="B152" s="4" t="s">
        <v>874</v>
      </c>
      <c r="C152" s="7" t="s">
        <v>875</v>
      </c>
      <c r="D152" s="4" t="s">
        <v>876</v>
      </c>
      <c r="E152" s="8" t="s">
        <v>877</v>
      </c>
      <c r="F152" s="8" t="s">
        <v>559</v>
      </c>
      <c r="G152" s="18" t="s">
        <v>878</v>
      </c>
      <c r="H152" s="18"/>
      <c r="I152" s="13"/>
      <c r="J152" s="18"/>
      <c r="K152" s="18"/>
    </row>
    <row r="153" spans="1:11" ht="77.45" x14ac:dyDescent="0.2">
      <c r="A153" s="12" t="s">
        <v>879</v>
      </c>
      <c r="B153" s="4" t="s">
        <v>880</v>
      </c>
      <c r="C153" s="7" t="s">
        <v>881</v>
      </c>
      <c r="D153" s="4" t="s">
        <v>882</v>
      </c>
      <c r="E153" s="8" t="s">
        <v>877</v>
      </c>
      <c r="F153" s="8" t="s">
        <v>883</v>
      </c>
      <c r="G153" s="18" t="s">
        <v>878</v>
      </c>
      <c r="H153" s="18"/>
      <c r="I153" s="13"/>
      <c r="J153" s="18"/>
      <c r="K153" s="18"/>
    </row>
    <row r="154" spans="1:11" ht="38.75" x14ac:dyDescent="0.2">
      <c r="A154" s="12" t="s">
        <v>884</v>
      </c>
      <c r="B154" s="4" t="s">
        <v>885</v>
      </c>
      <c r="C154" s="7" t="s">
        <v>886</v>
      </c>
      <c r="D154" s="4" t="s">
        <v>887</v>
      </c>
      <c r="E154" s="8" t="s">
        <v>888</v>
      </c>
      <c r="F154" s="8" t="s">
        <v>601</v>
      </c>
      <c r="G154" s="18" t="s">
        <v>878</v>
      </c>
      <c r="H154" s="18"/>
      <c r="I154" s="13"/>
      <c r="J154" s="18"/>
      <c r="K154" s="18"/>
    </row>
    <row r="155" spans="1:11" ht="38.75" x14ac:dyDescent="0.2">
      <c r="A155" s="12" t="s">
        <v>889</v>
      </c>
      <c r="B155" s="4" t="s">
        <v>890</v>
      </c>
      <c r="C155" s="7" t="s">
        <v>891</v>
      </c>
      <c r="D155" s="4" t="s">
        <v>892</v>
      </c>
      <c r="E155" s="8" t="s">
        <v>893</v>
      </c>
      <c r="F155" s="8" t="s">
        <v>894</v>
      </c>
      <c r="G155" s="18" t="s">
        <v>613</v>
      </c>
      <c r="H155" s="18"/>
      <c r="I155" s="13"/>
      <c r="J155" s="18"/>
      <c r="K155" s="18"/>
    </row>
    <row r="156" spans="1:11" ht="38.75" x14ac:dyDescent="0.2">
      <c r="A156" s="12" t="s">
        <v>895</v>
      </c>
      <c r="B156" s="4" t="s">
        <v>896</v>
      </c>
      <c r="C156" s="7" t="s">
        <v>897</v>
      </c>
      <c r="D156" s="4" t="s">
        <v>898</v>
      </c>
      <c r="E156" s="8" t="s">
        <v>899</v>
      </c>
      <c r="F156" s="8" t="s">
        <v>153</v>
      </c>
      <c r="G156" s="18" t="s">
        <v>613</v>
      </c>
      <c r="H156" s="18"/>
      <c r="I156" s="13"/>
      <c r="J156" s="18"/>
      <c r="K156" s="18"/>
    </row>
    <row r="157" spans="1:11" ht="38.75" x14ac:dyDescent="0.2">
      <c r="A157" s="12" t="s">
        <v>895</v>
      </c>
      <c r="B157" s="4" t="s">
        <v>900</v>
      </c>
      <c r="C157" s="7" t="s">
        <v>901</v>
      </c>
      <c r="D157" s="4" t="s">
        <v>902</v>
      </c>
      <c r="E157" s="8" t="s">
        <v>899</v>
      </c>
      <c r="F157" s="8" t="s">
        <v>153</v>
      </c>
      <c r="G157" s="18" t="s">
        <v>613</v>
      </c>
      <c r="H157" s="18"/>
      <c r="I157" s="13"/>
      <c r="J157" s="18"/>
      <c r="K157" s="18"/>
    </row>
    <row r="158" spans="1:11" ht="51.65" x14ac:dyDescent="0.2">
      <c r="A158" s="12" t="s">
        <v>903</v>
      </c>
      <c r="B158" s="4" t="s">
        <v>904</v>
      </c>
      <c r="C158" s="7" t="s">
        <v>905</v>
      </c>
      <c r="D158" s="4" t="s">
        <v>906</v>
      </c>
      <c r="E158" s="8" t="s">
        <v>907</v>
      </c>
      <c r="F158" s="8" t="s">
        <v>153</v>
      </c>
      <c r="G158" s="18" t="s">
        <v>613</v>
      </c>
      <c r="H158" s="18"/>
      <c r="I158" s="13"/>
      <c r="J158" s="18"/>
      <c r="K158" s="18"/>
    </row>
    <row r="159" spans="1:11" ht="51.65" x14ac:dyDescent="0.2">
      <c r="A159" s="12" t="s">
        <v>903</v>
      </c>
      <c r="B159" s="4" t="s">
        <v>908</v>
      </c>
      <c r="C159" s="7" t="s">
        <v>909</v>
      </c>
      <c r="D159" s="4" t="s">
        <v>910</v>
      </c>
      <c r="E159" s="8" t="s">
        <v>907</v>
      </c>
      <c r="F159" s="8" t="s">
        <v>153</v>
      </c>
      <c r="G159" s="18" t="s">
        <v>613</v>
      </c>
      <c r="H159" s="18"/>
      <c r="I159" s="13"/>
      <c r="J159" s="18"/>
      <c r="K159" s="18"/>
    </row>
    <row r="160" spans="1:11" ht="38.75" x14ac:dyDescent="0.2">
      <c r="A160" s="12" t="s">
        <v>911</v>
      </c>
      <c r="B160" s="4" t="s">
        <v>912</v>
      </c>
      <c r="C160" s="7" t="s">
        <v>913</v>
      </c>
      <c r="D160" s="4" t="s">
        <v>914</v>
      </c>
      <c r="E160" s="8" t="s">
        <v>915</v>
      </c>
      <c r="F160" s="8" t="s">
        <v>916</v>
      </c>
      <c r="G160" s="18" t="s">
        <v>917</v>
      </c>
      <c r="H160" s="18"/>
      <c r="I160" s="13"/>
      <c r="J160" s="18"/>
      <c r="K160" s="18"/>
    </row>
    <row r="161" spans="1:11" ht="38.75" x14ac:dyDescent="0.2">
      <c r="A161" s="12" t="s">
        <v>918</v>
      </c>
      <c r="B161" s="4" t="s">
        <v>919</v>
      </c>
      <c r="C161" s="7" t="s">
        <v>920</v>
      </c>
      <c r="D161" s="4" t="s">
        <v>914</v>
      </c>
      <c r="E161" s="8" t="s">
        <v>921</v>
      </c>
      <c r="F161" s="8" t="s">
        <v>922</v>
      </c>
      <c r="G161" s="18" t="s">
        <v>923</v>
      </c>
      <c r="H161" s="18"/>
      <c r="I161" s="13"/>
      <c r="J161" s="18"/>
      <c r="K161" s="18"/>
    </row>
    <row r="162" spans="1:11" ht="38.75" x14ac:dyDescent="0.2">
      <c r="A162" s="12" t="s">
        <v>924</v>
      </c>
      <c r="B162" s="4" t="s">
        <v>925</v>
      </c>
      <c r="C162" s="7" t="s">
        <v>926</v>
      </c>
      <c r="D162" s="4" t="s">
        <v>927</v>
      </c>
      <c r="E162" s="8" t="s">
        <v>928</v>
      </c>
      <c r="F162" s="8" t="s">
        <v>694</v>
      </c>
      <c r="G162" s="18" t="s">
        <v>929</v>
      </c>
      <c r="H162" s="18"/>
      <c r="I162" s="13"/>
      <c r="J162" s="18"/>
      <c r="K162" s="18"/>
    </row>
    <row r="163" spans="1:11" ht="38.75" x14ac:dyDescent="0.2">
      <c r="A163" s="12" t="s">
        <v>930</v>
      </c>
      <c r="B163" s="4" t="s">
        <v>931</v>
      </c>
      <c r="C163" s="7" t="s">
        <v>932</v>
      </c>
      <c r="D163" s="4" t="s">
        <v>914</v>
      </c>
      <c r="E163" s="8" t="s">
        <v>928</v>
      </c>
      <c r="F163" s="8" t="s">
        <v>922</v>
      </c>
      <c r="G163" s="18" t="s">
        <v>929</v>
      </c>
      <c r="H163" s="18"/>
      <c r="I163" s="13"/>
      <c r="J163" s="18"/>
      <c r="K163" s="18"/>
    </row>
    <row r="164" spans="1:11" ht="38.75" x14ac:dyDescent="0.2">
      <c r="A164" s="12" t="s">
        <v>933</v>
      </c>
      <c r="B164" s="4" t="s">
        <v>934</v>
      </c>
      <c r="C164" s="7" t="s">
        <v>935</v>
      </c>
      <c r="D164" s="4" t="s">
        <v>936</v>
      </c>
      <c r="E164" s="8" t="s">
        <v>937</v>
      </c>
      <c r="F164" s="8" t="s">
        <v>694</v>
      </c>
      <c r="G164" s="18" t="s">
        <v>929</v>
      </c>
      <c r="H164" s="18"/>
      <c r="I164" s="13"/>
      <c r="J164" s="18"/>
      <c r="K164" s="18"/>
    </row>
    <row r="165" spans="1:11" ht="38.75" x14ac:dyDescent="0.2">
      <c r="A165" s="12" t="s">
        <v>938</v>
      </c>
      <c r="B165" s="4" t="s">
        <v>939</v>
      </c>
      <c r="C165" s="7" t="s">
        <v>940</v>
      </c>
      <c r="D165" s="4" t="s">
        <v>914</v>
      </c>
      <c r="E165" s="8" t="s">
        <v>937</v>
      </c>
      <c r="F165" s="8" t="s">
        <v>922</v>
      </c>
      <c r="G165" s="18" t="s">
        <v>929</v>
      </c>
      <c r="H165" s="18"/>
      <c r="I165" s="13"/>
      <c r="J165" s="18"/>
      <c r="K165" s="18"/>
    </row>
    <row r="166" spans="1:11" ht="38.75" x14ac:dyDescent="0.2">
      <c r="A166" s="12" t="s">
        <v>941</v>
      </c>
      <c r="B166" s="4" t="s">
        <v>942</v>
      </c>
      <c r="C166" s="7" t="s">
        <v>943</v>
      </c>
      <c r="D166" s="4" t="s">
        <v>944</v>
      </c>
      <c r="E166" s="8" t="s">
        <v>945</v>
      </c>
      <c r="F166" s="8" t="s">
        <v>694</v>
      </c>
      <c r="G166" s="18" t="s">
        <v>946</v>
      </c>
      <c r="H166" s="18"/>
      <c r="I166" s="13"/>
      <c r="J166" s="18"/>
      <c r="K166" s="18"/>
    </row>
    <row r="167" spans="1:11" ht="38.75" x14ac:dyDescent="0.2">
      <c r="A167" s="12" t="s">
        <v>947</v>
      </c>
      <c r="B167" s="4" t="s">
        <v>948</v>
      </c>
      <c r="C167" s="7" t="s">
        <v>949</v>
      </c>
      <c r="D167" s="4" t="s">
        <v>914</v>
      </c>
      <c r="E167" s="8" t="s">
        <v>945</v>
      </c>
      <c r="F167" s="8" t="s">
        <v>922</v>
      </c>
      <c r="G167" s="18" t="s">
        <v>946</v>
      </c>
      <c r="H167" s="18"/>
      <c r="I167" s="13"/>
      <c r="J167" s="18"/>
      <c r="K167" s="18"/>
    </row>
    <row r="168" spans="1:11" ht="38.75" x14ac:dyDescent="0.2">
      <c r="A168" s="12" t="s">
        <v>950</v>
      </c>
      <c r="B168" s="4" t="s">
        <v>951</v>
      </c>
      <c r="C168" s="7" t="s">
        <v>952</v>
      </c>
      <c r="D168" s="4" t="s">
        <v>953</v>
      </c>
      <c r="E168" s="8" t="s">
        <v>945</v>
      </c>
      <c r="F168" s="8" t="s">
        <v>954</v>
      </c>
      <c r="G168" s="18" t="s">
        <v>946</v>
      </c>
      <c r="H168" s="18"/>
      <c r="I168" s="13"/>
      <c r="J168" s="18"/>
      <c r="K168" s="18"/>
    </row>
    <row r="169" spans="1:11" ht="64.55" x14ac:dyDescent="0.2">
      <c r="A169" s="12" t="s">
        <v>955</v>
      </c>
      <c r="B169" s="4" t="s">
        <v>956</v>
      </c>
      <c r="C169" s="7" t="s">
        <v>957</v>
      </c>
      <c r="D169" s="4" t="s">
        <v>958</v>
      </c>
      <c r="E169" s="8" t="s">
        <v>959</v>
      </c>
      <c r="F169" s="8" t="s">
        <v>960</v>
      </c>
      <c r="G169" s="18" t="s">
        <v>961</v>
      </c>
      <c r="H169" s="18"/>
      <c r="I169" s="13"/>
      <c r="J169" s="18"/>
      <c r="K169" s="18"/>
    </row>
    <row r="170" spans="1:11" ht="77.45" x14ac:dyDescent="0.2">
      <c r="A170" s="12" t="s">
        <v>955</v>
      </c>
      <c r="B170" s="4" t="s">
        <v>962</v>
      </c>
      <c r="C170" s="7" t="s">
        <v>963</v>
      </c>
      <c r="D170" s="4" t="s">
        <v>964</v>
      </c>
      <c r="E170" s="8" t="s">
        <v>959</v>
      </c>
      <c r="F170" s="8" t="s">
        <v>960</v>
      </c>
      <c r="G170" s="18" t="s">
        <v>961</v>
      </c>
      <c r="H170" s="18"/>
      <c r="I170" s="13"/>
      <c r="J170" s="18"/>
      <c r="K170" s="18"/>
    </row>
    <row r="171" spans="1:11" ht="64.55" x14ac:dyDescent="0.2">
      <c r="A171" s="12" t="s">
        <v>965</v>
      </c>
      <c r="B171" s="4" t="s">
        <v>966</v>
      </c>
      <c r="C171" s="7" t="s">
        <v>967</v>
      </c>
      <c r="D171" s="4" t="s">
        <v>968</v>
      </c>
      <c r="E171" s="8" t="s">
        <v>969</v>
      </c>
      <c r="F171" s="8" t="s">
        <v>246</v>
      </c>
      <c r="G171" s="18" t="s">
        <v>970</v>
      </c>
      <c r="H171" s="18"/>
      <c r="I171" s="13"/>
      <c r="J171" s="18"/>
      <c r="K171" s="18"/>
    </row>
    <row r="172" spans="1:11" ht="51.65" x14ac:dyDescent="0.2">
      <c r="A172" s="12" t="s">
        <v>971</v>
      </c>
      <c r="B172" s="4" t="s">
        <v>972</v>
      </c>
      <c r="C172" s="7" t="s">
        <v>973</v>
      </c>
      <c r="D172" s="4" t="s">
        <v>974</v>
      </c>
      <c r="E172" s="8" t="s">
        <v>975</v>
      </c>
      <c r="F172" s="8" t="s">
        <v>66</v>
      </c>
      <c r="G172" s="18" t="s">
        <v>970</v>
      </c>
      <c r="H172" s="18"/>
      <c r="I172" s="13"/>
      <c r="J172" s="18"/>
      <c r="K172" s="18"/>
    </row>
    <row r="173" spans="1:11" ht="103.25" x14ac:dyDescent="0.2">
      <c r="A173" s="12" t="s">
        <v>971</v>
      </c>
      <c r="B173" s="4" t="s">
        <v>976</v>
      </c>
      <c r="C173" s="7" t="s">
        <v>977</v>
      </c>
      <c r="D173" s="4" t="s">
        <v>978</v>
      </c>
      <c r="E173" s="8" t="s">
        <v>975</v>
      </c>
      <c r="F173" s="8" t="s">
        <v>66</v>
      </c>
      <c r="G173" s="18" t="s">
        <v>970</v>
      </c>
      <c r="H173" s="18"/>
      <c r="I173" s="13"/>
      <c r="J173" s="18"/>
      <c r="K173" s="18"/>
    </row>
    <row r="174" spans="1:11" ht="38.75" x14ac:dyDescent="0.2">
      <c r="A174" s="12" t="s">
        <v>971</v>
      </c>
      <c r="B174" s="4" t="s">
        <v>979</v>
      </c>
      <c r="C174" s="7" t="s">
        <v>980</v>
      </c>
      <c r="D174" s="4" t="s">
        <v>981</v>
      </c>
      <c r="E174" s="8" t="s">
        <v>975</v>
      </c>
      <c r="F174" s="8" t="s">
        <v>66</v>
      </c>
      <c r="G174" s="18" t="s">
        <v>970</v>
      </c>
      <c r="H174" s="18"/>
      <c r="I174" s="13"/>
      <c r="J174" s="18"/>
      <c r="K174" s="18"/>
    </row>
    <row r="175" spans="1:11" ht="51.65" x14ac:dyDescent="0.2">
      <c r="A175" s="12" t="s">
        <v>982</v>
      </c>
      <c r="B175" s="4" t="s">
        <v>983</v>
      </c>
      <c r="C175" s="11" t="s">
        <v>984</v>
      </c>
      <c r="D175" s="1" t="s">
        <v>985</v>
      </c>
      <c r="E175" s="10" t="s">
        <v>975</v>
      </c>
      <c r="F175" s="10" t="s">
        <v>153</v>
      </c>
      <c r="G175" s="22" t="s">
        <v>970</v>
      </c>
      <c r="H175" s="18"/>
      <c r="I175" s="20"/>
      <c r="J175" s="18"/>
      <c r="K175" s="18"/>
    </row>
    <row r="176" spans="1:11" ht="38.75" x14ac:dyDescent="0.2">
      <c r="A176" s="12" t="s">
        <v>982</v>
      </c>
      <c r="B176" s="4" t="s">
        <v>986</v>
      </c>
      <c r="C176" s="7" t="s">
        <v>987</v>
      </c>
      <c r="D176" s="4" t="s">
        <v>988</v>
      </c>
      <c r="E176" s="8" t="s">
        <v>975</v>
      </c>
      <c r="F176" s="8" t="s">
        <v>153</v>
      </c>
      <c r="G176" s="18" t="s">
        <v>970</v>
      </c>
      <c r="H176" s="18"/>
      <c r="I176" s="13"/>
      <c r="J176" s="18"/>
      <c r="K176" s="18"/>
    </row>
    <row r="177" spans="1:11" ht="25.85" x14ac:dyDescent="0.2">
      <c r="A177" s="12" t="s">
        <v>989</v>
      </c>
      <c r="B177" s="4" t="s">
        <v>990</v>
      </c>
      <c r="C177" s="7" t="s">
        <v>991</v>
      </c>
      <c r="D177" s="4" t="s">
        <v>992</v>
      </c>
      <c r="E177" s="8" t="s">
        <v>993</v>
      </c>
      <c r="F177" s="8" t="s">
        <v>90</v>
      </c>
      <c r="G177" s="18" t="s">
        <v>970</v>
      </c>
      <c r="H177" s="18"/>
      <c r="I177" s="13"/>
      <c r="J177" s="18"/>
      <c r="K177" s="18"/>
    </row>
    <row r="178" spans="1:11" ht="25.85" x14ac:dyDescent="0.2">
      <c r="A178" s="12" t="s">
        <v>989</v>
      </c>
      <c r="B178" s="4" t="s">
        <v>994</v>
      </c>
      <c r="C178" s="7" t="s">
        <v>995</v>
      </c>
      <c r="D178" s="4" t="s">
        <v>996</v>
      </c>
      <c r="E178" s="8" t="s">
        <v>993</v>
      </c>
      <c r="F178" s="8" t="s">
        <v>90</v>
      </c>
      <c r="G178" s="18" t="s">
        <v>970</v>
      </c>
      <c r="H178" s="18"/>
      <c r="I178" s="13"/>
      <c r="J178" s="18"/>
      <c r="K178" s="18"/>
    </row>
    <row r="179" spans="1:11" ht="38.75" x14ac:dyDescent="0.2">
      <c r="A179" s="12" t="s">
        <v>997</v>
      </c>
      <c r="B179" s="4" t="s">
        <v>998</v>
      </c>
      <c r="C179" s="7" t="s">
        <v>999</v>
      </c>
      <c r="D179" s="4" t="s">
        <v>1000</v>
      </c>
      <c r="E179" s="8" t="s">
        <v>1001</v>
      </c>
      <c r="F179" s="8" t="s">
        <v>1002</v>
      </c>
      <c r="G179" s="18" t="s">
        <v>1003</v>
      </c>
      <c r="H179" s="18"/>
      <c r="I179" s="13"/>
      <c r="J179" s="18"/>
      <c r="K179" s="18"/>
    </row>
    <row r="180" spans="1:11" ht="64.55" x14ac:dyDescent="0.2">
      <c r="A180" s="12" t="s">
        <v>1004</v>
      </c>
      <c r="B180" s="4" t="s">
        <v>1005</v>
      </c>
      <c r="C180" s="7" t="s">
        <v>1006</v>
      </c>
      <c r="D180" s="4" t="s">
        <v>1007</v>
      </c>
      <c r="E180" s="8" t="s">
        <v>1008</v>
      </c>
      <c r="F180" s="8" t="s">
        <v>1009</v>
      </c>
      <c r="G180" s="18" t="s">
        <v>1010</v>
      </c>
      <c r="H180" s="18"/>
      <c r="I180" s="13"/>
      <c r="J180" s="18"/>
      <c r="K180" s="18"/>
    </row>
    <row r="181" spans="1:11" ht="64.55" x14ac:dyDescent="0.2">
      <c r="A181" s="12" t="s">
        <v>1011</v>
      </c>
      <c r="B181" s="4" t="s">
        <v>1012</v>
      </c>
      <c r="C181" s="7" t="s">
        <v>1013</v>
      </c>
      <c r="D181" s="4" t="s">
        <v>1014</v>
      </c>
      <c r="E181" s="8" t="s">
        <v>1008</v>
      </c>
      <c r="F181" s="8" t="s">
        <v>883</v>
      </c>
      <c r="G181" s="18" t="s">
        <v>1010</v>
      </c>
      <c r="H181" s="18"/>
      <c r="I181" s="13"/>
      <c r="J181" s="18"/>
      <c r="K181" s="18"/>
    </row>
    <row r="182" spans="1:11" ht="77.45" x14ac:dyDescent="0.2">
      <c r="A182" s="12" t="s">
        <v>1015</v>
      </c>
      <c r="B182" s="2" t="s">
        <v>1016</v>
      </c>
      <c r="C182" s="11" t="s">
        <v>1017</v>
      </c>
      <c r="D182" s="1" t="s">
        <v>1018</v>
      </c>
      <c r="E182" s="10" t="s">
        <v>1008</v>
      </c>
      <c r="F182" s="10" t="s">
        <v>1019</v>
      </c>
      <c r="G182" s="22" t="s">
        <v>1010</v>
      </c>
      <c r="H182" s="18"/>
      <c r="I182" s="20"/>
      <c r="J182" s="18"/>
      <c r="K182" s="18"/>
    </row>
    <row r="183" spans="1:11" ht="64.55" x14ac:dyDescent="0.2">
      <c r="A183" s="12" t="s">
        <v>1020</v>
      </c>
      <c r="B183" s="4" t="s">
        <v>1021</v>
      </c>
      <c r="C183" s="7" t="s">
        <v>1022</v>
      </c>
      <c r="D183" s="4" t="s">
        <v>1023</v>
      </c>
      <c r="E183" s="8" t="s">
        <v>1008</v>
      </c>
      <c r="F183" s="8" t="s">
        <v>1024</v>
      </c>
      <c r="G183" s="18" t="s">
        <v>1010</v>
      </c>
      <c r="H183" s="18"/>
      <c r="I183" s="13"/>
      <c r="J183" s="18"/>
      <c r="K183" s="18"/>
    </row>
    <row r="184" spans="1:11" ht="206.5" x14ac:dyDescent="0.2">
      <c r="A184" s="12" t="s">
        <v>1025</v>
      </c>
      <c r="B184" s="4" t="s">
        <v>1026</v>
      </c>
      <c r="C184" s="7" t="s">
        <v>1027</v>
      </c>
      <c r="D184" s="4" t="s">
        <v>1028</v>
      </c>
      <c r="E184" s="8" t="s">
        <v>1029</v>
      </c>
      <c r="F184" s="8" t="s">
        <v>960</v>
      </c>
      <c r="G184" s="18" t="s">
        <v>1010</v>
      </c>
      <c r="H184" s="18"/>
      <c r="I184" s="13"/>
      <c r="J184" s="18"/>
      <c r="K184" s="18"/>
    </row>
    <row r="185" spans="1:11" ht="271.05" x14ac:dyDescent="0.2">
      <c r="A185" s="12" t="s">
        <v>1030</v>
      </c>
      <c r="B185" s="4" t="s">
        <v>1031</v>
      </c>
      <c r="C185" s="7" t="s">
        <v>1032</v>
      </c>
      <c r="D185" s="4" t="s">
        <v>1033</v>
      </c>
      <c r="E185" s="8" t="s">
        <v>1029</v>
      </c>
      <c r="F185" s="8" t="s">
        <v>694</v>
      </c>
      <c r="G185" s="18" t="s">
        <v>1010</v>
      </c>
      <c r="H185" s="18"/>
      <c r="I185" s="13"/>
      <c r="J185" s="18"/>
      <c r="K185" s="18"/>
    </row>
    <row r="186" spans="1:11" ht="25.85" x14ac:dyDescent="0.2">
      <c r="A186" s="12" t="s">
        <v>1034</v>
      </c>
      <c r="B186" s="4" t="s">
        <v>1035</v>
      </c>
      <c r="C186" s="7" t="s">
        <v>1036</v>
      </c>
      <c r="D186" s="4" t="s">
        <v>1037</v>
      </c>
      <c r="E186" s="8" t="s">
        <v>1038</v>
      </c>
      <c r="F186" s="8" t="s">
        <v>559</v>
      </c>
      <c r="G186" s="26" t="s">
        <v>1039</v>
      </c>
      <c r="H186" s="18"/>
      <c r="I186" s="13"/>
      <c r="J186" s="18"/>
      <c r="K186" s="18"/>
    </row>
    <row r="187" spans="1:11" ht="38.75" x14ac:dyDescent="0.2">
      <c r="A187" s="12" t="s">
        <v>1040</v>
      </c>
      <c r="B187" s="4" t="s">
        <v>1041</v>
      </c>
      <c r="C187" s="7" t="s">
        <v>1042</v>
      </c>
      <c r="D187" s="4" t="s">
        <v>1043</v>
      </c>
      <c r="E187" s="8" t="s">
        <v>1038</v>
      </c>
      <c r="F187" s="8" t="s">
        <v>1044</v>
      </c>
      <c r="G187" s="18" t="s">
        <v>1045</v>
      </c>
      <c r="H187" s="18"/>
      <c r="I187" s="13"/>
      <c r="J187" s="18"/>
      <c r="K187" s="18"/>
    </row>
    <row r="188" spans="1:11" ht="51.65" x14ac:dyDescent="0.2">
      <c r="A188" s="12" t="s">
        <v>1046</v>
      </c>
      <c r="B188" s="4" t="s">
        <v>1047</v>
      </c>
      <c r="C188" s="7" t="s">
        <v>1048</v>
      </c>
      <c r="D188" s="4" t="s">
        <v>1049</v>
      </c>
      <c r="E188" s="8" t="s">
        <v>1038</v>
      </c>
      <c r="F188" s="8" t="s">
        <v>894</v>
      </c>
      <c r="G188" s="24" t="s">
        <v>1050</v>
      </c>
      <c r="H188" s="18"/>
      <c r="I188" s="13"/>
      <c r="J188" s="18"/>
      <c r="K188" s="18"/>
    </row>
    <row r="189" spans="1:11" ht="51.65" x14ac:dyDescent="0.2">
      <c r="A189" s="12" t="s">
        <v>1051</v>
      </c>
      <c r="B189" s="4" t="s">
        <v>1052</v>
      </c>
      <c r="C189" s="7" t="s">
        <v>1053</v>
      </c>
      <c r="D189" s="4" t="s">
        <v>1054</v>
      </c>
      <c r="E189" s="8" t="s">
        <v>1038</v>
      </c>
      <c r="F189" s="8" t="s">
        <v>1055</v>
      </c>
      <c r="G189" s="18" t="s">
        <v>1056</v>
      </c>
      <c r="H189" s="18"/>
      <c r="I189" s="13"/>
      <c r="J189" s="18"/>
      <c r="K189" s="18"/>
    </row>
    <row r="190" spans="1:11" ht="38.75" x14ac:dyDescent="0.2">
      <c r="A190" s="12" t="s">
        <v>1057</v>
      </c>
      <c r="B190" s="4" t="s">
        <v>1058</v>
      </c>
      <c r="C190" s="7" t="s">
        <v>1059</v>
      </c>
      <c r="D190" s="4" t="s">
        <v>1060</v>
      </c>
      <c r="E190" s="8" t="s">
        <v>1038</v>
      </c>
      <c r="F190" s="8" t="s">
        <v>1061</v>
      </c>
      <c r="G190" s="18" t="s">
        <v>1062</v>
      </c>
      <c r="H190" s="18"/>
      <c r="I190" s="13"/>
      <c r="J190" s="18"/>
      <c r="K190" s="18"/>
    </row>
    <row r="191" spans="1:11" ht="38.75" x14ac:dyDescent="0.2">
      <c r="A191" s="12" t="s">
        <v>1063</v>
      </c>
      <c r="B191" s="4" t="s">
        <v>1064</v>
      </c>
      <c r="C191" s="7" t="s">
        <v>1065</v>
      </c>
      <c r="D191" s="4" t="s">
        <v>1066</v>
      </c>
      <c r="E191" s="8" t="s">
        <v>1038</v>
      </c>
      <c r="F191" s="8" t="s">
        <v>1067</v>
      </c>
      <c r="G191" s="18" t="s">
        <v>1068</v>
      </c>
      <c r="H191" s="18"/>
      <c r="I191" s="13"/>
      <c r="J191" s="18"/>
      <c r="K191" s="18"/>
    </row>
    <row r="192" spans="1:11" ht="25.85" x14ac:dyDescent="0.2">
      <c r="A192" s="12" t="s">
        <v>1069</v>
      </c>
      <c r="B192" s="4" t="s">
        <v>1070</v>
      </c>
      <c r="C192" s="7" t="s">
        <v>1071</v>
      </c>
      <c r="D192" s="4" t="s">
        <v>1072</v>
      </c>
      <c r="E192" s="8" t="s">
        <v>1038</v>
      </c>
      <c r="F192" s="8" t="s">
        <v>1073</v>
      </c>
      <c r="G192" s="18" t="s">
        <v>1074</v>
      </c>
      <c r="H192" s="18"/>
      <c r="I192" s="13"/>
      <c r="J192" s="18"/>
      <c r="K192" s="18"/>
    </row>
    <row r="193" spans="1:11" ht="103.25" x14ac:dyDescent="0.2">
      <c r="A193" s="12" t="s">
        <v>1075</v>
      </c>
      <c r="B193" s="4" t="s">
        <v>1076</v>
      </c>
      <c r="C193" s="7" t="s">
        <v>1077</v>
      </c>
      <c r="D193" s="4" t="s">
        <v>1078</v>
      </c>
      <c r="E193" s="8" t="s">
        <v>1038</v>
      </c>
      <c r="F193" s="8" t="s">
        <v>1079</v>
      </c>
      <c r="G193" s="18" t="s">
        <v>1080</v>
      </c>
      <c r="H193" s="18"/>
      <c r="I193" s="13"/>
      <c r="J193" s="18"/>
      <c r="K193" s="18"/>
    </row>
    <row r="194" spans="1:11" ht="51.65" x14ac:dyDescent="0.2">
      <c r="A194" s="12" t="s">
        <v>1081</v>
      </c>
      <c r="B194" s="4" t="s">
        <v>1082</v>
      </c>
      <c r="C194" s="7" t="s">
        <v>1083</v>
      </c>
      <c r="D194" s="4" t="s">
        <v>1084</v>
      </c>
      <c r="E194" s="8" t="s">
        <v>1038</v>
      </c>
      <c r="F194" s="8" t="s">
        <v>1085</v>
      </c>
      <c r="G194" s="18" t="s">
        <v>1086</v>
      </c>
      <c r="H194" s="18"/>
      <c r="I194" s="13"/>
      <c r="J194" s="18"/>
      <c r="K194" s="18"/>
    </row>
    <row r="195" spans="1:11" ht="64.55" x14ac:dyDescent="0.2">
      <c r="A195" s="12" t="s">
        <v>1087</v>
      </c>
      <c r="B195" s="4" t="s">
        <v>1088</v>
      </c>
      <c r="C195" s="7" t="s">
        <v>1089</v>
      </c>
      <c r="D195" s="4" t="s">
        <v>1090</v>
      </c>
      <c r="E195" s="8" t="s">
        <v>1038</v>
      </c>
      <c r="F195" s="8" t="s">
        <v>1091</v>
      </c>
      <c r="G195" s="18" t="s">
        <v>1092</v>
      </c>
      <c r="H195" s="18"/>
      <c r="I195" s="13"/>
      <c r="J195" s="18"/>
      <c r="K195" s="18"/>
    </row>
    <row r="196" spans="1:11" ht="51.65" x14ac:dyDescent="0.2">
      <c r="A196" s="12" t="s">
        <v>1093</v>
      </c>
      <c r="B196" s="4" t="s">
        <v>1094</v>
      </c>
      <c r="C196" s="7" t="s">
        <v>1095</v>
      </c>
      <c r="D196" s="4" t="s">
        <v>1096</v>
      </c>
      <c r="E196" s="8" t="s">
        <v>1038</v>
      </c>
      <c r="F196" s="8" t="s">
        <v>1097</v>
      </c>
      <c r="G196" s="26" t="s">
        <v>1098</v>
      </c>
      <c r="H196" s="18"/>
      <c r="I196" s="13"/>
      <c r="J196" s="18"/>
      <c r="K196" s="18"/>
    </row>
    <row r="197" spans="1:11" ht="38.75" x14ac:dyDescent="0.2">
      <c r="A197" s="12" t="s">
        <v>1099</v>
      </c>
      <c r="B197" s="4" t="s">
        <v>1100</v>
      </c>
      <c r="C197" s="7" t="s">
        <v>1101</v>
      </c>
      <c r="D197" s="4" t="s">
        <v>1102</v>
      </c>
      <c r="E197" s="8" t="s">
        <v>1038</v>
      </c>
      <c r="F197" s="8" t="s">
        <v>1103</v>
      </c>
      <c r="G197" s="18" t="s">
        <v>1104</v>
      </c>
      <c r="H197" s="18"/>
      <c r="I197" s="13"/>
      <c r="J197" s="18"/>
      <c r="K197" s="18"/>
    </row>
    <row r="198" spans="1:11" ht="38.75" x14ac:dyDescent="0.2">
      <c r="A198" s="12" t="s">
        <v>1105</v>
      </c>
      <c r="B198" s="4" t="s">
        <v>1106</v>
      </c>
      <c r="C198" s="7" t="s">
        <v>1107</v>
      </c>
      <c r="D198" s="4" t="s">
        <v>1108</v>
      </c>
      <c r="E198" s="8" t="s">
        <v>1038</v>
      </c>
      <c r="F198" s="8" t="s">
        <v>1109</v>
      </c>
      <c r="G198" s="18" t="s">
        <v>1104</v>
      </c>
      <c r="H198" s="18"/>
      <c r="I198" s="13"/>
      <c r="J198" s="18"/>
      <c r="K198" s="18"/>
    </row>
    <row r="199" spans="1:11" ht="51.65" x14ac:dyDescent="0.2">
      <c r="A199" s="12" t="s">
        <v>1110</v>
      </c>
      <c r="B199" s="4" t="s">
        <v>1111</v>
      </c>
      <c r="C199" s="7" t="s">
        <v>1112</v>
      </c>
      <c r="D199" s="4" t="s">
        <v>1113</v>
      </c>
      <c r="E199" s="8" t="s">
        <v>1114</v>
      </c>
      <c r="F199" s="8" t="s">
        <v>246</v>
      </c>
      <c r="G199" s="18" t="s">
        <v>970</v>
      </c>
      <c r="H199" s="18"/>
      <c r="I199" s="13"/>
      <c r="J199" s="18"/>
      <c r="K199" s="18"/>
    </row>
    <row r="200" spans="1:11" ht="51.65" x14ac:dyDescent="0.2">
      <c r="A200" s="12" t="s">
        <v>1110</v>
      </c>
      <c r="B200" s="4" t="s">
        <v>1115</v>
      </c>
      <c r="C200" s="7" t="s">
        <v>1116</v>
      </c>
      <c r="D200" s="4" t="s">
        <v>1117</v>
      </c>
      <c r="E200" s="8" t="s">
        <v>1114</v>
      </c>
      <c r="F200" s="8" t="s">
        <v>246</v>
      </c>
      <c r="G200" s="18" t="s">
        <v>970</v>
      </c>
      <c r="H200" s="18"/>
      <c r="I200" s="13"/>
      <c r="J200" s="18"/>
      <c r="K200" s="18"/>
    </row>
    <row r="201" spans="1:11" ht="38.75" x14ac:dyDescent="0.2">
      <c r="A201" s="12" t="s">
        <v>1118</v>
      </c>
      <c r="B201" s="4" t="s">
        <v>1119</v>
      </c>
      <c r="C201" s="7" t="s">
        <v>1120</v>
      </c>
      <c r="D201" s="4" t="s">
        <v>1121</v>
      </c>
      <c r="E201" s="8" t="s">
        <v>1114</v>
      </c>
      <c r="F201" s="8" t="s">
        <v>1122</v>
      </c>
      <c r="G201" s="18" t="s">
        <v>1123</v>
      </c>
      <c r="H201" s="18"/>
      <c r="I201" s="13"/>
      <c r="J201" s="18"/>
      <c r="K201" s="18"/>
    </row>
    <row r="202" spans="1:11" ht="51.65" x14ac:dyDescent="0.2">
      <c r="A202" s="12" t="s">
        <v>1124</v>
      </c>
      <c r="B202" s="4" t="s">
        <v>1125</v>
      </c>
      <c r="C202" s="7" t="s">
        <v>1126</v>
      </c>
      <c r="D202" s="4" t="s">
        <v>1127</v>
      </c>
      <c r="E202" s="8" t="s">
        <v>1128</v>
      </c>
      <c r="F202" s="8" t="s">
        <v>153</v>
      </c>
      <c r="G202" s="28" t="s">
        <v>1129</v>
      </c>
      <c r="H202" s="18"/>
      <c r="I202" s="13"/>
      <c r="J202" s="18"/>
      <c r="K202" s="18"/>
    </row>
    <row r="203" spans="1:11" ht="51.65" x14ac:dyDescent="0.2">
      <c r="A203" s="12" t="s">
        <v>1130</v>
      </c>
      <c r="B203" s="4" t="s">
        <v>1131</v>
      </c>
      <c r="C203" s="7" t="s">
        <v>1132</v>
      </c>
      <c r="D203" s="4" t="s">
        <v>1133</v>
      </c>
      <c r="E203" s="8" t="s">
        <v>1128</v>
      </c>
      <c r="F203" s="8" t="s">
        <v>427</v>
      </c>
      <c r="G203" s="29" t="s">
        <v>1134</v>
      </c>
      <c r="H203" s="18"/>
      <c r="I203" s="13"/>
      <c r="J203" s="18"/>
      <c r="K203" s="18"/>
    </row>
    <row r="204" spans="1:11" ht="51.65" x14ac:dyDescent="0.2">
      <c r="A204" s="12" t="s">
        <v>1135</v>
      </c>
      <c r="B204" s="4" t="s">
        <v>1136</v>
      </c>
      <c r="C204" s="7" t="s">
        <v>1137</v>
      </c>
      <c r="D204" s="4" t="s">
        <v>1138</v>
      </c>
      <c r="E204" s="8" t="s">
        <v>1128</v>
      </c>
      <c r="F204" s="8" t="s">
        <v>192</v>
      </c>
      <c r="G204" s="29" t="s">
        <v>1139</v>
      </c>
      <c r="H204" s="18"/>
      <c r="I204" s="13"/>
      <c r="J204" s="18"/>
      <c r="K204" s="18"/>
    </row>
    <row r="205" spans="1:11" ht="64.55" x14ac:dyDescent="0.2">
      <c r="A205" s="12" t="s">
        <v>1135</v>
      </c>
      <c r="B205" s="4" t="s">
        <v>1140</v>
      </c>
      <c r="C205" s="7" t="s">
        <v>1141</v>
      </c>
      <c r="D205" s="4" t="s">
        <v>1142</v>
      </c>
      <c r="E205" s="8" t="s">
        <v>1128</v>
      </c>
      <c r="F205" s="8" t="s">
        <v>192</v>
      </c>
      <c r="G205" s="29" t="s">
        <v>1143</v>
      </c>
      <c r="H205" s="18"/>
      <c r="I205" s="13"/>
      <c r="J205" s="18"/>
      <c r="K205" s="18"/>
    </row>
    <row r="206" spans="1:11" ht="64.55" x14ac:dyDescent="0.2">
      <c r="A206" s="12" t="s">
        <v>1144</v>
      </c>
      <c r="B206" s="4" t="s">
        <v>1145</v>
      </c>
      <c r="C206" s="7" t="s">
        <v>1146</v>
      </c>
      <c r="D206" s="4" t="s">
        <v>1147</v>
      </c>
      <c r="E206" s="8" t="s">
        <v>1148</v>
      </c>
      <c r="F206" s="8" t="s">
        <v>472</v>
      </c>
      <c r="G206" s="28" t="s">
        <v>1129</v>
      </c>
      <c r="H206" s="18"/>
      <c r="I206" s="13"/>
      <c r="J206" s="18"/>
      <c r="K206" s="18"/>
    </row>
    <row r="207" spans="1:11" ht="64.55" x14ac:dyDescent="0.2">
      <c r="A207" s="12" t="s">
        <v>1149</v>
      </c>
      <c r="B207" s="4" t="s">
        <v>1150</v>
      </c>
      <c r="C207" s="7" t="s">
        <v>1151</v>
      </c>
      <c r="D207" s="4" t="s">
        <v>1152</v>
      </c>
      <c r="E207" s="8" t="s">
        <v>1148</v>
      </c>
      <c r="F207" s="8" t="s">
        <v>559</v>
      </c>
      <c r="G207" s="28" t="s">
        <v>1153</v>
      </c>
      <c r="H207" s="18"/>
      <c r="I207" s="13"/>
      <c r="J207" s="18"/>
      <c r="K207" s="18"/>
    </row>
    <row r="208" spans="1:11" ht="64.55" x14ac:dyDescent="0.2">
      <c r="A208" s="12" t="s">
        <v>1154</v>
      </c>
      <c r="B208" s="4" t="s">
        <v>1155</v>
      </c>
      <c r="C208" s="7" t="s">
        <v>1156</v>
      </c>
      <c r="D208" s="4" t="s">
        <v>1157</v>
      </c>
      <c r="E208" s="8" t="s">
        <v>1148</v>
      </c>
      <c r="F208" s="8" t="s">
        <v>1158</v>
      </c>
      <c r="G208" s="28" t="s">
        <v>1129</v>
      </c>
      <c r="H208" s="18"/>
      <c r="I208" s="13"/>
      <c r="J208" s="18"/>
      <c r="K208" s="18"/>
    </row>
    <row r="209" spans="1:11" ht="64.55" x14ac:dyDescent="0.2">
      <c r="A209" s="12" t="s">
        <v>1159</v>
      </c>
      <c r="B209" s="4" t="s">
        <v>1160</v>
      </c>
      <c r="C209" s="7" t="s">
        <v>1161</v>
      </c>
      <c r="D209" s="4" t="s">
        <v>1147</v>
      </c>
      <c r="E209" s="8" t="s">
        <v>1162</v>
      </c>
      <c r="F209" s="8" t="s">
        <v>472</v>
      </c>
      <c r="G209" s="18" t="s">
        <v>1163</v>
      </c>
      <c r="H209" s="18"/>
      <c r="I209" s="13"/>
      <c r="J209" s="18"/>
      <c r="K209" s="18"/>
    </row>
    <row r="210" spans="1:11" ht="64.55" x14ac:dyDescent="0.2">
      <c r="A210" s="12" t="s">
        <v>1164</v>
      </c>
      <c r="B210" s="4" t="s">
        <v>1165</v>
      </c>
      <c r="C210" s="7" t="s">
        <v>1166</v>
      </c>
      <c r="D210" s="4" t="s">
        <v>1167</v>
      </c>
      <c r="E210" s="8" t="s">
        <v>1162</v>
      </c>
      <c r="F210" s="8" t="s">
        <v>1168</v>
      </c>
      <c r="G210" s="18" t="s">
        <v>1163</v>
      </c>
      <c r="H210" s="18"/>
      <c r="I210" s="13"/>
      <c r="J210" s="18"/>
      <c r="K210" s="18"/>
    </row>
    <row r="211" spans="1:11" ht="64.55" x14ac:dyDescent="0.2">
      <c r="A211" s="12" t="s">
        <v>1169</v>
      </c>
      <c r="B211" s="4" t="s">
        <v>1170</v>
      </c>
      <c r="C211" s="7" t="s">
        <v>1171</v>
      </c>
      <c r="D211" s="4" t="s">
        <v>1152</v>
      </c>
      <c r="E211" s="8" t="s">
        <v>1162</v>
      </c>
      <c r="F211" s="8" t="s">
        <v>1172</v>
      </c>
      <c r="G211" s="18" t="s">
        <v>1163</v>
      </c>
      <c r="H211" s="18"/>
      <c r="I211" s="13"/>
      <c r="J211" s="18"/>
      <c r="K211" s="18"/>
    </row>
    <row r="212" spans="1:11" ht="64.55" x14ac:dyDescent="0.2">
      <c r="A212" s="12" t="s">
        <v>1173</v>
      </c>
      <c r="B212" s="4" t="s">
        <v>1174</v>
      </c>
      <c r="C212" s="7" t="s">
        <v>1175</v>
      </c>
      <c r="D212" s="4" t="s">
        <v>1176</v>
      </c>
      <c r="E212" s="8" t="s">
        <v>1162</v>
      </c>
      <c r="F212" s="8" t="s">
        <v>1177</v>
      </c>
      <c r="G212" s="18" t="s">
        <v>1163</v>
      </c>
      <c r="H212" s="18"/>
      <c r="I212" s="13"/>
      <c r="J212" s="18"/>
      <c r="K212" s="18"/>
    </row>
    <row r="213" spans="1:11" ht="51.65" x14ac:dyDescent="0.2">
      <c r="A213" s="12" t="s">
        <v>1178</v>
      </c>
      <c r="B213" s="4" t="s">
        <v>1179</v>
      </c>
      <c r="C213" s="7" t="s">
        <v>1180</v>
      </c>
      <c r="D213" s="4" t="s">
        <v>1181</v>
      </c>
      <c r="E213" s="8" t="s">
        <v>1182</v>
      </c>
      <c r="F213" s="8" t="s">
        <v>472</v>
      </c>
      <c r="G213" s="18" t="s">
        <v>1183</v>
      </c>
      <c r="H213" s="18"/>
      <c r="I213" s="13"/>
      <c r="J213" s="18"/>
      <c r="K213" s="18"/>
    </row>
    <row r="214" spans="1:11" ht="77.45" x14ac:dyDescent="0.2">
      <c r="A214" s="12" t="s">
        <v>1184</v>
      </c>
      <c r="B214" s="4" t="s">
        <v>1185</v>
      </c>
      <c r="C214" s="7" t="s">
        <v>1186</v>
      </c>
      <c r="D214" s="4" t="s">
        <v>1187</v>
      </c>
      <c r="E214" s="8" t="s">
        <v>1188</v>
      </c>
      <c r="F214" s="8" t="s">
        <v>153</v>
      </c>
      <c r="G214" s="18" t="s">
        <v>1189</v>
      </c>
      <c r="H214" s="18"/>
      <c r="I214" s="13"/>
      <c r="J214" s="18"/>
      <c r="K214" s="18"/>
    </row>
    <row r="215" spans="1:11" ht="90.35" x14ac:dyDescent="0.2">
      <c r="A215" s="12" t="s">
        <v>1190</v>
      </c>
      <c r="B215" s="4" t="s">
        <v>1191</v>
      </c>
      <c r="C215" s="7" t="s">
        <v>1192</v>
      </c>
      <c r="D215" s="4" t="s">
        <v>1193</v>
      </c>
      <c r="E215" s="8" t="s">
        <v>1194</v>
      </c>
      <c r="F215" s="8" t="s">
        <v>66</v>
      </c>
      <c r="G215" s="18" t="s">
        <v>1195</v>
      </c>
      <c r="H215" s="18"/>
      <c r="I215" s="13"/>
      <c r="J215" s="18"/>
      <c r="K215" s="18"/>
    </row>
    <row r="216" spans="1:11" ht="64.55" x14ac:dyDescent="0.2">
      <c r="A216" s="12" t="s">
        <v>1196</v>
      </c>
      <c r="B216" s="4" t="s">
        <v>1197</v>
      </c>
      <c r="C216" s="7" t="s">
        <v>1198</v>
      </c>
      <c r="D216" s="4" t="s">
        <v>1199</v>
      </c>
      <c r="E216" s="8" t="s">
        <v>1200</v>
      </c>
      <c r="F216" s="8" t="s">
        <v>66</v>
      </c>
      <c r="G216" s="18" t="s">
        <v>1195</v>
      </c>
      <c r="H216" s="18"/>
      <c r="I216" s="13"/>
      <c r="J216" s="18"/>
      <c r="K216" s="18"/>
    </row>
    <row r="217" spans="1:11" ht="25.85" x14ac:dyDescent="0.2">
      <c r="A217" s="12" t="s">
        <v>1201</v>
      </c>
      <c r="B217" s="4" t="s">
        <v>1202</v>
      </c>
      <c r="C217" s="7" t="s">
        <v>1203</v>
      </c>
      <c r="D217" s="4" t="s">
        <v>1204</v>
      </c>
      <c r="E217" s="8" t="s">
        <v>1205</v>
      </c>
      <c r="F217" s="8" t="s">
        <v>116</v>
      </c>
      <c r="G217" s="18" t="s">
        <v>1206</v>
      </c>
      <c r="H217" s="18"/>
      <c r="I217" s="13"/>
      <c r="J217" s="18"/>
      <c r="K217" s="18"/>
    </row>
    <row r="218" spans="1:11" ht="103.25" x14ac:dyDescent="0.2">
      <c r="A218" s="12" t="s">
        <v>1207</v>
      </c>
      <c r="B218" s="4" t="s">
        <v>1208</v>
      </c>
      <c r="C218" s="7" t="s">
        <v>1209</v>
      </c>
      <c r="D218" s="4" t="s">
        <v>1210</v>
      </c>
      <c r="E218" s="8" t="s">
        <v>1211</v>
      </c>
      <c r="F218" s="8" t="s">
        <v>116</v>
      </c>
      <c r="G218" s="30" t="s">
        <v>1212</v>
      </c>
      <c r="H218" s="18"/>
      <c r="I218" s="13"/>
      <c r="J218" s="18"/>
      <c r="K218" s="18"/>
    </row>
    <row r="219" spans="1:11" ht="64.55" x14ac:dyDescent="0.2">
      <c r="A219" s="12" t="s">
        <v>1207</v>
      </c>
      <c r="B219" s="4" t="s">
        <v>1213</v>
      </c>
      <c r="C219" s="7" t="s">
        <v>1214</v>
      </c>
      <c r="D219" s="4" t="s">
        <v>1215</v>
      </c>
      <c r="E219" s="8" t="s">
        <v>1211</v>
      </c>
      <c r="F219" s="8" t="s">
        <v>116</v>
      </c>
      <c r="G219" s="28" t="s">
        <v>1216</v>
      </c>
      <c r="H219" s="18"/>
      <c r="I219" s="13"/>
      <c r="J219" s="18"/>
      <c r="K219" s="18"/>
    </row>
    <row r="220" spans="1:11" ht="38.75" x14ac:dyDescent="0.2">
      <c r="A220" s="12" t="s">
        <v>1217</v>
      </c>
      <c r="B220" s="4" t="s">
        <v>1218</v>
      </c>
      <c r="C220" s="7" t="s">
        <v>1219</v>
      </c>
      <c r="D220" s="4" t="s">
        <v>1220</v>
      </c>
      <c r="E220" s="8" t="s">
        <v>1221</v>
      </c>
      <c r="F220" s="8" t="s">
        <v>66</v>
      </c>
      <c r="G220" s="18" t="s">
        <v>1222</v>
      </c>
      <c r="H220" s="18"/>
      <c r="I220" s="13"/>
      <c r="J220" s="18"/>
      <c r="K220" s="18"/>
    </row>
    <row r="221" spans="1:11" ht="25.85" x14ac:dyDescent="0.2">
      <c r="A221" s="12" t="s">
        <v>1223</v>
      </c>
      <c r="B221" s="4" t="s">
        <v>1224</v>
      </c>
      <c r="C221" s="7" t="s">
        <v>1225</v>
      </c>
      <c r="D221" s="4" t="s">
        <v>1226</v>
      </c>
      <c r="E221" s="8" t="s">
        <v>1221</v>
      </c>
      <c r="F221" s="8" t="s">
        <v>116</v>
      </c>
      <c r="G221" s="18" t="s">
        <v>1227</v>
      </c>
      <c r="H221" s="18"/>
      <c r="I221" s="13"/>
      <c r="J221" s="18"/>
      <c r="K221" s="18"/>
    </row>
    <row r="222" spans="1:11" ht="38.75" x14ac:dyDescent="0.2">
      <c r="A222" s="12" t="s">
        <v>1228</v>
      </c>
      <c r="B222" s="4" t="s">
        <v>1229</v>
      </c>
      <c r="C222" s="7" t="s">
        <v>1230</v>
      </c>
      <c r="D222" s="4" t="s">
        <v>1231</v>
      </c>
      <c r="E222" s="8" t="s">
        <v>1232</v>
      </c>
      <c r="F222" s="8" t="s">
        <v>116</v>
      </c>
      <c r="G222" s="18" t="s">
        <v>1233</v>
      </c>
      <c r="H222" s="18"/>
      <c r="I222" s="13"/>
      <c r="J222" s="18"/>
      <c r="K222" s="18"/>
    </row>
    <row r="223" spans="1:11" ht="25.85" x14ac:dyDescent="0.2">
      <c r="A223" s="12" t="s">
        <v>1234</v>
      </c>
      <c r="B223" s="4" t="s">
        <v>1235</v>
      </c>
      <c r="C223" s="7" t="s">
        <v>1236</v>
      </c>
      <c r="D223" s="4" t="s">
        <v>1237</v>
      </c>
      <c r="E223" s="8" t="s">
        <v>1232</v>
      </c>
      <c r="F223" s="8" t="s">
        <v>122</v>
      </c>
      <c r="G223" s="18" t="s">
        <v>1238</v>
      </c>
      <c r="H223" s="18"/>
      <c r="I223" s="13"/>
      <c r="J223" s="18"/>
      <c r="K223" s="18"/>
    </row>
    <row r="224" spans="1:11" ht="25.85" x14ac:dyDescent="0.2">
      <c r="A224" s="12" t="s">
        <v>1239</v>
      </c>
      <c r="B224" s="4" t="s">
        <v>1240</v>
      </c>
      <c r="C224" s="7" t="s">
        <v>1241</v>
      </c>
      <c r="D224" s="4" t="s">
        <v>1242</v>
      </c>
      <c r="E224" s="8" t="s">
        <v>1232</v>
      </c>
      <c r="F224" s="8" t="s">
        <v>307</v>
      </c>
      <c r="G224" s="18" t="s">
        <v>1243</v>
      </c>
      <c r="H224" s="18"/>
      <c r="I224" s="13"/>
      <c r="J224" s="18"/>
      <c r="K224" s="18"/>
    </row>
    <row r="225" spans="1:11" ht="51.65" x14ac:dyDescent="0.2">
      <c r="A225" s="12" t="s">
        <v>1244</v>
      </c>
      <c r="B225" s="4" t="s">
        <v>1245</v>
      </c>
      <c r="C225" s="7" t="s">
        <v>1246</v>
      </c>
      <c r="D225" s="4" t="s">
        <v>1247</v>
      </c>
      <c r="E225" s="8" t="s">
        <v>1232</v>
      </c>
      <c r="F225" s="8" t="s">
        <v>1122</v>
      </c>
      <c r="G225" s="18" t="s">
        <v>1248</v>
      </c>
      <c r="H225" s="18"/>
      <c r="I225" s="13" t="s">
        <v>1249</v>
      </c>
      <c r="J225" s="18"/>
      <c r="K225" s="18"/>
    </row>
    <row r="226" spans="1:11" ht="64.55" x14ac:dyDescent="0.2">
      <c r="A226" s="12" t="s">
        <v>1250</v>
      </c>
      <c r="B226" s="4" t="s">
        <v>1251</v>
      </c>
      <c r="C226" s="7" t="s">
        <v>1252</v>
      </c>
      <c r="D226" s="4" t="s">
        <v>1253</v>
      </c>
      <c r="E226" s="8" t="s">
        <v>1232</v>
      </c>
      <c r="F226" s="8" t="s">
        <v>1254</v>
      </c>
      <c r="G226" s="18" t="s">
        <v>1248</v>
      </c>
      <c r="H226" s="18"/>
      <c r="I226" s="13"/>
      <c r="J226" s="18"/>
      <c r="K226" s="18"/>
    </row>
    <row r="227" spans="1:11" ht="51.65" x14ac:dyDescent="0.2">
      <c r="A227" s="12" t="s">
        <v>1250</v>
      </c>
      <c r="B227" s="4" t="s">
        <v>1255</v>
      </c>
      <c r="C227" s="7" t="s">
        <v>1256</v>
      </c>
      <c r="D227" s="4" t="s">
        <v>1257</v>
      </c>
      <c r="E227" s="8" t="s">
        <v>1232</v>
      </c>
      <c r="F227" s="8" t="s">
        <v>1254</v>
      </c>
      <c r="G227" s="28" t="s">
        <v>1258</v>
      </c>
      <c r="H227" s="18"/>
      <c r="I227" s="13"/>
      <c r="J227" s="18"/>
      <c r="K227" s="18"/>
    </row>
    <row r="228" spans="1:11" ht="38.75" x14ac:dyDescent="0.2">
      <c r="A228" s="12" t="s">
        <v>1259</v>
      </c>
      <c r="B228" s="4" t="s">
        <v>1260</v>
      </c>
      <c r="C228" s="7" t="s">
        <v>1261</v>
      </c>
      <c r="D228" s="4" t="s">
        <v>1262</v>
      </c>
      <c r="E228" s="8" t="s">
        <v>1263</v>
      </c>
      <c r="F228" s="8" t="s">
        <v>66</v>
      </c>
      <c r="G228" s="18" t="s">
        <v>1264</v>
      </c>
      <c r="H228" s="18"/>
      <c r="I228" s="13" t="s">
        <v>1265</v>
      </c>
      <c r="J228" s="18"/>
      <c r="K228" s="18"/>
    </row>
    <row r="229" spans="1:11" ht="51.65" x14ac:dyDescent="0.2">
      <c r="A229" s="12" t="s">
        <v>1266</v>
      </c>
      <c r="B229" s="4" t="s">
        <v>1267</v>
      </c>
      <c r="C229" s="7" t="s">
        <v>1268</v>
      </c>
      <c r="D229" s="4" t="s">
        <v>1269</v>
      </c>
      <c r="E229" s="8" t="s">
        <v>1270</v>
      </c>
      <c r="F229" s="8" t="s">
        <v>66</v>
      </c>
      <c r="G229" s="18" t="s">
        <v>1271</v>
      </c>
      <c r="H229" s="18"/>
      <c r="I229" s="13"/>
      <c r="J229" s="18"/>
      <c r="K229" s="18"/>
    </row>
    <row r="230" spans="1:11" ht="51.65" x14ac:dyDescent="0.2">
      <c r="A230" s="12" t="s">
        <v>1272</v>
      </c>
      <c r="B230" s="4" t="s">
        <v>1273</v>
      </c>
      <c r="C230" s="7" t="s">
        <v>1274</v>
      </c>
      <c r="D230" s="4" t="s">
        <v>1275</v>
      </c>
      <c r="E230" s="8" t="s">
        <v>1270</v>
      </c>
      <c r="F230" s="8" t="s">
        <v>307</v>
      </c>
      <c r="G230" s="18" t="s">
        <v>1248</v>
      </c>
      <c r="H230" s="18"/>
      <c r="I230" s="13"/>
      <c r="J230" s="18"/>
      <c r="K230" s="18"/>
    </row>
    <row r="231" spans="1:11" ht="38.75" x14ac:dyDescent="0.2">
      <c r="A231" s="12" t="s">
        <v>1276</v>
      </c>
      <c r="B231" s="4" t="s">
        <v>1277</v>
      </c>
      <c r="C231" s="7" t="s">
        <v>1278</v>
      </c>
      <c r="D231" s="4" t="s">
        <v>1279</v>
      </c>
      <c r="E231" s="8" t="s">
        <v>1280</v>
      </c>
      <c r="F231" s="8" t="s">
        <v>116</v>
      </c>
      <c r="G231" s="18" t="s">
        <v>1281</v>
      </c>
      <c r="H231" s="18"/>
      <c r="I231" s="13"/>
      <c r="J231" s="18"/>
      <c r="K231" s="18"/>
    </row>
    <row r="232" spans="1:11" ht="51.65" x14ac:dyDescent="0.2">
      <c r="A232" s="12" t="s">
        <v>1276</v>
      </c>
      <c r="B232" s="4" t="s">
        <v>1282</v>
      </c>
      <c r="C232" s="7" t="s">
        <v>1283</v>
      </c>
      <c r="D232" s="4" t="s">
        <v>1284</v>
      </c>
      <c r="E232" s="8" t="s">
        <v>1280</v>
      </c>
      <c r="F232" s="8" t="s">
        <v>116</v>
      </c>
      <c r="G232" s="18" t="s">
        <v>1285</v>
      </c>
      <c r="H232" s="18"/>
      <c r="I232" s="13"/>
      <c r="J232" s="18"/>
      <c r="K232" s="18"/>
    </row>
    <row r="233" spans="1:11" ht="38.75" x14ac:dyDescent="0.2">
      <c r="A233" s="12" t="s">
        <v>1286</v>
      </c>
      <c r="B233" s="4" t="s">
        <v>1287</v>
      </c>
      <c r="C233" s="7" t="s">
        <v>1288</v>
      </c>
      <c r="D233" s="4" t="s">
        <v>1289</v>
      </c>
      <c r="E233" s="8" t="s">
        <v>1280</v>
      </c>
      <c r="F233" s="8" t="s">
        <v>612</v>
      </c>
      <c r="G233" s="18" t="s">
        <v>1290</v>
      </c>
      <c r="H233" s="18"/>
      <c r="I233" s="13"/>
      <c r="J233" s="18"/>
      <c r="K233" s="18"/>
    </row>
    <row r="234" spans="1:11" ht="51.65" x14ac:dyDescent="0.2">
      <c r="A234" s="12" t="s">
        <v>1286</v>
      </c>
      <c r="B234" s="4" t="s">
        <v>1291</v>
      </c>
      <c r="C234" s="7" t="s">
        <v>1292</v>
      </c>
      <c r="D234" s="4" t="s">
        <v>1293</v>
      </c>
      <c r="E234" s="8" t="s">
        <v>1280</v>
      </c>
      <c r="F234" s="8" t="s">
        <v>612</v>
      </c>
      <c r="G234" s="18" t="s">
        <v>1294</v>
      </c>
      <c r="H234" s="18"/>
      <c r="I234" s="13"/>
      <c r="J234" s="18"/>
      <c r="K234" s="18"/>
    </row>
    <row r="235" spans="1:11" ht="38.75" x14ac:dyDescent="0.2">
      <c r="A235" s="12" t="s">
        <v>1295</v>
      </c>
      <c r="B235" s="4" t="s">
        <v>1296</v>
      </c>
      <c r="C235" s="7" t="s">
        <v>1297</v>
      </c>
      <c r="D235" s="4" t="s">
        <v>1298</v>
      </c>
      <c r="E235" s="8" t="s">
        <v>1280</v>
      </c>
      <c r="F235" s="8" t="s">
        <v>1299</v>
      </c>
      <c r="G235" s="18" t="s">
        <v>1294</v>
      </c>
      <c r="H235" s="18"/>
      <c r="I235" s="13"/>
      <c r="J235" s="18"/>
      <c r="K235" s="18"/>
    </row>
    <row r="236" spans="1:11" ht="51.65" x14ac:dyDescent="0.2">
      <c r="A236" s="12" t="s">
        <v>1300</v>
      </c>
      <c r="B236" s="4" t="s">
        <v>1301</v>
      </c>
      <c r="C236" s="7" t="s">
        <v>1302</v>
      </c>
      <c r="D236" s="4" t="s">
        <v>1303</v>
      </c>
      <c r="E236" s="8" t="s">
        <v>1280</v>
      </c>
      <c r="F236" s="8" t="s">
        <v>1304</v>
      </c>
      <c r="G236" s="28" t="s">
        <v>1305</v>
      </c>
      <c r="H236" s="18"/>
      <c r="I236" s="13"/>
      <c r="J236" s="18"/>
      <c r="K236" s="18"/>
    </row>
    <row r="237" spans="1:11" ht="25.85" x14ac:dyDescent="0.2">
      <c r="A237" s="32" t="s">
        <v>1306</v>
      </c>
      <c r="B237" s="4" t="s">
        <v>1307</v>
      </c>
      <c r="C237" s="7" t="s">
        <v>1308</v>
      </c>
      <c r="D237" s="4" t="s">
        <v>1309</v>
      </c>
      <c r="E237" s="8" t="s">
        <v>1310</v>
      </c>
      <c r="F237" s="8" t="s">
        <v>66</v>
      </c>
      <c r="G237" s="18" t="s">
        <v>1311</v>
      </c>
      <c r="H237" s="18"/>
      <c r="I237" s="13"/>
      <c r="J237" s="18"/>
      <c r="K237" s="18"/>
    </row>
    <row r="238" spans="1:11" ht="38.75" x14ac:dyDescent="0.2">
      <c r="A238" s="12" t="s">
        <v>1312</v>
      </c>
      <c r="B238" s="4" t="s">
        <v>1313</v>
      </c>
      <c r="C238" s="7" t="s">
        <v>1314</v>
      </c>
      <c r="D238" s="4" t="s">
        <v>1315</v>
      </c>
      <c r="E238" s="8" t="s">
        <v>1316</v>
      </c>
      <c r="F238" s="8" t="s">
        <v>153</v>
      </c>
      <c r="G238" s="18" t="s">
        <v>1317</v>
      </c>
      <c r="H238" s="18"/>
      <c r="I238" s="13"/>
      <c r="J238" s="18"/>
      <c r="K238" s="18"/>
    </row>
    <row r="239" spans="1:11" ht="77.45" x14ac:dyDescent="0.2">
      <c r="A239" s="12" t="s">
        <v>1318</v>
      </c>
      <c r="B239" s="4" t="s">
        <v>1319</v>
      </c>
      <c r="C239" s="7" t="s">
        <v>1320</v>
      </c>
      <c r="D239" s="4" t="s">
        <v>1321</v>
      </c>
      <c r="E239" s="8" t="s">
        <v>1322</v>
      </c>
      <c r="F239" s="8" t="s">
        <v>173</v>
      </c>
      <c r="G239" s="18" t="s">
        <v>1323</v>
      </c>
      <c r="H239" s="18"/>
      <c r="I239" s="13" t="s">
        <v>1324</v>
      </c>
      <c r="J239" s="18"/>
      <c r="K239" s="18"/>
    </row>
    <row r="240" spans="1:11" ht="25.85" x14ac:dyDescent="0.2">
      <c r="A240" s="12" t="s">
        <v>1325</v>
      </c>
      <c r="B240" s="4" t="s">
        <v>1326</v>
      </c>
      <c r="C240" s="7" t="s">
        <v>1327</v>
      </c>
      <c r="D240" s="4" t="s">
        <v>1328</v>
      </c>
      <c r="E240" s="8" t="s">
        <v>1322</v>
      </c>
      <c r="F240" s="8" t="s">
        <v>1329</v>
      </c>
      <c r="G240" s="18" t="s">
        <v>1330</v>
      </c>
      <c r="H240" s="18"/>
      <c r="I240" s="13" t="s">
        <v>1331</v>
      </c>
      <c r="J240" s="18"/>
      <c r="K240" s="18"/>
    </row>
    <row r="241" spans="1:11" ht="38.75" x14ac:dyDescent="0.2">
      <c r="A241" s="12" t="s">
        <v>1332</v>
      </c>
      <c r="B241" s="4" t="s">
        <v>1333</v>
      </c>
      <c r="C241" s="7" t="s">
        <v>1334</v>
      </c>
      <c r="D241" s="4" t="s">
        <v>1335</v>
      </c>
      <c r="E241" s="8" t="s">
        <v>1322</v>
      </c>
      <c r="F241" s="8" t="s">
        <v>1336</v>
      </c>
      <c r="G241" s="18" t="s">
        <v>1337</v>
      </c>
      <c r="H241" s="18"/>
      <c r="I241" s="13"/>
      <c r="J241" s="18"/>
      <c r="K241" s="18"/>
    </row>
    <row r="242" spans="1:11" ht="25.85" x14ac:dyDescent="0.2">
      <c r="A242" s="12" t="s">
        <v>1338</v>
      </c>
      <c r="B242" s="4" t="s">
        <v>1339</v>
      </c>
      <c r="C242" s="7" t="s">
        <v>1340</v>
      </c>
      <c r="D242" s="4" t="s">
        <v>1341</v>
      </c>
      <c r="E242" s="8" t="s">
        <v>1342</v>
      </c>
      <c r="F242" s="8" t="s">
        <v>173</v>
      </c>
      <c r="G242" s="18" t="s">
        <v>1343</v>
      </c>
      <c r="H242" s="18"/>
      <c r="I242" s="13" t="s">
        <v>1344</v>
      </c>
      <c r="J242" s="18"/>
      <c r="K242" s="18"/>
    </row>
    <row r="243" spans="1:11" ht="51.65" x14ac:dyDescent="0.2">
      <c r="A243" s="12" t="s">
        <v>1345</v>
      </c>
      <c r="B243" s="4" t="s">
        <v>1346</v>
      </c>
      <c r="C243" s="11" t="s">
        <v>1347</v>
      </c>
      <c r="D243" s="1" t="s">
        <v>1348</v>
      </c>
      <c r="E243" s="10" t="s">
        <v>1349</v>
      </c>
      <c r="F243" s="10" t="s">
        <v>246</v>
      </c>
      <c r="G243" s="18" t="s">
        <v>1350</v>
      </c>
      <c r="H243" s="18"/>
      <c r="I243" s="20"/>
      <c r="J243" s="18"/>
      <c r="K243" s="18"/>
    </row>
    <row r="244" spans="1:11" ht="38.75" x14ac:dyDescent="0.2">
      <c r="A244" s="12" t="s">
        <v>1351</v>
      </c>
      <c r="B244" s="4" t="s">
        <v>1352</v>
      </c>
      <c r="C244" s="7" t="s">
        <v>1353</v>
      </c>
      <c r="D244" s="4" t="s">
        <v>1354</v>
      </c>
      <c r="E244" s="8" t="s">
        <v>1349</v>
      </c>
      <c r="F244" s="8" t="s">
        <v>1205</v>
      </c>
      <c r="G244" s="18" t="s">
        <v>1350</v>
      </c>
      <c r="H244" s="18"/>
      <c r="I244" s="13"/>
      <c r="J244" s="18"/>
      <c r="K244" s="18"/>
    </row>
    <row r="245" spans="1:11" ht="25.85" x14ac:dyDescent="0.2">
      <c r="A245" s="12" t="s">
        <v>1355</v>
      </c>
      <c r="B245" s="4" t="s">
        <v>1356</v>
      </c>
      <c r="C245" s="7" t="s">
        <v>1357</v>
      </c>
      <c r="D245" s="4" t="s">
        <v>1358</v>
      </c>
      <c r="E245" s="8" t="s">
        <v>1349</v>
      </c>
      <c r="F245" s="8" t="s">
        <v>1270</v>
      </c>
      <c r="G245" s="18" t="s">
        <v>1350</v>
      </c>
      <c r="H245" s="18"/>
      <c r="I245" s="13"/>
      <c r="J245" s="18"/>
      <c r="K245" s="18"/>
    </row>
    <row r="246" spans="1:11" ht="167.8" x14ac:dyDescent="0.2">
      <c r="A246" s="12" t="s">
        <v>1359</v>
      </c>
      <c r="B246" s="4" t="s">
        <v>1360</v>
      </c>
      <c r="C246" s="7" t="s">
        <v>1361</v>
      </c>
      <c r="D246" s="4" t="s">
        <v>1362</v>
      </c>
      <c r="E246" s="8" t="s">
        <v>1349</v>
      </c>
      <c r="F246" s="8" t="s">
        <v>1363</v>
      </c>
      <c r="G246" s="18" t="s">
        <v>1350</v>
      </c>
      <c r="H246" s="18"/>
      <c r="I246" s="13"/>
      <c r="J246" s="18"/>
      <c r="K246" s="18"/>
    </row>
    <row r="247" spans="1:11" ht="51.65" x14ac:dyDescent="0.2">
      <c r="A247" s="12" t="s">
        <v>1364</v>
      </c>
      <c r="B247" s="4" t="s">
        <v>1365</v>
      </c>
      <c r="C247" s="7" t="s">
        <v>1366</v>
      </c>
      <c r="D247" s="4" t="s">
        <v>1367</v>
      </c>
      <c r="E247" s="8" t="s">
        <v>1368</v>
      </c>
      <c r="F247" s="8" t="s">
        <v>153</v>
      </c>
      <c r="G247" s="18" t="s">
        <v>1350</v>
      </c>
      <c r="H247" s="18"/>
      <c r="I247" s="13"/>
      <c r="J247" s="18"/>
      <c r="K247" s="18"/>
    </row>
    <row r="248" spans="1:11" ht="38.75" x14ac:dyDescent="0.2">
      <c r="A248" s="12" t="s">
        <v>1369</v>
      </c>
      <c r="B248" s="4" t="s">
        <v>1370</v>
      </c>
      <c r="C248" s="7" t="s">
        <v>1371</v>
      </c>
      <c r="D248" s="4" t="s">
        <v>1372</v>
      </c>
      <c r="E248" s="8" t="s">
        <v>1368</v>
      </c>
      <c r="F248" s="8" t="s">
        <v>1254</v>
      </c>
      <c r="G248" s="18" t="s">
        <v>1373</v>
      </c>
      <c r="H248" s="18"/>
      <c r="I248" s="13"/>
      <c r="J248" s="18"/>
      <c r="K248" s="18"/>
    </row>
    <row r="249" spans="1:11" ht="64.55" x14ac:dyDescent="0.2">
      <c r="A249" s="12" t="s">
        <v>1374</v>
      </c>
      <c r="B249" s="4" t="s">
        <v>1375</v>
      </c>
      <c r="C249" s="7" t="s">
        <v>1376</v>
      </c>
      <c r="D249" s="4" t="s">
        <v>1377</v>
      </c>
      <c r="E249" s="8" t="s">
        <v>1378</v>
      </c>
      <c r="F249" s="8" t="s">
        <v>153</v>
      </c>
      <c r="G249" s="18" t="s">
        <v>1350</v>
      </c>
      <c r="H249" s="18"/>
      <c r="I249" s="13"/>
      <c r="J249" s="18"/>
      <c r="K249" s="18"/>
    </row>
    <row r="250" spans="1:11" ht="51.65" x14ac:dyDescent="0.2">
      <c r="A250" s="12" t="s">
        <v>1379</v>
      </c>
      <c r="B250" s="4" t="s">
        <v>1380</v>
      </c>
      <c r="C250" s="7" t="s">
        <v>1381</v>
      </c>
      <c r="D250" s="4" t="s">
        <v>1382</v>
      </c>
      <c r="E250" s="8" t="s">
        <v>1383</v>
      </c>
      <c r="F250" s="8" t="s">
        <v>66</v>
      </c>
      <c r="G250" s="18" t="s">
        <v>1350</v>
      </c>
      <c r="H250" s="18"/>
      <c r="I250" s="13"/>
      <c r="J250" s="18"/>
      <c r="K250" s="18"/>
    </row>
    <row r="251" spans="1:11" ht="51.65" x14ac:dyDescent="0.2">
      <c r="A251" s="12" t="s">
        <v>1384</v>
      </c>
      <c r="B251" s="2" t="s">
        <v>1385</v>
      </c>
      <c r="C251" s="11" t="s">
        <v>1386</v>
      </c>
      <c r="D251" s="1" t="s">
        <v>1387</v>
      </c>
      <c r="E251" s="10" t="s">
        <v>1388</v>
      </c>
      <c r="F251" s="10" t="s">
        <v>612</v>
      </c>
      <c r="G251" s="29" t="s">
        <v>1389</v>
      </c>
      <c r="H251" s="18"/>
      <c r="I251" s="20"/>
      <c r="J251" s="18"/>
      <c r="K251" s="18"/>
    </row>
    <row r="252" spans="1:11" ht="38.75" x14ac:dyDescent="0.2">
      <c r="A252" s="12" t="s">
        <v>1390</v>
      </c>
      <c r="B252" s="4" t="s">
        <v>1391</v>
      </c>
      <c r="C252" s="7" t="s">
        <v>1392</v>
      </c>
      <c r="D252" s="4" t="s">
        <v>1393</v>
      </c>
      <c r="E252" s="8" t="s">
        <v>1394</v>
      </c>
      <c r="F252" s="8" t="s">
        <v>1395</v>
      </c>
      <c r="G252" s="18" t="s">
        <v>1396</v>
      </c>
      <c r="H252" s="18"/>
      <c r="I252" s="13"/>
      <c r="J252" s="18"/>
      <c r="K252" s="18"/>
    </row>
    <row r="253" spans="1:11" ht="64.55" x14ac:dyDescent="0.2">
      <c r="A253" s="12" t="s">
        <v>1390</v>
      </c>
      <c r="B253" s="4" t="s">
        <v>1397</v>
      </c>
      <c r="C253" s="7" t="s">
        <v>1398</v>
      </c>
      <c r="D253" s="4" t="s">
        <v>1399</v>
      </c>
      <c r="E253" s="8" t="s">
        <v>1394</v>
      </c>
      <c r="F253" s="8" t="s">
        <v>1395</v>
      </c>
      <c r="G253" s="18" t="s">
        <v>1400</v>
      </c>
      <c r="H253" s="18"/>
      <c r="I253" s="13"/>
      <c r="J253" s="18"/>
      <c r="K253" s="18"/>
    </row>
    <row r="254" spans="1:11" ht="64.55" x14ac:dyDescent="0.2">
      <c r="A254" s="12" t="s">
        <v>1390</v>
      </c>
      <c r="B254" s="2" t="s">
        <v>1401</v>
      </c>
      <c r="C254" s="11" t="s">
        <v>1402</v>
      </c>
      <c r="D254" s="1" t="s">
        <v>1403</v>
      </c>
      <c r="E254" s="10" t="s">
        <v>1394</v>
      </c>
      <c r="F254" s="10" t="s">
        <v>1395</v>
      </c>
      <c r="G254" s="18" t="s">
        <v>1400</v>
      </c>
      <c r="H254" s="18"/>
      <c r="I254" s="20"/>
      <c r="J254" s="18"/>
      <c r="K254" s="18"/>
    </row>
    <row r="255" spans="1:11" ht="51.65" x14ac:dyDescent="0.2">
      <c r="A255" s="12" t="s">
        <v>1390</v>
      </c>
      <c r="B255" s="2" t="s">
        <v>1404</v>
      </c>
      <c r="C255" s="11" t="s">
        <v>1405</v>
      </c>
      <c r="D255" s="1" t="s">
        <v>1406</v>
      </c>
      <c r="E255" s="10" t="s">
        <v>1394</v>
      </c>
      <c r="F255" s="10" t="s">
        <v>1395</v>
      </c>
      <c r="G255" s="18" t="s">
        <v>1400</v>
      </c>
      <c r="H255" s="18"/>
      <c r="I255" s="20"/>
      <c r="J255" s="18"/>
      <c r="K255" s="18"/>
    </row>
    <row r="256" spans="1:11" ht="25.85" x14ac:dyDescent="0.2">
      <c r="A256" s="12" t="s">
        <v>1390</v>
      </c>
      <c r="B256" s="4" t="s">
        <v>1407</v>
      </c>
      <c r="C256" s="7" t="s">
        <v>1408</v>
      </c>
      <c r="D256" s="4" t="s">
        <v>1409</v>
      </c>
      <c r="E256" s="8" t="s">
        <v>1394</v>
      </c>
      <c r="F256" s="8" t="s">
        <v>1395</v>
      </c>
      <c r="G256" s="18" t="s">
        <v>1400</v>
      </c>
      <c r="H256" s="18"/>
      <c r="I256" s="13"/>
      <c r="J256" s="18"/>
      <c r="K256" s="18"/>
    </row>
    <row r="257" spans="1:11" ht="51.65" x14ac:dyDescent="0.2">
      <c r="A257" s="12" t="s">
        <v>1410</v>
      </c>
      <c r="B257" s="4" t="s">
        <v>1411</v>
      </c>
      <c r="C257" s="7" t="s">
        <v>1412</v>
      </c>
      <c r="D257" s="4" t="s">
        <v>1413</v>
      </c>
      <c r="E257" s="8" t="s">
        <v>1394</v>
      </c>
      <c r="F257" s="8" t="s">
        <v>1414</v>
      </c>
      <c r="G257" s="18" t="s">
        <v>1400</v>
      </c>
      <c r="H257" s="18"/>
      <c r="I257" s="13"/>
      <c r="J257" s="18"/>
      <c r="K257" s="18"/>
    </row>
    <row r="258" spans="1:11" ht="90.35" x14ac:dyDescent="0.2">
      <c r="A258" s="12" t="s">
        <v>1415</v>
      </c>
      <c r="B258" s="4" t="s">
        <v>1416</v>
      </c>
      <c r="C258" s="7" t="s">
        <v>1417</v>
      </c>
      <c r="D258" s="4" t="s">
        <v>1418</v>
      </c>
      <c r="E258" s="8" t="s">
        <v>1394</v>
      </c>
      <c r="F258" s="8" t="s">
        <v>1419</v>
      </c>
      <c r="G258" s="18" t="s">
        <v>1400</v>
      </c>
      <c r="H258" s="18"/>
      <c r="I258" s="13"/>
      <c r="J258" s="18"/>
      <c r="K258" s="18"/>
    </row>
    <row r="259" spans="1:11" ht="25.85" x14ac:dyDescent="0.2">
      <c r="A259" s="12" t="s">
        <v>1420</v>
      </c>
      <c r="B259" s="4" t="s">
        <v>1421</v>
      </c>
      <c r="C259" s="7" t="s">
        <v>1422</v>
      </c>
      <c r="D259" s="4" t="s">
        <v>1423</v>
      </c>
      <c r="E259" s="8" t="s">
        <v>1424</v>
      </c>
      <c r="F259" s="8" t="s">
        <v>66</v>
      </c>
      <c r="G259" s="18" t="s">
        <v>1425</v>
      </c>
      <c r="H259" s="18"/>
      <c r="I259" s="13"/>
      <c r="J259" s="18"/>
      <c r="K259" s="18"/>
    </row>
    <row r="260" spans="1:11" ht="25.85" x14ac:dyDescent="0.2">
      <c r="A260" s="12" t="s">
        <v>1420</v>
      </c>
      <c r="B260" s="4" t="s">
        <v>1426</v>
      </c>
      <c r="C260" s="7" t="s">
        <v>1427</v>
      </c>
      <c r="D260" s="4" t="s">
        <v>1428</v>
      </c>
      <c r="E260" s="8" t="s">
        <v>1424</v>
      </c>
      <c r="F260" s="8" t="s">
        <v>66</v>
      </c>
      <c r="G260" s="18" t="s">
        <v>1429</v>
      </c>
      <c r="H260" s="18"/>
      <c r="I260" s="13"/>
      <c r="J260" s="18"/>
      <c r="K260" s="18"/>
    </row>
    <row r="261" spans="1:11" ht="51.65" x14ac:dyDescent="0.2">
      <c r="A261" s="12" t="s">
        <v>1430</v>
      </c>
      <c r="B261" s="4" t="s">
        <v>1431</v>
      </c>
      <c r="C261" s="7" t="s">
        <v>1432</v>
      </c>
      <c r="D261" s="4" t="s">
        <v>1433</v>
      </c>
      <c r="E261" s="8" t="s">
        <v>1434</v>
      </c>
      <c r="F261" s="8" t="s">
        <v>1122</v>
      </c>
      <c r="G261" s="18" t="s">
        <v>1435</v>
      </c>
      <c r="H261" s="18"/>
      <c r="I261" s="13"/>
      <c r="J261" s="18"/>
      <c r="K261" s="18"/>
    </row>
    <row r="262" spans="1:11" ht="38.75" x14ac:dyDescent="0.2">
      <c r="A262" s="12" t="s">
        <v>1436</v>
      </c>
      <c r="B262" s="4" t="s">
        <v>1437</v>
      </c>
      <c r="C262" s="7" t="s">
        <v>1438</v>
      </c>
      <c r="D262" s="4" t="s">
        <v>1439</v>
      </c>
      <c r="E262" s="8" t="s">
        <v>1434</v>
      </c>
      <c r="F262" s="8" t="s">
        <v>103</v>
      </c>
      <c r="G262" s="29" t="s">
        <v>1440</v>
      </c>
      <c r="H262" s="18"/>
      <c r="I262" s="13"/>
      <c r="J262" s="18"/>
      <c r="K262" s="18"/>
    </row>
    <row r="263" spans="1:11" ht="25.85" x14ac:dyDescent="0.2">
      <c r="A263" s="12" t="s">
        <v>1441</v>
      </c>
      <c r="B263" s="4" t="s">
        <v>1442</v>
      </c>
      <c r="C263" s="7" t="s">
        <v>1443</v>
      </c>
      <c r="D263" s="4" t="s">
        <v>1444</v>
      </c>
      <c r="E263" s="8" t="s">
        <v>1445</v>
      </c>
      <c r="F263" s="8" t="s">
        <v>173</v>
      </c>
      <c r="G263" s="29" t="s">
        <v>1446</v>
      </c>
      <c r="H263" s="18"/>
      <c r="I263" s="13"/>
      <c r="J263" s="18"/>
      <c r="K263" s="18"/>
    </row>
    <row r="264" spans="1:11" ht="51.65" x14ac:dyDescent="0.2">
      <c r="A264" s="12" t="s">
        <v>1441</v>
      </c>
      <c r="B264" s="4" t="s">
        <v>1447</v>
      </c>
      <c r="C264" s="7" t="s">
        <v>1448</v>
      </c>
      <c r="D264" s="4" t="s">
        <v>1449</v>
      </c>
      <c r="E264" s="8" t="s">
        <v>1445</v>
      </c>
      <c r="F264" s="8" t="s">
        <v>173</v>
      </c>
      <c r="G264" s="29" t="s">
        <v>1450</v>
      </c>
      <c r="H264" s="18"/>
      <c r="I264" s="13"/>
      <c r="J264" s="18"/>
      <c r="K264" s="18"/>
    </row>
    <row r="265" spans="1:11" ht="38.75" x14ac:dyDescent="0.2">
      <c r="A265" s="12" t="s">
        <v>1441</v>
      </c>
      <c r="B265" s="4" t="s">
        <v>1451</v>
      </c>
      <c r="C265" s="7" t="s">
        <v>1452</v>
      </c>
      <c r="D265" s="4" t="s">
        <v>1453</v>
      </c>
      <c r="E265" s="8" t="s">
        <v>1445</v>
      </c>
      <c r="F265" s="8" t="s">
        <v>173</v>
      </c>
      <c r="G265" s="29" t="s">
        <v>1454</v>
      </c>
      <c r="H265" s="18"/>
      <c r="I265" s="13"/>
      <c r="J265" s="18"/>
      <c r="K265" s="18"/>
    </row>
    <row r="266" spans="1:11" ht="38.75" x14ac:dyDescent="0.2">
      <c r="A266" s="12" t="s">
        <v>1455</v>
      </c>
      <c r="B266" s="4" t="s">
        <v>1456</v>
      </c>
      <c r="C266" s="7" t="s">
        <v>1457</v>
      </c>
      <c r="D266" s="4" t="s">
        <v>1458</v>
      </c>
      <c r="E266" s="8" t="s">
        <v>1445</v>
      </c>
      <c r="F266" s="8" t="s">
        <v>280</v>
      </c>
      <c r="G266" s="28" t="s">
        <v>1129</v>
      </c>
      <c r="H266" s="18"/>
      <c r="I266" s="13"/>
      <c r="J266" s="18"/>
      <c r="K266" s="18"/>
    </row>
    <row r="267" spans="1:11" ht="38.75" x14ac:dyDescent="0.2">
      <c r="A267" s="12" t="s">
        <v>1459</v>
      </c>
      <c r="B267" s="4" t="s">
        <v>1460</v>
      </c>
      <c r="C267" s="7" t="s">
        <v>1461</v>
      </c>
      <c r="D267" s="4" t="s">
        <v>1462</v>
      </c>
      <c r="E267" s="8" t="s">
        <v>1445</v>
      </c>
      <c r="F267" s="8" t="s">
        <v>1463</v>
      </c>
      <c r="G267" s="18" t="s">
        <v>1464</v>
      </c>
      <c r="H267" s="18"/>
      <c r="I267" s="13"/>
      <c r="J267" s="18"/>
      <c r="K267" s="18"/>
    </row>
    <row r="268" spans="1:11" ht="51.65" x14ac:dyDescent="0.2">
      <c r="A268" s="12" t="s">
        <v>1465</v>
      </c>
      <c r="B268" s="4" t="s">
        <v>1466</v>
      </c>
      <c r="C268" s="7" t="s">
        <v>1467</v>
      </c>
      <c r="D268" s="4" t="s">
        <v>1468</v>
      </c>
      <c r="E268" s="8" t="s">
        <v>1445</v>
      </c>
      <c r="F268" s="8" t="s">
        <v>32</v>
      </c>
      <c r="G268" s="29" t="s">
        <v>1469</v>
      </c>
      <c r="H268" s="18"/>
      <c r="I268" s="13"/>
      <c r="J268" s="18"/>
      <c r="K268" s="18"/>
    </row>
    <row r="269" spans="1:11" ht="51.65" x14ac:dyDescent="0.2">
      <c r="A269" s="12" t="s">
        <v>1470</v>
      </c>
      <c r="B269" s="4" t="s">
        <v>1471</v>
      </c>
      <c r="C269" s="7" t="s">
        <v>1472</v>
      </c>
      <c r="D269" s="4" t="s">
        <v>1473</v>
      </c>
      <c r="E269" s="8" t="s">
        <v>1445</v>
      </c>
      <c r="F269" s="8" t="s">
        <v>427</v>
      </c>
      <c r="G269" s="29" t="s">
        <v>1474</v>
      </c>
      <c r="H269" s="18"/>
      <c r="I269" s="13"/>
      <c r="J269" s="18"/>
      <c r="K269" s="18"/>
    </row>
    <row r="270" spans="1:11" ht="38.75" x14ac:dyDescent="0.2">
      <c r="A270" s="12" t="s">
        <v>1475</v>
      </c>
      <c r="B270" s="2" t="s">
        <v>1476</v>
      </c>
      <c r="C270" s="11" t="s">
        <v>1477</v>
      </c>
      <c r="D270" s="1" t="s">
        <v>1478</v>
      </c>
      <c r="E270" s="10" t="s">
        <v>1479</v>
      </c>
      <c r="F270" s="10" t="s">
        <v>74</v>
      </c>
      <c r="G270" s="28" t="s">
        <v>1129</v>
      </c>
      <c r="H270" s="18"/>
      <c r="I270" s="20"/>
      <c r="J270" s="18"/>
      <c r="K270" s="18"/>
    </row>
    <row r="271" spans="1:11" ht="51.65" x14ac:dyDescent="0.2">
      <c r="A271" s="12" t="s">
        <v>1475</v>
      </c>
      <c r="B271" s="4" t="s">
        <v>1480</v>
      </c>
      <c r="C271" s="11" t="s">
        <v>1481</v>
      </c>
      <c r="D271" s="1" t="s">
        <v>1482</v>
      </c>
      <c r="E271" s="10" t="s">
        <v>1479</v>
      </c>
      <c r="F271" s="10" t="s">
        <v>74</v>
      </c>
      <c r="G271" s="28" t="s">
        <v>1483</v>
      </c>
      <c r="H271" s="18"/>
      <c r="I271" s="20"/>
      <c r="J271" s="18"/>
      <c r="K271" s="18"/>
    </row>
    <row r="272" spans="1:11" ht="38.75" x14ac:dyDescent="0.2">
      <c r="A272" s="12" t="s">
        <v>1484</v>
      </c>
      <c r="B272" s="4" t="s">
        <v>1485</v>
      </c>
      <c r="C272" s="7" t="s">
        <v>1486</v>
      </c>
      <c r="D272" s="4" t="s">
        <v>1487</v>
      </c>
      <c r="E272" s="8" t="s">
        <v>1488</v>
      </c>
      <c r="F272" s="8" t="s">
        <v>246</v>
      </c>
      <c r="G272" s="29" t="s">
        <v>1163</v>
      </c>
      <c r="H272" s="18"/>
      <c r="I272" s="13"/>
      <c r="J272" s="18"/>
      <c r="K272" s="18"/>
    </row>
    <row r="273" spans="1:11" ht="51.65" x14ac:dyDescent="0.2">
      <c r="A273" s="12" t="s">
        <v>1489</v>
      </c>
      <c r="B273" s="4" t="s">
        <v>1490</v>
      </c>
      <c r="C273" s="7" t="s">
        <v>1491</v>
      </c>
      <c r="D273" s="4" t="s">
        <v>1492</v>
      </c>
      <c r="E273" s="8" t="s">
        <v>1493</v>
      </c>
      <c r="F273" s="8" t="s">
        <v>246</v>
      </c>
      <c r="G273" s="29" t="s">
        <v>1183</v>
      </c>
      <c r="H273" s="18"/>
      <c r="I273" s="13"/>
      <c r="J273" s="18"/>
      <c r="K273" s="18"/>
    </row>
    <row r="274" spans="1:11" ht="38.75" x14ac:dyDescent="0.2">
      <c r="A274" s="12" t="s">
        <v>1494</v>
      </c>
      <c r="B274" s="4" t="s">
        <v>1495</v>
      </c>
      <c r="C274" s="7" t="s">
        <v>1496</v>
      </c>
      <c r="D274" s="4" t="s">
        <v>1497</v>
      </c>
      <c r="E274" s="8" t="s">
        <v>1493</v>
      </c>
      <c r="F274" s="8" t="s">
        <v>90</v>
      </c>
      <c r="G274" s="29" t="s">
        <v>1183</v>
      </c>
      <c r="H274" s="18"/>
      <c r="I274" s="13"/>
      <c r="J274" s="18"/>
      <c r="K274" s="18"/>
    </row>
    <row r="275" spans="1:11" ht="51.65" x14ac:dyDescent="0.2">
      <c r="A275" s="12" t="s">
        <v>1494</v>
      </c>
      <c r="B275" s="4" t="s">
        <v>1498</v>
      </c>
      <c r="C275" s="7" t="s">
        <v>1499</v>
      </c>
      <c r="D275" s="4" t="s">
        <v>1500</v>
      </c>
      <c r="E275" s="8" t="s">
        <v>1493</v>
      </c>
      <c r="F275" s="8" t="s">
        <v>90</v>
      </c>
      <c r="G275" s="29" t="s">
        <v>1183</v>
      </c>
      <c r="H275" s="18"/>
      <c r="I275" s="13"/>
      <c r="J275" s="18"/>
      <c r="K275" s="18"/>
    </row>
    <row r="276" spans="1:11" ht="25.85" x14ac:dyDescent="0.2">
      <c r="A276" s="12" t="s">
        <v>1501</v>
      </c>
      <c r="B276" s="4" t="s">
        <v>1502</v>
      </c>
      <c r="C276" s="7" t="s">
        <v>1503</v>
      </c>
      <c r="D276" s="4" t="s">
        <v>1504</v>
      </c>
      <c r="E276" s="8" t="s">
        <v>1505</v>
      </c>
      <c r="F276" s="8" t="s">
        <v>421</v>
      </c>
      <c r="G276" s="29" t="s">
        <v>1506</v>
      </c>
      <c r="H276" s="18"/>
      <c r="I276" s="13"/>
      <c r="J276" s="18"/>
      <c r="K276" s="18"/>
    </row>
    <row r="277" spans="1:11" ht="38.75" x14ac:dyDescent="0.2">
      <c r="A277" s="12" t="s">
        <v>1507</v>
      </c>
      <c r="B277" s="4" t="s">
        <v>1508</v>
      </c>
      <c r="C277" s="11" t="s">
        <v>1509</v>
      </c>
      <c r="D277" s="1" t="s">
        <v>1510</v>
      </c>
      <c r="E277" s="10" t="s">
        <v>1505</v>
      </c>
      <c r="F277" s="10" t="s">
        <v>1511</v>
      </c>
      <c r="G277" s="29" t="s">
        <v>1512</v>
      </c>
      <c r="H277" s="18"/>
      <c r="I277" s="20"/>
      <c r="J277" s="18"/>
      <c r="K277" s="18"/>
    </row>
    <row r="278" spans="1:11" ht="51.65" x14ac:dyDescent="0.2">
      <c r="A278" s="12" t="s">
        <v>1513</v>
      </c>
      <c r="B278" s="4" t="s">
        <v>1514</v>
      </c>
      <c r="C278" s="7" t="s">
        <v>1515</v>
      </c>
      <c r="D278" s="4" t="s">
        <v>1516</v>
      </c>
      <c r="E278" s="8" t="s">
        <v>1517</v>
      </c>
      <c r="F278" s="8" t="s">
        <v>1518</v>
      </c>
      <c r="G278" s="18" t="s">
        <v>1519</v>
      </c>
      <c r="H278" s="18"/>
      <c r="I278" s="13"/>
      <c r="J278" s="18"/>
      <c r="K278" s="18"/>
    </row>
    <row r="279" spans="1:11" ht="25.85" x14ac:dyDescent="0.2">
      <c r="A279" s="12" t="s">
        <v>1520</v>
      </c>
      <c r="B279" s="4" t="s">
        <v>1521</v>
      </c>
      <c r="C279" s="7" t="s">
        <v>1522</v>
      </c>
      <c r="D279" s="4" t="s">
        <v>1523</v>
      </c>
      <c r="E279" s="8" t="s">
        <v>1524</v>
      </c>
      <c r="F279" s="8" t="s">
        <v>1168</v>
      </c>
      <c r="G279" s="18" t="s">
        <v>1525</v>
      </c>
      <c r="H279" s="18"/>
      <c r="I279" s="13"/>
      <c r="J279" s="18"/>
      <c r="K279" s="18"/>
    </row>
    <row r="280" spans="1:11" ht="51.65" x14ac:dyDescent="0.2">
      <c r="A280" s="12" t="s">
        <v>1526</v>
      </c>
      <c r="B280" s="4" t="s">
        <v>1527</v>
      </c>
      <c r="C280" s="7" t="s">
        <v>1528</v>
      </c>
      <c r="D280" s="4" t="s">
        <v>1529</v>
      </c>
      <c r="E280" s="8" t="s">
        <v>1530</v>
      </c>
      <c r="F280" s="8" t="s">
        <v>1531</v>
      </c>
      <c r="G280" s="18" t="s">
        <v>878</v>
      </c>
      <c r="H280" s="18"/>
      <c r="I280" s="13"/>
      <c r="J280" s="18"/>
      <c r="K280" s="18"/>
    </row>
    <row r="281" spans="1:11" ht="38.75" x14ac:dyDescent="0.2">
      <c r="A281" s="12" t="s">
        <v>1532</v>
      </c>
      <c r="B281" s="4" t="s">
        <v>1533</v>
      </c>
      <c r="C281" s="7" t="s">
        <v>1534</v>
      </c>
      <c r="D281" s="4" t="s">
        <v>1535</v>
      </c>
      <c r="E281" s="8" t="s">
        <v>1530</v>
      </c>
      <c r="F281" s="8" t="s">
        <v>427</v>
      </c>
      <c r="G281" s="18" t="s">
        <v>878</v>
      </c>
      <c r="H281" s="18"/>
      <c r="I281" s="13"/>
      <c r="J281" s="18"/>
      <c r="K281" s="18"/>
    </row>
    <row r="282" spans="1:11" ht="38.75" x14ac:dyDescent="0.2">
      <c r="A282" s="12" t="s">
        <v>1536</v>
      </c>
      <c r="B282" s="4" t="s">
        <v>1537</v>
      </c>
      <c r="C282" s="7" t="s">
        <v>1538</v>
      </c>
      <c r="D282" s="4" t="s">
        <v>1539</v>
      </c>
      <c r="E282" s="8" t="s">
        <v>1530</v>
      </c>
      <c r="F282" s="8" t="s">
        <v>192</v>
      </c>
      <c r="G282" s="18" t="s">
        <v>878</v>
      </c>
      <c r="H282" s="18"/>
      <c r="I282" s="13"/>
      <c r="J282" s="18"/>
      <c r="K282" s="18"/>
    </row>
    <row r="283" spans="1:11" ht="38.75" x14ac:dyDescent="0.2">
      <c r="A283" s="12" t="s">
        <v>1540</v>
      </c>
      <c r="B283" s="4" t="s">
        <v>1541</v>
      </c>
      <c r="C283" s="7" t="s">
        <v>1542</v>
      </c>
      <c r="D283" s="4" t="s">
        <v>1543</v>
      </c>
      <c r="E283" s="8" t="s">
        <v>1530</v>
      </c>
      <c r="F283" s="8" t="s">
        <v>1544</v>
      </c>
      <c r="G283" s="18" t="s">
        <v>878</v>
      </c>
      <c r="H283" s="18"/>
      <c r="I283" s="13"/>
      <c r="J283" s="18"/>
      <c r="K283" s="18"/>
    </row>
    <row r="284" spans="1:11" ht="51.65" x14ac:dyDescent="0.2">
      <c r="A284" s="12" t="s">
        <v>1545</v>
      </c>
      <c r="B284" s="4" t="s">
        <v>1546</v>
      </c>
      <c r="C284" s="7" t="s">
        <v>1547</v>
      </c>
      <c r="D284" s="4" t="s">
        <v>1548</v>
      </c>
      <c r="E284" s="8" t="s">
        <v>1530</v>
      </c>
      <c r="F284" s="8" t="s">
        <v>207</v>
      </c>
      <c r="G284" s="18" t="s">
        <v>878</v>
      </c>
      <c r="H284" s="18"/>
      <c r="I284" s="13"/>
      <c r="J284" s="18"/>
      <c r="K284" s="18"/>
    </row>
    <row r="285" spans="1:11" ht="38.75" x14ac:dyDescent="0.2">
      <c r="A285" s="12" t="s">
        <v>1549</v>
      </c>
      <c r="B285" s="4" t="s">
        <v>1550</v>
      </c>
      <c r="C285" s="7" t="s">
        <v>1551</v>
      </c>
      <c r="D285" s="4" t="s">
        <v>1552</v>
      </c>
      <c r="E285" s="8" t="s">
        <v>1530</v>
      </c>
      <c r="F285" s="8" t="s">
        <v>1553</v>
      </c>
      <c r="G285" s="18" t="s">
        <v>1554</v>
      </c>
      <c r="H285" s="18"/>
      <c r="I285" s="13"/>
      <c r="J285" s="18"/>
      <c r="K285" s="18"/>
    </row>
    <row r="286" spans="1:11" ht="64.55" x14ac:dyDescent="0.2">
      <c r="A286" s="12" t="s">
        <v>1555</v>
      </c>
      <c r="B286" s="4" t="s">
        <v>1556</v>
      </c>
      <c r="C286" s="7" t="s">
        <v>1557</v>
      </c>
      <c r="D286" s="4" t="s">
        <v>1558</v>
      </c>
      <c r="E286" s="8" t="s">
        <v>1530</v>
      </c>
      <c r="F286" s="8" t="s">
        <v>1559</v>
      </c>
      <c r="G286" s="18" t="s">
        <v>1560</v>
      </c>
      <c r="H286" s="18"/>
      <c r="I286" s="13"/>
      <c r="J286" s="18"/>
      <c r="K286" s="18"/>
    </row>
    <row r="287" spans="1:11" ht="103.25" x14ac:dyDescent="0.2">
      <c r="A287" s="12" t="s">
        <v>1561</v>
      </c>
      <c r="B287" s="4" t="s">
        <v>1562</v>
      </c>
      <c r="C287" s="7" t="s">
        <v>1563</v>
      </c>
      <c r="D287" s="4" t="s">
        <v>1564</v>
      </c>
      <c r="E287" s="8" t="s">
        <v>1530</v>
      </c>
      <c r="F287" s="8" t="s">
        <v>1565</v>
      </c>
      <c r="G287" s="18" t="s">
        <v>1566</v>
      </c>
      <c r="H287" s="18"/>
      <c r="I287" s="13"/>
      <c r="J287" s="18"/>
      <c r="K287" s="18"/>
    </row>
    <row r="288" spans="1:11" ht="38.75" x14ac:dyDescent="0.2">
      <c r="A288" s="12" t="s">
        <v>1561</v>
      </c>
      <c r="B288" s="4" t="s">
        <v>1567</v>
      </c>
      <c r="C288" s="7" t="s">
        <v>1568</v>
      </c>
      <c r="D288" s="4" t="s">
        <v>1569</v>
      </c>
      <c r="E288" s="8" t="s">
        <v>1530</v>
      </c>
      <c r="F288" s="8" t="s">
        <v>1565</v>
      </c>
      <c r="G288" s="18" t="s">
        <v>1570</v>
      </c>
      <c r="H288" s="18"/>
      <c r="I288" s="13"/>
      <c r="J288" s="18"/>
      <c r="K288" s="18"/>
    </row>
    <row r="289" spans="1:11" ht="103.25" x14ac:dyDescent="0.2">
      <c r="A289" s="12" t="s">
        <v>1571</v>
      </c>
      <c r="B289" s="4" t="s">
        <v>1572</v>
      </c>
      <c r="C289" s="7" t="s">
        <v>1573</v>
      </c>
      <c r="D289" s="4" t="s">
        <v>1574</v>
      </c>
      <c r="E289" s="8" t="s">
        <v>1530</v>
      </c>
      <c r="F289" s="8" t="s">
        <v>1575</v>
      </c>
      <c r="G289" s="18" t="s">
        <v>1576</v>
      </c>
      <c r="H289" s="18"/>
      <c r="I289" s="13"/>
      <c r="J289" s="18"/>
      <c r="K289" s="18"/>
    </row>
    <row r="290" spans="1:11" ht="64.55" x14ac:dyDescent="0.2">
      <c r="A290" s="12" t="s">
        <v>1577</v>
      </c>
      <c r="B290" s="4" t="s">
        <v>1578</v>
      </c>
      <c r="C290" s="7" t="s">
        <v>1579</v>
      </c>
      <c r="D290" s="4" t="s">
        <v>1580</v>
      </c>
      <c r="E290" s="8" t="s">
        <v>1530</v>
      </c>
      <c r="F290" s="8" t="s">
        <v>1581</v>
      </c>
      <c r="G290" s="18" t="s">
        <v>1582</v>
      </c>
      <c r="H290" s="18"/>
      <c r="I290" s="13"/>
      <c r="J290" s="18"/>
      <c r="K290" s="18"/>
    </row>
    <row r="291" spans="1:11" ht="25.85" x14ac:dyDescent="0.2">
      <c r="A291" s="12" t="s">
        <v>1583</v>
      </c>
      <c r="B291" s="4" t="s">
        <v>1584</v>
      </c>
      <c r="C291" s="7" t="s">
        <v>1585</v>
      </c>
      <c r="D291" s="4" t="s">
        <v>1586</v>
      </c>
      <c r="E291" s="8" t="s">
        <v>1530</v>
      </c>
      <c r="F291" s="8" t="s">
        <v>327</v>
      </c>
      <c r="G291" s="18" t="s">
        <v>878</v>
      </c>
      <c r="H291" s="18"/>
      <c r="I291" s="13"/>
      <c r="J291" s="18"/>
      <c r="K291" s="18"/>
    </row>
    <row r="292" spans="1:11" ht="38.75" x14ac:dyDescent="0.2">
      <c r="A292" s="12" t="s">
        <v>1587</v>
      </c>
      <c r="B292" s="4" t="s">
        <v>1588</v>
      </c>
      <c r="C292" s="7" t="s">
        <v>1589</v>
      </c>
      <c r="D292" s="4" t="s">
        <v>1590</v>
      </c>
      <c r="E292" s="8" t="s">
        <v>1530</v>
      </c>
      <c r="F292" s="8" t="s">
        <v>1591</v>
      </c>
      <c r="G292" s="18" t="s">
        <v>878</v>
      </c>
      <c r="H292" s="18"/>
      <c r="I292" s="13"/>
      <c r="J292" s="18"/>
      <c r="K292" s="18"/>
    </row>
    <row r="293" spans="1:11" ht="103.25" x14ac:dyDescent="0.2">
      <c r="A293" s="12" t="s">
        <v>1592</v>
      </c>
      <c r="B293" s="4" t="s">
        <v>1593</v>
      </c>
      <c r="C293" s="7" t="s">
        <v>1594</v>
      </c>
      <c r="D293" s="4" t="s">
        <v>1595</v>
      </c>
      <c r="E293" s="8" t="s">
        <v>1530</v>
      </c>
      <c r="F293" s="8" t="s">
        <v>1596</v>
      </c>
      <c r="G293" s="18" t="s">
        <v>878</v>
      </c>
      <c r="H293" s="18"/>
      <c r="I293" s="13"/>
      <c r="J293" s="18"/>
      <c r="K293" s="18"/>
    </row>
    <row r="294" spans="1:11" ht="103.25" x14ac:dyDescent="0.2">
      <c r="A294" s="12" t="s">
        <v>1597</v>
      </c>
      <c r="B294" s="4" t="s">
        <v>1598</v>
      </c>
      <c r="C294" s="7" t="s">
        <v>1599</v>
      </c>
      <c r="D294" s="4" t="s">
        <v>1600</v>
      </c>
      <c r="E294" s="8" t="s">
        <v>1530</v>
      </c>
      <c r="F294" s="8" t="s">
        <v>1601</v>
      </c>
      <c r="G294" s="18" t="s">
        <v>878</v>
      </c>
      <c r="H294" s="18"/>
      <c r="I294" s="13"/>
      <c r="J294" s="18"/>
      <c r="K294" s="18"/>
    </row>
    <row r="295" spans="1:11" ht="51.65" x14ac:dyDescent="0.2">
      <c r="A295" s="12" t="s">
        <v>1602</v>
      </c>
      <c r="B295" s="4" t="s">
        <v>1603</v>
      </c>
      <c r="C295" s="7" t="s">
        <v>1604</v>
      </c>
      <c r="D295" s="4" t="s">
        <v>1605</v>
      </c>
      <c r="E295" s="8" t="s">
        <v>1530</v>
      </c>
      <c r="F295" s="8" t="s">
        <v>478</v>
      </c>
      <c r="G295" s="18" t="s">
        <v>878</v>
      </c>
      <c r="H295" s="18"/>
      <c r="I295" s="13"/>
      <c r="J295" s="18"/>
      <c r="K295" s="18"/>
    </row>
    <row r="296" spans="1:11" ht="51.65" x14ac:dyDescent="0.2">
      <c r="A296" s="12" t="s">
        <v>1606</v>
      </c>
      <c r="B296" s="4" t="s">
        <v>1607</v>
      </c>
      <c r="C296" s="7" t="s">
        <v>1608</v>
      </c>
      <c r="D296" s="4" t="s">
        <v>1609</v>
      </c>
      <c r="E296" s="8" t="s">
        <v>1530</v>
      </c>
      <c r="F296" s="8" t="s">
        <v>1091</v>
      </c>
      <c r="G296" s="18" t="s">
        <v>878</v>
      </c>
      <c r="H296" s="18"/>
      <c r="I296" s="13"/>
      <c r="J296" s="18"/>
      <c r="K296" s="18"/>
    </row>
    <row r="297" spans="1:11" ht="51.65" x14ac:dyDescent="0.2">
      <c r="A297" s="12" t="s">
        <v>1610</v>
      </c>
      <c r="B297" s="4" t="s">
        <v>1611</v>
      </c>
      <c r="C297" s="7" t="s">
        <v>1612</v>
      </c>
      <c r="D297" s="4" t="s">
        <v>1613</v>
      </c>
      <c r="E297" s="8" t="s">
        <v>1530</v>
      </c>
      <c r="F297" s="8" t="s">
        <v>1614</v>
      </c>
      <c r="G297" s="18" t="s">
        <v>878</v>
      </c>
      <c r="H297" s="18"/>
      <c r="I297" s="13"/>
      <c r="J297" s="18"/>
      <c r="K297" s="18"/>
    </row>
    <row r="298" spans="1:11" ht="51.65" x14ac:dyDescent="0.2">
      <c r="A298" s="12" t="s">
        <v>1615</v>
      </c>
      <c r="B298" s="4" t="s">
        <v>1616</v>
      </c>
      <c r="C298" s="7" t="s">
        <v>1617</v>
      </c>
      <c r="D298" s="4" t="s">
        <v>1618</v>
      </c>
      <c r="E298" s="8" t="s">
        <v>1530</v>
      </c>
      <c r="F298" s="8" t="s">
        <v>1619</v>
      </c>
      <c r="G298" s="18" t="s">
        <v>878</v>
      </c>
      <c r="H298" s="18"/>
      <c r="I298" s="13"/>
      <c r="J298" s="18"/>
      <c r="K298" s="18"/>
    </row>
    <row r="299" spans="1:11" ht="51.65" x14ac:dyDescent="0.2">
      <c r="A299" s="12" t="s">
        <v>1620</v>
      </c>
      <c r="B299" s="4" t="s">
        <v>1621</v>
      </c>
      <c r="C299" s="7" t="s">
        <v>1622</v>
      </c>
      <c r="D299" s="4" t="s">
        <v>1623</v>
      </c>
      <c r="E299" s="8" t="s">
        <v>1530</v>
      </c>
      <c r="F299" s="8" t="s">
        <v>1624</v>
      </c>
      <c r="G299" s="18" t="s">
        <v>878</v>
      </c>
      <c r="H299" s="18"/>
      <c r="I299" s="13"/>
      <c r="J299" s="18"/>
      <c r="K299" s="18"/>
    </row>
    <row r="300" spans="1:11" ht="51.65" x14ac:dyDescent="0.2">
      <c r="A300" s="12" t="s">
        <v>1625</v>
      </c>
      <c r="B300" s="4" t="s">
        <v>1626</v>
      </c>
      <c r="C300" s="7" t="s">
        <v>1627</v>
      </c>
      <c r="D300" s="4" t="s">
        <v>1628</v>
      </c>
      <c r="E300" s="8" t="s">
        <v>1530</v>
      </c>
      <c r="F300" s="8" t="s">
        <v>1629</v>
      </c>
      <c r="G300" s="18" t="s">
        <v>878</v>
      </c>
      <c r="H300" s="18"/>
      <c r="I300" s="13"/>
      <c r="J300" s="18"/>
      <c r="K300" s="18"/>
    </row>
    <row r="301" spans="1:11" ht="90.35" x14ac:dyDescent="0.2">
      <c r="A301" s="12" t="s">
        <v>1630</v>
      </c>
      <c r="B301" s="4" t="s">
        <v>1631</v>
      </c>
      <c r="C301" s="7" t="s">
        <v>1632</v>
      </c>
      <c r="D301" s="4" t="s">
        <v>1633</v>
      </c>
      <c r="E301" s="8" t="s">
        <v>1634</v>
      </c>
      <c r="F301" s="8" t="s">
        <v>427</v>
      </c>
      <c r="G301" s="18" t="s">
        <v>1635</v>
      </c>
      <c r="H301" s="18"/>
      <c r="I301" s="13"/>
      <c r="J301" s="18"/>
      <c r="K301" s="18"/>
    </row>
    <row r="302" spans="1:11" ht="64.55" x14ac:dyDescent="0.2">
      <c r="A302" s="12" t="s">
        <v>1636</v>
      </c>
      <c r="B302" s="4" t="s">
        <v>1637</v>
      </c>
      <c r="C302" s="7" t="s">
        <v>1638</v>
      </c>
      <c r="D302" s="4" t="s">
        <v>1639</v>
      </c>
      <c r="E302" s="8" t="s">
        <v>1634</v>
      </c>
      <c r="F302" s="8" t="s">
        <v>207</v>
      </c>
      <c r="G302" s="18" t="s">
        <v>1640</v>
      </c>
      <c r="H302" s="18"/>
      <c r="I302" s="13"/>
      <c r="J302" s="18"/>
      <c r="K302" s="18"/>
    </row>
    <row r="303" spans="1:11" ht="180.7" x14ac:dyDescent="0.2">
      <c r="A303" s="12" t="s">
        <v>1641</v>
      </c>
      <c r="B303" s="4" t="s">
        <v>1642</v>
      </c>
      <c r="C303" s="7" t="s">
        <v>1643</v>
      </c>
      <c r="D303" s="4" t="s">
        <v>1644</v>
      </c>
      <c r="E303" s="8" t="s">
        <v>1634</v>
      </c>
      <c r="F303" s="8" t="s">
        <v>90</v>
      </c>
      <c r="G303" s="29" t="s">
        <v>1645</v>
      </c>
      <c r="H303" s="18"/>
      <c r="I303" s="13"/>
      <c r="J303" s="18"/>
      <c r="K303" s="18"/>
    </row>
    <row r="304" spans="1:11" ht="77.45" x14ac:dyDescent="0.2">
      <c r="A304" s="12" t="s">
        <v>1646</v>
      </c>
      <c r="B304" s="4" t="s">
        <v>1647</v>
      </c>
      <c r="C304" s="7" t="s">
        <v>1648</v>
      </c>
      <c r="D304" s="4" t="s">
        <v>1649</v>
      </c>
      <c r="E304" s="8" t="s">
        <v>1634</v>
      </c>
      <c r="F304" s="8" t="s">
        <v>1650</v>
      </c>
      <c r="G304" s="18" t="s">
        <v>1651</v>
      </c>
      <c r="H304" s="18"/>
      <c r="I304" s="13"/>
      <c r="J304" s="18"/>
      <c r="K304" s="18"/>
    </row>
    <row r="305" spans="1:11" ht="38.75" x14ac:dyDescent="0.2">
      <c r="A305" s="12" t="s">
        <v>1646</v>
      </c>
      <c r="B305" s="4" t="s">
        <v>1652</v>
      </c>
      <c r="C305" s="7" t="s">
        <v>1653</v>
      </c>
      <c r="D305" s="4" t="s">
        <v>1654</v>
      </c>
      <c r="E305" s="8" t="s">
        <v>1634</v>
      </c>
      <c r="F305" s="8" t="s">
        <v>1650</v>
      </c>
      <c r="G305" s="18" t="s">
        <v>1655</v>
      </c>
      <c r="H305" s="18"/>
      <c r="I305" s="13"/>
      <c r="J305" s="18"/>
      <c r="K305" s="18"/>
    </row>
    <row r="306" spans="1:11" ht="51.65" x14ac:dyDescent="0.2">
      <c r="A306" s="12" t="s">
        <v>1656</v>
      </c>
      <c r="B306" s="4" t="s">
        <v>1657</v>
      </c>
      <c r="C306" s="7" t="s">
        <v>1658</v>
      </c>
      <c r="D306" s="4" t="s">
        <v>1659</v>
      </c>
      <c r="E306" s="8" t="s">
        <v>1634</v>
      </c>
      <c r="F306" s="8" t="s">
        <v>103</v>
      </c>
      <c r="G306" s="18" t="s">
        <v>1660</v>
      </c>
      <c r="H306" s="18"/>
      <c r="I306" s="13"/>
      <c r="J306" s="18"/>
      <c r="K306" s="18"/>
    </row>
    <row r="307" spans="1:11" ht="51.65" x14ac:dyDescent="0.2">
      <c r="A307" s="12" t="s">
        <v>1661</v>
      </c>
      <c r="B307" s="4" t="s">
        <v>1662</v>
      </c>
      <c r="C307" s="7" t="s">
        <v>1663</v>
      </c>
      <c r="D307" s="4" t="s">
        <v>1664</v>
      </c>
      <c r="E307" s="8" t="s">
        <v>1665</v>
      </c>
      <c r="F307" s="8" t="s">
        <v>173</v>
      </c>
      <c r="G307" s="18" t="s">
        <v>1666</v>
      </c>
      <c r="H307" s="18"/>
      <c r="I307" s="13"/>
      <c r="J307" s="18"/>
      <c r="K307" s="18"/>
    </row>
    <row r="308" spans="1:11" ht="51.65" x14ac:dyDescent="0.2">
      <c r="A308" s="12" t="s">
        <v>1667</v>
      </c>
      <c r="B308" s="4" t="s">
        <v>1668</v>
      </c>
      <c r="C308" s="7" t="s">
        <v>1669</v>
      </c>
      <c r="D308" s="4" t="s">
        <v>1670</v>
      </c>
      <c r="E308" s="8" t="s">
        <v>1665</v>
      </c>
      <c r="F308" s="8" t="s">
        <v>648</v>
      </c>
      <c r="G308" s="18" t="s">
        <v>1671</v>
      </c>
      <c r="H308" s="18"/>
      <c r="I308" s="13"/>
      <c r="J308" s="18"/>
      <c r="K308" s="18"/>
    </row>
    <row r="309" spans="1:11" ht="25.85" x14ac:dyDescent="0.2">
      <c r="A309" s="12" t="s">
        <v>1672</v>
      </c>
      <c r="B309" s="4" t="s">
        <v>1673</v>
      </c>
      <c r="C309" s="7" t="s">
        <v>1674</v>
      </c>
      <c r="D309" s="4" t="s">
        <v>1675</v>
      </c>
      <c r="E309" s="8" t="s">
        <v>1665</v>
      </c>
      <c r="F309" s="8" t="s">
        <v>246</v>
      </c>
      <c r="G309" s="18" t="s">
        <v>1671</v>
      </c>
      <c r="H309" s="18"/>
      <c r="I309" s="13"/>
      <c r="J309" s="18"/>
      <c r="K309" s="18"/>
    </row>
    <row r="310" spans="1:11" ht="51.65" x14ac:dyDescent="0.2">
      <c r="A310" s="12" t="s">
        <v>1676</v>
      </c>
      <c r="B310" s="4" t="s">
        <v>1677</v>
      </c>
      <c r="C310" s="7" t="s">
        <v>1678</v>
      </c>
      <c r="D310" s="4" t="s">
        <v>1679</v>
      </c>
      <c r="E310" s="8" t="s">
        <v>1680</v>
      </c>
      <c r="F310" s="8" t="s">
        <v>185</v>
      </c>
      <c r="G310" s="18" t="s">
        <v>1681</v>
      </c>
      <c r="H310" s="18"/>
      <c r="I310" s="13"/>
      <c r="J310" s="18"/>
      <c r="K310" s="18"/>
    </row>
    <row r="311" spans="1:11" ht="38.75" x14ac:dyDescent="0.2">
      <c r="A311" s="12" t="s">
        <v>1682</v>
      </c>
      <c r="B311" s="4" t="s">
        <v>1683</v>
      </c>
      <c r="C311" s="7" t="s">
        <v>1684</v>
      </c>
      <c r="D311" s="4" t="s">
        <v>1685</v>
      </c>
      <c r="E311" s="8" t="s">
        <v>1680</v>
      </c>
      <c r="F311" s="8" t="s">
        <v>307</v>
      </c>
      <c r="G311" s="18" t="s">
        <v>1681</v>
      </c>
      <c r="H311" s="18"/>
      <c r="I311" s="13"/>
      <c r="J311" s="18"/>
      <c r="K311" s="18"/>
    </row>
    <row r="312" spans="1:11" ht="25.85" x14ac:dyDescent="0.2">
      <c r="A312" s="12" t="s">
        <v>1686</v>
      </c>
      <c r="B312" s="4" t="s">
        <v>1687</v>
      </c>
      <c r="C312" s="7" t="s">
        <v>1688</v>
      </c>
      <c r="D312" s="4" t="s">
        <v>1689</v>
      </c>
      <c r="E312" s="8" t="s">
        <v>1680</v>
      </c>
      <c r="F312" s="8" t="s">
        <v>1559</v>
      </c>
      <c r="G312" s="18" t="s">
        <v>1681</v>
      </c>
      <c r="H312" s="18"/>
      <c r="I312" s="13"/>
      <c r="J312" s="18"/>
      <c r="K312" s="18"/>
    </row>
    <row r="313" spans="1:11" ht="38.75" x14ac:dyDescent="0.2">
      <c r="A313" s="12" t="s">
        <v>1690</v>
      </c>
      <c r="B313" s="4" t="s">
        <v>1691</v>
      </c>
      <c r="C313" s="7" t="s">
        <v>1692</v>
      </c>
      <c r="D313" s="4" t="s">
        <v>1693</v>
      </c>
      <c r="E313" s="8" t="s">
        <v>1680</v>
      </c>
      <c r="F313" s="8" t="s">
        <v>1694</v>
      </c>
      <c r="G313" s="18" t="s">
        <v>1681</v>
      </c>
      <c r="H313" s="18"/>
      <c r="I313" s="13"/>
      <c r="J313" s="18"/>
      <c r="K313" s="18"/>
    </row>
    <row r="314" spans="1:11" ht="38.75" x14ac:dyDescent="0.2">
      <c r="A314" s="12" t="s">
        <v>1690</v>
      </c>
      <c r="B314" s="4" t="s">
        <v>1695</v>
      </c>
      <c r="C314" s="7" t="s">
        <v>1696</v>
      </c>
      <c r="D314" s="4" t="s">
        <v>1697</v>
      </c>
      <c r="E314" s="8" t="s">
        <v>1680</v>
      </c>
      <c r="F314" s="8" t="s">
        <v>1694</v>
      </c>
      <c r="G314" s="18" t="s">
        <v>1681</v>
      </c>
      <c r="H314" s="18"/>
      <c r="I314" s="13"/>
      <c r="J314" s="18"/>
      <c r="K314" s="18"/>
    </row>
    <row r="315" spans="1:11" ht="51.65" x14ac:dyDescent="0.2">
      <c r="A315" s="12" t="s">
        <v>1690</v>
      </c>
      <c r="B315" s="4" t="s">
        <v>1698</v>
      </c>
      <c r="C315" s="7" t="s">
        <v>1699</v>
      </c>
      <c r="D315" s="4" t="s">
        <v>1700</v>
      </c>
      <c r="E315" s="8" t="s">
        <v>1680</v>
      </c>
      <c r="F315" s="8" t="s">
        <v>1694</v>
      </c>
      <c r="G315" s="18" t="s">
        <v>1681</v>
      </c>
      <c r="H315" s="18"/>
      <c r="I315" s="13"/>
      <c r="J315" s="18"/>
      <c r="K315" s="18"/>
    </row>
    <row r="316" spans="1:11" ht="51.65" x14ac:dyDescent="0.2">
      <c r="A316" s="12" t="s">
        <v>1690</v>
      </c>
      <c r="B316" s="4" t="s">
        <v>1701</v>
      </c>
      <c r="C316" s="7" t="s">
        <v>1702</v>
      </c>
      <c r="D316" s="4" t="s">
        <v>1703</v>
      </c>
      <c r="E316" s="8" t="s">
        <v>1680</v>
      </c>
      <c r="F316" s="8" t="s">
        <v>1694</v>
      </c>
      <c r="G316" s="18" t="s">
        <v>1681</v>
      </c>
      <c r="H316" s="18"/>
      <c r="I316" s="13"/>
      <c r="J316" s="18"/>
      <c r="K316" s="18"/>
    </row>
    <row r="317" spans="1:11" ht="51.65" x14ac:dyDescent="0.2">
      <c r="A317" s="12" t="s">
        <v>1704</v>
      </c>
      <c r="B317" s="4" t="s">
        <v>1705</v>
      </c>
      <c r="C317" s="7" t="s">
        <v>1706</v>
      </c>
      <c r="D317" s="4" t="s">
        <v>1707</v>
      </c>
      <c r="E317" s="8" t="s">
        <v>1708</v>
      </c>
      <c r="F317" s="8" t="s">
        <v>1709</v>
      </c>
      <c r="G317" s="29" t="s">
        <v>1710</v>
      </c>
      <c r="H317" s="18"/>
      <c r="I317" s="13"/>
      <c r="J317" s="18"/>
      <c r="K317" s="18"/>
    </row>
    <row r="318" spans="1:11" ht="38.75" x14ac:dyDescent="0.2">
      <c r="A318" s="12" t="s">
        <v>1704</v>
      </c>
      <c r="B318" s="4" t="s">
        <v>1711</v>
      </c>
      <c r="C318" s="7" t="s">
        <v>1712</v>
      </c>
      <c r="D318" s="4" t="s">
        <v>1713</v>
      </c>
      <c r="E318" s="8" t="s">
        <v>1708</v>
      </c>
      <c r="F318" s="8" t="s">
        <v>1709</v>
      </c>
      <c r="G318" s="29" t="s">
        <v>1714</v>
      </c>
      <c r="H318" s="18"/>
      <c r="I318" s="13"/>
      <c r="J318" s="18"/>
      <c r="K318" s="18"/>
    </row>
    <row r="319" spans="1:11" ht="64.55" x14ac:dyDescent="0.2">
      <c r="A319" s="12" t="s">
        <v>1704</v>
      </c>
      <c r="B319" s="4" t="s">
        <v>1715</v>
      </c>
      <c r="C319" s="7" t="s">
        <v>1716</v>
      </c>
      <c r="D319" s="4" t="s">
        <v>1717</v>
      </c>
      <c r="E319" s="8" t="s">
        <v>1708</v>
      </c>
      <c r="F319" s="8" t="s">
        <v>1709</v>
      </c>
      <c r="G319" s="29" t="s">
        <v>1718</v>
      </c>
      <c r="H319" s="18"/>
      <c r="I319" s="13"/>
      <c r="J319" s="18"/>
      <c r="K319" s="18"/>
    </row>
    <row r="320" spans="1:11" ht="64.55" x14ac:dyDescent="0.2">
      <c r="A320" s="12" t="s">
        <v>1719</v>
      </c>
      <c r="B320" s="4" t="s">
        <v>1720</v>
      </c>
      <c r="C320" s="7" t="s">
        <v>1721</v>
      </c>
      <c r="D320" s="4" t="s">
        <v>1722</v>
      </c>
      <c r="E320" s="8" t="s">
        <v>1708</v>
      </c>
      <c r="F320" s="8" t="s">
        <v>427</v>
      </c>
      <c r="G320" s="29" t="s">
        <v>1723</v>
      </c>
      <c r="H320" s="18"/>
      <c r="I320" s="13"/>
      <c r="J320" s="18"/>
      <c r="K320" s="18"/>
    </row>
    <row r="321" spans="1:11" ht="38.75" x14ac:dyDescent="0.2">
      <c r="A321" s="12" t="s">
        <v>1724</v>
      </c>
      <c r="B321" s="4" t="s">
        <v>1725</v>
      </c>
      <c r="C321" s="7" t="s">
        <v>1726</v>
      </c>
      <c r="D321" s="4" t="s">
        <v>1727</v>
      </c>
      <c r="E321" s="8" t="s">
        <v>1708</v>
      </c>
      <c r="F321" s="8" t="s">
        <v>1728</v>
      </c>
      <c r="G321" s="29" t="s">
        <v>1729</v>
      </c>
      <c r="H321" s="18"/>
      <c r="I321" s="13"/>
      <c r="J321" s="18"/>
      <c r="K321" s="18"/>
    </row>
    <row r="322" spans="1:11" ht="51.65" x14ac:dyDescent="0.2">
      <c r="A322" s="12" t="s">
        <v>1724</v>
      </c>
      <c r="B322" s="4" t="s">
        <v>1730</v>
      </c>
      <c r="C322" s="7" t="s">
        <v>1731</v>
      </c>
      <c r="D322" s="4" t="s">
        <v>1732</v>
      </c>
      <c r="E322" s="8" t="s">
        <v>1708</v>
      </c>
      <c r="F322" s="8" t="s">
        <v>1728</v>
      </c>
      <c r="G322" s="29" t="s">
        <v>1733</v>
      </c>
      <c r="H322" s="18"/>
      <c r="I322" s="13"/>
      <c r="J322" s="18"/>
      <c r="K322" s="18"/>
    </row>
    <row r="323" spans="1:11" ht="25.85" x14ac:dyDescent="0.2">
      <c r="A323" s="12" t="s">
        <v>1724</v>
      </c>
      <c r="B323" s="4" t="s">
        <v>1734</v>
      </c>
      <c r="C323" s="7" t="s">
        <v>1735</v>
      </c>
      <c r="D323" s="4" t="s">
        <v>1736</v>
      </c>
      <c r="E323" s="8" t="s">
        <v>1708</v>
      </c>
      <c r="F323" s="8" t="s">
        <v>1728</v>
      </c>
      <c r="G323" s="29" t="s">
        <v>1737</v>
      </c>
      <c r="H323" s="18"/>
      <c r="I323" s="13"/>
      <c r="J323" s="18"/>
      <c r="K323" s="18"/>
    </row>
    <row r="324" spans="1:11" ht="51.65" x14ac:dyDescent="0.2">
      <c r="A324" s="12" t="s">
        <v>1738</v>
      </c>
      <c r="B324" s="4" t="s">
        <v>1739</v>
      </c>
      <c r="C324" s="7" t="s">
        <v>1740</v>
      </c>
      <c r="D324" s="4" t="s">
        <v>1741</v>
      </c>
      <c r="E324" s="8" t="s">
        <v>1742</v>
      </c>
      <c r="F324" s="8" t="s">
        <v>1743</v>
      </c>
      <c r="G324" s="18" t="s">
        <v>1744</v>
      </c>
      <c r="H324" s="18"/>
      <c r="I324" s="13"/>
      <c r="J324" s="18"/>
      <c r="K324" s="18"/>
    </row>
    <row r="325" spans="1:11" ht="38.75" x14ac:dyDescent="0.2">
      <c r="A325" s="12" t="s">
        <v>1745</v>
      </c>
      <c r="B325" s="4" t="s">
        <v>1746</v>
      </c>
      <c r="C325" s="7" t="s">
        <v>1747</v>
      </c>
      <c r="D325" s="4" t="s">
        <v>1748</v>
      </c>
      <c r="E325" s="8" t="s">
        <v>1749</v>
      </c>
      <c r="F325" s="8" t="s">
        <v>1750</v>
      </c>
      <c r="G325" s="18" t="s">
        <v>1751</v>
      </c>
      <c r="H325" s="18"/>
      <c r="I325" s="13"/>
      <c r="J325" s="18"/>
      <c r="K325" s="18"/>
    </row>
    <row r="326" spans="1:11" ht="38.75" x14ac:dyDescent="0.2">
      <c r="A326" s="12" t="s">
        <v>1752</v>
      </c>
      <c r="B326" s="4" t="s">
        <v>1753</v>
      </c>
      <c r="C326" s="7" t="s">
        <v>1754</v>
      </c>
      <c r="D326" s="4" t="s">
        <v>1755</v>
      </c>
      <c r="E326" s="8" t="s">
        <v>1749</v>
      </c>
      <c r="F326" s="8" t="s">
        <v>1756</v>
      </c>
      <c r="G326" s="18" t="s">
        <v>1751</v>
      </c>
      <c r="H326" s="18"/>
      <c r="I326" s="13"/>
      <c r="J326" s="18"/>
      <c r="K326" s="18"/>
    </row>
    <row r="327" spans="1:11" ht="38.75" x14ac:dyDescent="0.2">
      <c r="A327" s="12" t="s">
        <v>1757</v>
      </c>
      <c r="B327" s="4" t="s">
        <v>1758</v>
      </c>
      <c r="C327" s="7" t="s">
        <v>1759</v>
      </c>
      <c r="D327" s="4" t="s">
        <v>1760</v>
      </c>
      <c r="E327" s="8" t="s">
        <v>1749</v>
      </c>
      <c r="F327" s="8" t="s">
        <v>1761</v>
      </c>
      <c r="G327" s="18" t="s">
        <v>1751</v>
      </c>
      <c r="H327" s="18"/>
      <c r="I327" s="13"/>
      <c r="J327" s="18"/>
      <c r="K327" s="18"/>
    </row>
    <row r="328" spans="1:11" ht="38.75" x14ac:dyDescent="0.2">
      <c r="A328" s="12" t="s">
        <v>1757</v>
      </c>
      <c r="B328" s="4" t="s">
        <v>1762</v>
      </c>
      <c r="C328" s="7" t="s">
        <v>1763</v>
      </c>
      <c r="D328" s="4" t="s">
        <v>1764</v>
      </c>
      <c r="E328" s="8" t="s">
        <v>1749</v>
      </c>
      <c r="F328" s="8" t="s">
        <v>1761</v>
      </c>
      <c r="G328" s="18" t="s">
        <v>1751</v>
      </c>
      <c r="H328" s="18"/>
      <c r="I328" s="13"/>
      <c r="J328" s="18"/>
      <c r="K328" s="18"/>
    </row>
    <row r="329" spans="1:11" ht="38.75" x14ac:dyDescent="0.2">
      <c r="A329" s="12" t="s">
        <v>1765</v>
      </c>
      <c r="B329" s="4" t="s">
        <v>1766</v>
      </c>
      <c r="C329" s="7" t="s">
        <v>1767</v>
      </c>
      <c r="D329" s="4" t="s">
        <v>1768</v>
      </c>
      <c r="E329" s="8" t="s">
        <v>1749</v>
      </c>
      <c r="F329" s="8" t="s">
        <v>1769</v>
      </c>
      <c r="G329" s="18" t="s">
        <v>1751</v>
      </c>
      <c r="H329" s="18"/>
      <c r="I329" s="13"/>
      <c r="J329" s="18"/>
      <c r="K329" s="18"/>
    </row>
    <row r="330" spans="1:11" ht="51.65" x14ac:dyDescent="0.2">
      <c r="A330" s="12" t="s">
        <v>1770</v>
      </c>
      <c r="B330" s="4" t="s">
        <v>1771</v>
      </c>
      <c r="C330" s="7" t="s">
        <v>1772</v>
      </c>
      <c r="D330" s="4" t="s">
        <v>1773</v>
      </c>
      <c r="E330" s="8" t="s">
        <v>1774</v>
      </c>
      <c r="F330" s="8" t="s">
        <v>1775</v>
      </c>
      <c r="G330" s="18" t="s">
        <v>1776</v>
      </c>
      <c r="H330" s="18"/>
      <c r="I330" s="13"/>
      <c r="J330" s="18"/>
      <c r="K330" s="18"/>
    </row>
    <row r="331" spans="1:11" ht="38.75" x14ac:dyDescent="0.2">
      <c r="A331" s="12" t="s">
        <v>1777</v>
      </c>
      <c r="B331" s="4" t="s">
        <v>1778</v>
      </c>
      <c r="C331" s="7" t="s">
        <v>1779</v>
      </c>
      <c r="D331" s="4" t="s">
        <v>1780</v>
      </c>
      <c r="E331" s="8" t="s">
        <v>1781</v>
      </c>
      <c r="F331" s="8" t="s">
        <v>153</v>
      </c>
      <c r="G331" s="18" t="s">
        <v>1782</v>
      </c>
      <c r="H331" s="18"/>
      <c r="I331" s="13"/>
      <c r="J331" s="18"/>
      <c r="K331" s="18"/>
    </row>
    <row r="332" spans="1:11" ht="51.65" x14ac:dyDescent="0.2">
      <c r="A332" s="12" t="s">
        <v>1777</v>
      </c>
      <c r="B332" s="4" t="s">
        <v>1783</v>
      </c>
      <c r="C332" s="7" t="s">
        <v>1784</v>
      </c>
      <c r="D332" s="4" t="s">
        <v>1785</v>
      </c>
      <c r="E332" s="8" t="s">
        <v>1781</v>
      </c>
      <c r="F332" s="8" t="s">
        <v>153</v>
      </c>
      <c r="G332" s="18" t="s">
        <v>1786</v>
      </c>
      <c r="H332" s="18"/>
      <c r="I332" s="13"/>
      <c r="J332" s="18"/>
      <c r="K332" s="18"/>
    </row>
    <row r="333" spans="1:11" ht="25.85" x14ac:dyDescent="0.2">
      <c r="A333" s="12" t="s">
        <v>1777</v>
      </c>
      <c r="B333" s="4" t="s">
        <v>1787</v>
      </c>
      <c r="C333" s="7" t="s">
        <v>1788</v>
      </c>
      <c r="D333" s="4" t="s">
        <v>1789</v>
      </c>
      <c r="E333" s="8" t="s">
        <v>1781</v>
      </c>
      <c r="F333" s="8" t="s">
        <v>153</v>
      </c>
      <c r="G333" s="18" t="s">
        <v>1790</v>
      </c>
      <c r="H333" s="18"/>
      <c r="I333" s="13"/>
      <c r="J333" s="18"/>
      <c r="K333" s="18"/>
    </row>
    <row r="334" spans="1:11" ht="51.65" x14ac:dyDescent="0.2">
      <c r="A334" s="12" t="s">
        <v>1791</v>
      </c>
      <c r="B334" s="4" t="s">
        <v>1792</v>
      </c>
      <c r="C334" s="7" t="s">
        <v>1793</v>
      </c>
      <c r="D334" s="4" t="s">
        <v>1794</v>
      </c>
      <c r="E334" s="8" t="s">
        <v>1795</v>
      </c>
      <c r="F334" s="8" t="s">
        <v>1709</v>
      </c>
      <c r="G334" s="18" t="s">
        <v>1796</v>
      </c>
      <c r="H334" s="18"/>
      <c r="I334" s="13"/>
      <c r="J334" s="18"/>
      <c r="K334" s="18"/>
    </row>
    <row r="335" spans="1:11" ht="25.85" x14ac:dyDescent="0.2">
      <c r="A335" s="12" t="s">
        <v>1797</v>
      </c>
      <c r="B335" s="4" t="s">
        <v>1798</v>
      </c>
      <c r="C335" s="7" t="s">
        <v>1799</v>
      </c>
      <c r="D335" s="4" t="s">
        <v>1800</v>
      </c>
      <c r="E335" s="8" t="s">
        <v>1801</v>
      </c>
      <c r="F335" s="8" t="s">
        <v>1802</v>
      </c>
      <c r="G335" s="18" t="s">
        <v>1803</v>
      </c>
      <c r="H335" s="18"/>
      <c r="I335" s="13"/>
      <c r="J335" s="18"/>
      <c r="K335" s="18"/>
    </row>
    <row r="336" spans="1:11" ht="25.85" x14ac:dyDescent="0.2">
      <c r="A336" s="12" t="s">
        <v>1804</v>
      </c>
      <c r="B336" s="4" t="s">
        <v>1805</v>
      </c>
      <c r="C336" s="7" t="s">
        <v>1806</v>
      </c>
      <c r="D336" s="4" t="s">
        <v>1807</v>
      </c>
      <c r="E336" s="8" t="s">
        <v>1801</v>
      </c>
      <c r="F336" s="8" t="s">
        <v>1808</v>
      </c>
      <c r="G336" s="18" t="s">
        <v>1809</v>
      </c>
      <c r="H336" s="18"/>
      <c r="I336" s="13"/>
      <c r="J336" s="18"/>
      <c r="K336" s="18"/>
    </row>
    <row r="337" spans="1:11" ht="25.85" x14ac:dyDescent="0.2">
      <c r="A337" s="12" t="s">
        <v>1810</v>
      </c>
      <c r="B337" s="4" t="s">
        <v>1811</v>
      </c>
      <c r="C337" s="7" t="s">
        <v>1812</v>
      </c>
      <c r="D337" s="4" t="s">
        <v>1813</v>
      </c>
      <c r="E337" s="8" t="s">
        <v>1801</v>
      </c>
      <c r="F337" s="8" t="s">
        <v>427</v>
      </c>
      <c r="G337" s="18" t="s">
        <v>1814</v>
      </c>
      <c r="H337" s="18"/>
      <c r="I337" s="13"/>
      <c r="J337" s="18"/>
      <c r="K337" s="18"/>
    </row>
    <row r="338" spans="1:11" ht="25.85" x14ac:dyDescent="0.2">
      <c r="A338" s="12" t="s">
        <v>1815</v>
      </c>
      <c r="B338" s="4" t="s">
        <v>1816</v>
      </c>
      <c r="C338" s="7" t="s">
        <v>1817</v>
      </c>
      <c r="D338" s="4" t="s">
        <v>1818</v>
      </c>
      <c r="E338" s="8" t="s">
        <v>1801</v>
      </c>
      <c r="F338" s="8" t="s">
        <v>1819</v>
      </c>
      <c r="G338" s="18" t="s">
        <v>1820</v>
      </c>
      <c r="H338" s="18"/>
      <c r="I338" s="13"/>
      <c r="J338" s="18"/>
      <c r="K338" s="18"/>
    </row>
    <row r="339" spans="1:11" ht="38.75" x14ac:dyDescent="0.2">
      <c r="A339" s="12" t="s">
        <v>1821</v>
      </c>
      <c r="B339" s="4" t="s">
        <v>1822</v>
      </c>
      <c r="C339" s="7" t="s">
        <v>1823</v>
      </c>
      <c r="D339" s="4" t="s">
        <v>1824</v>
      </c>
      <c r="E339" s="8" t="s">
        <v>1801</v>
      </c>
      <c r="F339" s="8" t="s">
        <v>478</v>
      </c>
      <c r="G339" s="18" t="s">
        <v>1825</v>
      </c>
      <c r="H339" s="18"/>
      <c r="I339" s="13"/>
      <c r="J339" s="18"/>
      <c r="K339" s="18"/>
    </row>
    <row r="340" spans="1:11" ht="38.75" x14ac:dyDescent="0.2">
      <c r="A340" s="12" t="s">
        <v>1826</v>
      </c>
      <c r="B340" s="4" t="s">
        <v>1827</v>
      </c>
      <c r="C340" s="7" t="s">
        <v>1828</v>
      </c>
      <c r="D340" s="4" t="s">
        <v>1829</v>
      </c>
      <c r="E340" s="8" t="s">
        <v>1801</v>
      </c>
      <c r="F340" s="8" t="s">
        <v>1091</v>
      </c>
      <c r="G340" s="18" t="s">
        <v>1830</v>
      </c>
      <c r="H340" s="18"/>
      <c r="I340" s="13"/>
      <c r="J340" s="18"/>
      <c r="K340" s="18"/>
    </row>
    <row r="341" spans="1:11" ht="51.65" x14ac:dyDescent="0.2">
      <c r="A341" s="12" t="s">
        <v>1831</v>
      </c>
      <c r="B341" s="4" t="s">
        <v>1832</v>
      </c>
      <c r="C341" s="7" t="s">
        <v>1833</v>
      </c>
      <c r="D341" s="4" t="s">
        <v>1834</v>
      </c>
      <c r="E341" s="8" t="s">
        <v>1801</v>
      </c>
      <c r="F341" s="8" t="s">
        <v>1835</v>
      </c>
      <c r="G341" s="18" t="s">
        <v>1836</v>
      </c>
      <c r="H341" s="18"/>
      <c r="I341" s="13"/>
      <c r="J341" s="18"/>
      <c r="K341" s="18"/>
    </row>
    <row r="342" spans="1:11" ht="77.45" x14ac:dyDescent="0.2">
      <c r="A342" s="12" t="s">
        <v>1837</v>
      </c>
      <c r="B342" s="4" t="s">
        <v>1838</v>
      </c>
      <c r="C342" s="7" t="s">
        <v>1839</v>
      </c>
      <c r="D342" s="4" t="s">
        <v>1840</v>
      </c>
      <c r="E342" s="8" t="s">
        <v>1841</v>
      </c>
      <c r="F342" s="8" t="s">
        <v>421</v>
      </c>
      <c r="G342" s="18" t="s">
        <v>1842</v>
      </c>
      <c r="H342" s="18"/>
      <c r="I342" s="13"/>
      <c r="J342" s="18"/>
      <c r="K342" s="18"/>
    </row>
    <row r="343" spans="1:11" ht="25.85" x14ac:dyDescent="0.2">
      <c r="A343" s="12" t="s">
        <v>1843</v>
      </c>
      <c r="B343" s="4" t="s">
        <v>1844</v>
      </c>
      <c r="C343" s="7" t="s">
        <v>1845</v>
      </c>
      <c r="D343" s="4" t="s">
        <v>1846</v>
      </c>
      <c r="E343" s="8" t="s">
        <v>1847</v>
      </c>
      <c r="F343" s="8" t="s">
        <v>421</v>
      </c>
      <c r="G343" s="18" t="s">
        <v>1848</v>
      </c>
      <c r="H343" s="18"/>
      <c r="I343" s="13"/>
      <c r="J343" s="18"/>
      <c r="K343" s="18"/>
    </row>
    <row r="344" spans="1:11" ht="25.85" x14ac:dyDescent="0.2">
      <c r="A344" s="12" t="s">
        <v>1849</v>
      </c>
      <c r="B344" s="4" t="s">
        <v>1850</v>
      </c>
      <c r="C344" s="7" t="s">
        <v>1851</v>
      </c>
      <c r="D344" s="4" t="s">
        <v>1852</v>
      </c>
      <c r="E344" s="8" t="s">
        <v>1847</v>
      </c>
      <c r="F344" s="8" t="s">
        <v>116</v>
      </c>
      <c r="G344" s="18" t="s">
        <v>1853</v>
      </c>
      <c r="H344" s="18"/>
      <c r="I344" s="13"/>
      <c r="J344" s="18"/>
      <c r="K344" s="18"/>
    </row>
    <row r="345" spans="1:11" ht="38.75" x14ac:dyDescent="0.2">
      <c r="A345" s="12" t="s">
        <v>1849</v>
      </c>
      <c r="B345" s="4" t="s">
        <v>1854</v>
      </c>
      <c r="C345" s="7" t="s">
        <v>1855</v>
      </c>
      <c r="D345" s="4" t="s">
        <v>1856</v>
      </c>
      <c r="E345" s="8" t="s">
        <v>1847</v>
      </c>
      <c r="F345" s="8" t="s">
        <v>116</v>
      </c>
      <c r="G345" s="18" t="s">
        <v>1857</v>
      </c>
      <c r="H345" s="18"/>
      <c r="I345" s="13"/>
      <c r="J345" s="18"/>
      <c r="K345" s="18"/>
    </row>
    <row r="346" spans="1:11" ht="25.85" x14ac:dyDescent="0.2">
      <c r="A346" s="12" t="s">
        <v>1858</v>
      </c>
      <c r="B346" s="4" t="s">
        <v>1859</v>
      </c>
      <c r="C346" s="7" t="s">
        <v>1860</v>
      </c>
      <c r="D346" s="4" t="s">
        <v>1861</v>
      </c>
      <c r="E346" s="8" t="s">
        <v>1847</v>
      </c>
      <c r="F346" s="8" t="s">
        <v>153</v>
      </c>
      <c r="G346" s="18" t="s">
        <v>1862</v>
      </c>
      <c r="H346" s="18"/>
      <c r="I346" s="13"/>
      <c r="J346" s="18"/>
      <c r="K346" s="18"/>
    </row>
    <row r="347" spans="1:11" ht="38.75" x14ac:dyDescent="0.2">
      <c r="A347" s="12" t="s">
        <v>1863</v>
      </c>
      <c r="B347" s="4" t="s">
        <v>1864</v>
      </c>
      <c r="C347" s="7" t="s">
        <v>1865</v>
      </c>
      <c r="D347" s="4" t="s">
        <v>1866</v>
      </c>
      <c r="E347" s="8" t="s">
        <v>1847</v>
      </c>
      <c r="F347" s="8" t="s">
        <v>246</v>
      </c>
      <c r="G347" s="18" t="s">
        <v>1867</v>
      </c>
      <c r="H347" s="18"/>
      <c r="I347" s="13"/>
      <c r="J347" s="18"/>
      <c r="K347" s="18"/>
    </row>
    <row r="348" spans="1:11" ht="51.65" x14ac:dyDescent="0.2">
      <c r="A348" s="12" t="s">
        <v>1868</v>
      </c>
      <c r="B348" s="4" t="s">
        <v>1869</v>
      </c>
      <c r="C348" s="7" t="s">
        <v>1870</v>
      </c>
      <c r="D348" s="4" t="s">
        <v>1871</v>
      </c>
      <c r="E348" s="8" t="s">
        <v>1847</v>
      </c>
      <c r="F348" s="8" t="s">
        <v>1172</v>
      </c>
      <c r="G348" s="18" t="s">
        <v>1872</v>
      </c>
      <c r="H348" s="18"/>
      <c r="I348" s="13"/>
      <c r="J348" s="18"/>
      <c r="K348" s="18"/>
    </row>
    <row r="349" spans="1:11" ht="51.65" x14ac:dyDescent="0.2">
      <c r="A349" s="12" t="s">
        <v>1873</v>
      </c>
      <c r="B349" s="4" t="s">
        <v>1874</v>
      </c>
      <c r="C349" s="7" t="s">
        <v>1875</v>
      </c>
      <c r="D349" s="4" t="s">
        <v>1876</v>
      </c>
      <c r="E349" s="8" t="s">
        <v>1847</v>
      </c>
      <c r="F349" s="8" t="s">
        <v>746</v>
      </c>
      <c r="G349" s="18" t="s">
        <v>1872</v>
      </c>
      <c r="H349" s="18"/>
      <c r="I349" s="13"/>
      <c r="J349" s="18"/>
      <c r="K349" s="18"/>
    </row>
    <row r="350" spans="1:11" ht="51.65" x14ac:dyDescent="0.2">
      <c r="A350" s="12" t="s">
        <v>1877</v>
      </c>
      <c r="B350" s="4" t="s">
        <v>1878</v>
      </c>
      <c r="C350" s="7" t="s">
        <v>1879</v>
      </c>
      <c r="D350" s="4" t="s">
        <v>1880</v>
      </c>
      <c r="E350" s="8" t="s">
        <v>1847</v>
      </c>
      <c r="F350" s="8" t="s">
        <v>1881</v>
      </c>
      <c r="G350" s="18" t="s">
        <v>1872</v>
      </c>
      <c r="H350" s="18"/>
      <c r="I350" s="13"/>
      <c r="J350" s="18"/>
      <c r="K350" s="18"/>
    </row>
    <row r="351" spans="1:11" ht="51.65" x14ac:dyDescent="0.2">
      <c r="A351" s="12" t="s">
        <v>1882</v>
      </c>
      <c r="B351" s="4" t="s">
        <v>1883</v>
      </c>
      <c r="C351" s="7" t="s">
        <v>1884</v>
      </c>
      <c r="D351" s="4" t="s">
        <v>1885</v>
      </c>
      <c r="E351" s="8" t="s">
        <v>1847</v>
      </c>
      <c r="F351" s="8" t="s">
        <v>1886</v>
      </c>
      <c r="G351" s="18" t="s">
        <v>1872</v>
      </c>
      <c r="H351" s="18"/>
      <c r="I351" s="13"/>
      <c r="J351" s="18"/>
      <c r="K351" s="18"/>
    </row>
    <row r="352" spans="1:11" ht="25.85" x14ac:dyDescent="0.2">
      <c r="A352" s="12" t="s">
        <v>1882</v>
      </c>
      <c r="B352" s="4" t="s">
        <v>1887</v>
      </c>
      <c r="C352" s="7" t="s">
        <v>1888</v>
      </c>
      <c r="D352" s="4" t="s">
        <v>1889</v>
      </c>
      <c r="E352" s="8" t="s">
        <v>1847</v>
      </c>
      <c r="F352" s="8" t="s">
        <v>1886</v>
      </c>
      <c r="G352" s="18" t="s">
        <v>1890</v>
      </c>
      <c r="H352" s="18"/>
      <c r="I352" s="13"/>
      <c r="J352" s="18"/>
      <c r="K352" s="18"/>
    </row>
    <row r="353" spans="1:11" ht="51.65" x14ac:dyDescent="0.2">
      <c r="A353" s="12" t="s">
        <v>1891</v>
      </c>
      <c r="B353" s="4" t="s">
        <v>1892</v>
      </c>
      <c r="C353" s="7" t="s">
        <v>1893</v>
      </c>
      <c r="D353" s="4" t="s">
        <v>1894</v>
      </c>
      <c r="E353" s="8" t="s">
        <v>1847</v>
      </c>
      <c r="F353" s="8" t="s">
        <v>1895</v>
      </c>
      <c r="G353" s="18" t="s">
        <v>1896</v>
      </c>
      <c r="H353" s="18"/>
      <c r="I353" s="13"/>
      <c r="J353" s="18"/>
      <c r="K353" s="18"/>
    </row>
    <row r="354" spans="1:11" ht="283.95" x14ac:dyDescent="0.2">
      <c r="A354" s="12" t="s">
        <v>1897</v>
      </c>
      <c r="B354" s="4" t="s">
        <v>1898</v>
      </c>
      <c r="C354" s="7" t="s">
        <v>1899</v>
      </c>
      <c r="D354" s="4" t="s">
        <v>1900</v>
      </c>
      <c r="E354" s="8" t="s">
        <v>1847</v>
      </c>
      <c r="F354" s="8" t="s">
        <v>1901</v>
      </c>
      <c r="G354" s="29" t="s">
        <v>1902</v>
      </c>
      <c r="H354" s="18"/>
      <c r="I354" s="13"/>
      <c r="J354" s="18"/>
      <c r="K354" s="18"/>
    </row>
    <row r="355" spans="1:11" ht="64.55" x14ac:dyDescent="0.2">
      <c r="A355" s="12" t="s">
        <v>1897</v>
      </c>
      <c r="B355" s="4" t="s">
        <v>1903</v>
      </c>
      <c r="C355" s="7" t="s">
        <v>1904</v>
      </c>
      <c r="D355" s="4" t="s">
        <v>1905</v>
      </c>
      <c r="E355" s="8" t="s">
        <v>1847</v>
      </c>
      <c r="F355" s="8" t="s">
        <v>1901</v>
      </c>
      <c r="G355" s="18" t="s">
        <v>1906</v>
      </c>
      <c r="H355" s="18"/>
      <c r="I355" s="13"/>
      <c r="J355" s="18"/>
      <c r="K355" s="18"/>
    </row>
    <row r="356" spans="1:11" ht="51.65" x14ac:dyDescent="0.2">
      <c r="A356" s="12" t="s">
        <v>1897</v>
      </c>
      <c r="B356" s="4" t="s">
        <v>1907</v>
      </c>
      <c r="C356" s="7" t="s">
        <v>1908</v>
      </c>
      <c r="D356" s="4" t="s">
        <v>1909</v>
      </c>
      <c r="E356" s="8" t="s">
        <v>1847</v>
      </c>
      <c r="F356" s="8" t="s">
        <v>1901</v>
      </c>
      <c r="G356" s="18" t="s">
        <v>1910</v>
      </c>
      <c r="H356" s="18"/>
      <c r="I356" s="13"/>
      <c r="J356" s="18"/>
      <c r="K356" s="18"/>
    </row>
    <row r="357" spans="1:11" ht="38.75" x14ac:dyDescent="0.2">
      <c r="A357" s="12" t="s">
        <v>1897</v>
      </c>
      <c r="B357" s="4" t="s">
        <v>1911</v>
      </c>
      <c r="C357" s="7" t="s">
        <v>1912</v>
      </c>
      <c r="D357" s="4" t="s">
        <v>1913</v>
      </c>
      <c r="E357" s="8" t="s">
        <v>1847</v>
      </c>
      <c r="F357" s="8" t="s">
        <v>1901</v>
      </c>
      <c r="G357" s="18" t="s">
        <v>1914</v>
      </c>
      <c r="H357" s="18"/>
      <c r="I357" s="13"/>
      <c r="J357" s="18"/>
      <c r="K357" s="18"/>
    </row>
    <row r="358" spans="1:11" ht="64.55" x14ac:dyDescent="0.2">
      <c r="A358" s="12" t="s">
        <v>1915</v>
      </c>
      <c r="B358" s="4" t="s">
        <v>1916</v>
      </c>
      <c r="C358" s="7" t="s">
        <v>1917</v>
      </c>
      <c r="D358" s="4" t="s">
        <v>1918</v>
      </c>
      <c r="E358" s="8" t="s">
        <v>1847</v>
      </c>
      <c r="F358" s="8" t="s">
        <v>1650</v>
      </c>
      <c r="G358" s="18" t="s">
        <v>1919</v>
      </c>
      <c r="H358" s="18"/>
      <c r="I358" s="13"/>
      <c r="J358" s="18"/>
      <c r="K358" s="18"/>
    </row>
    <row r="359" spans="1:11" ht="38.75" x14ac:dyDescent="0.2">
      <c r="A359" s="12" t="s">
        <v>1920</v>
      </c>
      <c r="B359" s="4" t="s">
        <v>1921</v>
      </c>
      <c r="C359" s="7" t="s">
        <v>1922</v>
      </c>
      <c r="D359" s="4" t="s">
        <v>1923</v>
      </c>
      <c r="E359" s="8" t="s">
        <v>1847</v>
      </c>
      <c r="F359" s="8" t="s">
        <v>1924</v>
      </c>
      <c r="G359" s="29" t="s">
        <v>1925</v>
      </c>
      <c r="H359" s="18"/>
      <c r="I359" s="13"/>
      <c r="J359" s="18"/>
      <c r="K359" s="18"/>
    </row>
    <row r="360" spans="1:11" ht="38.75" x14ac:dyDescent="0.2">
      <c r="A360" s="12" t="s">
        <v>1926</v>
      </c>
      <c r="B360" s="4" t="s">
        <v>1927</v>
      </c>
      <c r="C360" s="7" t="s">
        <v>1928</v>
      </c>
      <c r="D360" s="4" t="s">
        <v>1929</v>
      </c>
      <c r="E360" s="8" t="s">
        <v>1847</v>
      </c>
      <c r="F360" s="8" t="s">
        <v>1930</v>
      </c>
      <c r="G360" s="18" t="s">
        <v>1931</v>
      </c>
      <c r="H360" s="18"/>
      <c r="I360" s="13"/>
      <c r="J360" s="18"/>
      <c r="K360" s="18"/>
    </row>
    <row r="361" spans="1:11" ht="25.85" x14ac:dyDescent="0.2">
      <c r="A361" s="12" t="s">
        <v>1926</v>
      </c>
      <c r="B361" s="4" t="s">
        <v>1932</v>
      </c>
      <c r="C361" s="7" t="s">
        <v>1933</v>
      </c>
      <c r="D361" s="4" t="s">
        <v>1934</v>
      </c>
      <c r="E361" s="8" t="s">
        <v>1847</v>
      </c>
      <c r="F361" s="8" t="s">
        <v>1930</v>
      </c>
      <c r="G361" s="18" t="s">
        <v>1935</v>
      </c>
      <c r="H361" s="18"/>
      <c r="I361" s="13"/>
      <c r="J361" s="18"/>
      <c r="K361" s="18"/>
    </row>
    <row r="362" spans="1:11" ht="38.75" x14ac:dyDescent="0.2">
      <c r="A362" s="12" t="s">
        <v>1936</v>
      </c>
      <c r="B362" s="4" t="s">
        <v>1937</v>
      </c>
      <c r="C362" s="7" t="s">
        <v>1938</v>
      </c>
      <c r="D362" s="4" t="s">
        <v>1939</v>
      </c>
      <c r="E362" s="8" t="s">
        <v>1847</v>
      </c>
      <c r="F362" s="8" t="s">
        <v>103</v>
      </c>
      <c r="G362" s="18" t="s">
        <v>1940</v>
      </c>
      <c r="H362" s="18"/>
      <c r="I362" s="13"/>
      <c r="J362" s="18"/>
      <c r="K362" s="18"/>
    </row>
    <row r="363" spans="1:11" ht="64.55" x14ac:dyDescent="0.2">
      <c r="A363" s="12" t="s">
        <v>1941</v>
      </c>
      <c r="B363" s="4" t="s">
        <v>1942</v>
      </c>
      <c r="C363" s="7" t="s">
        <v>1943</v>
      </c>
      <c r="D363" s="4" t="s">
        <v>1944</v>
      </c>
      <c r="E363" s="8" t="s">
        <v>1847</v>
      </c>
      <c r="F363" s="8" t="s">
        <v>601</v>
      </c>
      <c r="G363" s="18" t="s">
        <v>1945</v>
      </c>
      <c r="H363" s="18"/>
      <c r="I363" s="13"/>
      <c r="J363" s="18"/>
      <c r="K363" s="18"/>
    </row>
    <row r="364" spans="1:11" ht="51.65" x14ac:dyDescent="0.2">
      <c r="A364" s="12" t="s">
        <v>1946</v>
      </c>
      <c r="B364" s="4" t="s">
        <v>1947</v>
      </c>
      <c r="C364" s="7" t="s">
        <v>1948</v>
      </c>
      <c r="D364" s="4" t="s">
        <v>1949</v>
      </c>
      <c r="E364" s="8" t="s">
        <v>1950</v>
      </c>
      <c r="F364" s="8" t="s">
        <v>472</v>
      </c>
      <c r="G364" s="18" t="s">
        <v>1951</v>
      </c>
      <c r="H364" s="18"/>
      <c r="I364" s="13"/>
      <c r="J364" s="18"/>
      <c r="K364" s="18"/>
    </row>
    <row r="365" spans="1:11" ht="90.35" x14ac:dyDescent="0.2">
      <c r="A365" s="12" t="s">
        <v>1946</v>
      </c>
      <c r="B365" s="4" t="s">
        <v>1952</v>
      </c>
      <c r="C365" s="7" t="s">
        <v>1953</v>
      </c>
      <c r="D365" s="4" t="s">
        <v>1954</v>
      </c>
      <c r="E365" s="8" t="s">
        <v>1950</v>
      </c>
      <c r="F365" s="8" t="s">
        <v>472</v>
      </c>
      <c r="G365" s="18" t="s">
        <v>1751</v>
      </c>
      <c r="H365" s="18"/>
      <c r="I365" s="13"/>
      <c r="J365" s="18"/>
      <c r="K365" s="18"/>
    </row>
    <row r="366" spans="1:11" ht="77.45" x14ac:dyDescent="0.2">
      <c r="A366" s="12" t="s">
        <v>1946</v>
      </c>
      <c r="B366" s="4" t="s">
        <v>1955</v>
      </c>
      <c r="C366" s="7" t="s">
        <v>1956</v>
      </c>
      <c r="D366" s="4" t="s">
        <v>1957</v>
      </c>
      <c r="E366" s="8" t="s">
        <v>1950</v>
      </c>
      <c r="F366" s="8" t="s">
        <v>472</v>
      </c>
      <c r="G366" s="18" t="s">
        <v>1958</v>
      </c>
      <c r="H366" s="18"/>
      <c r="I366" s="13"/>
      <c r="J366" s="18"/>
      <c r="K366" s="18"/>
    </row>
    <row r="367" spans="1:11" ht="38.75" x14ac:dyDescent="0.2">
      <c r="A367" s="12" t="s">
        <v>1959</v>
      </c>
      <c r="B367" s="4" t="s">
        <v>1960</v>
      </c>
      <c r="C367" s="7" t="s">
        <v>1961</v>
      </c>
      <c r="D367" s="4" t="s">
        <v>1962</v>
      </c>
      <c r="E367" s="8" t="s">
        <v>1950</v>
      </c>
      <c r="F367" s="8" t="s">
        <v>1963</v>
      </c>
      <c r="G367" s="29" t="s">
        <v>1964</v>
      </c>
      <c r="H367" s="18"/>
      <c r="I367" s="13"/>
      <c r="J367" s="18"/>
      <c r="K367" s="18"/>
    </row>
    <row r="368" spans="1:11" ht="25.85" x14ac:dyDescent="0.2">
      <c r="A368" s="12" t="s">
        <v>1965</v>
      </c>
      <c r="B368" s="4" t="s">
        <v>1966</v>
      </c>
      <c r="C368" s="7" t="s">
        <v>1967</v>
      </c>
      <c r="D368" s="4" t="s">
        <v>1968</v>
      </c>
      <c r="E368" s="8" t="s">
        <v>1950</v>
      </c>
      <c r="F368" s="8" t="s">
        <v>1969</v>
      </c>
      <c r="G368" s="18" t="s">
        <v>1970</v>
      </c>
      <c r="H368" s="18"/>
      <c r="I368" s="13"/>
      <c r="J368" s="18"/>
      <c r="K368" s="18"/>
    </row>
    <row r="369" spans="1:11" ht="38.75" x14ac:dyDescent="0.2">
      <c r="A369" s="12" t="s">
        <v>1965</v>
      </c>
      <c r="B369" s="4" t="s">
        <v>1971</v>
      </c>
      <c r="C369" s="7" t="s">
        <v>1972</v>
      </c>
      <c r="D369" s="4" t="s">
        <v>1973</v>
      </c>
      <c r="E369" s="8" t="s">
        <v>1950</v>
      </c>
      <c r="F369" s="8" t="s">
        <v>1969</v>
      </c>
      <c r="G369" s="18" t="s">
        <v>1974</v>
      </c>
      <c r="H369" s="18"/>
      <c r="I369" s="13"/>
      <c r="J369" s="18"/>
      <c r="K369" s="18"/>
    </row>
    <row r="370" spans="1:11" ht="25.85" x14ac:dyDescent="0.2">
      <c r="A370" s="12" t="s">
        <v>1975</v>
      </c>
      <c r="B370" s="4" t="s">
        <v>1976</v>
      </c>
      <c r="C370" s="7" t="s">
        <v>1977</v>
      </c>
      <c r="D370" s="4" t="s">
        <v>1978</v>
      </c>
      <c r="E370" s="8" t="s">
        <v>1950</v>
      </c>
      <c r="F370" s="8" t="s">
        <v>1979</v>
      </c>
      <c r="G370" s="18" t="s">
        <v>1980</v>
      </c>
      <c r="H370" s="18"/>
      <c r="I370" s="13"/>
      <c r="J370" s="18"/>
      <c r="K370" s="18"/>
    </row>
    <row r="371" spans="1:11" ht="25.85" x14ac:dyDescent="0.2">
      <c r="A371" s="12" t="s">
        <v>1975</v>
      </c>
      <c r="B371" s="4" t="s">
        <v>1981</v>
      </c>
      <c r="C371" s="7" t="s">
        <v>1982</v>
      </c>
      <c r="D371" s="4" t="s">
        <v>1983</v>
      </c>
      <c r="E371" s="8" t="s">
        <v>1950</v>
      </c>
      <c r="F371" s="8" t="s">
        <v>1979</v>
      </c>
      <c r="G371" s="18" t="s">
        <v>1984</v>
      </c>
      <c r="H371" s="18"/>
      <c r="I371" s="13"/>
      <c r="J371" s="18"/>
      <c r="K371" s="18"/>
    </row>
    <row r="372" spans="1:11" ht="51.65" x14ac:dyDescent="0.2">
      <c r="A372" s="12" t="s">
        <v>1985</v>
      </c>
      <c r="B372" s="4" t="s">
        <v>1986</v>
      </c>
      <c r="C372" s="7" t="s">
        <v>1987</v>
      </c>
      <c r="D372" s="4" t="s">
        <v>1988</v>
      </c>
      <c r="E372" s="8" t="s">
        <v>1950</v>
      </c>
      <c r="F372" s="8" t="s">
        <v>1989</v>
      </c>
      <c r="G372" s="18" t="s">
        <v>1990</v>
      </c>
      <c r="H372" s="18"/>
      <c r="I372" s="13"/>
      <c r="J372" s="18"/>
      <c r="K372" s="18"/>
    </row>
    <row r="373" spans="1:11" ht="64.55" x14ac:dyDescent="0.2">
      <c r="A373" s="12" t="s">
        <v>1985</v>
      </c>
      <c r="B373" s="4" t="s">
        <v>1991</v>
      </c>
      <c r="C373" s="7" t="s">
        <v>1992</v>
      </c>
      <c r="D373" s="4" t="s">
        <v>1993</v>
      </c>
      <c r="E373" s="8" t="s">
        <v>1950</v>
      </c>
      <c r="F373" s="8" t="s">
        <v>1989</v>
      </c>
      <c r="G373" s="18" t="s">
        <v>1994</v>
      </c>
      <c r="H373" s="18"/>
      <c r="I373" s="13"/>
      <c r="J373" s="18"/>
      <c r="K373" s="18"/>
    </row>
    <row r="374" spans="1:11" ht="51.65" x14ac:dyDescent="0.2">
      <c r="A374" s="12" t="s">
        <v>1995</v>
      </c>
      <c r="B374" s="4" t="s">
        <v>1996</v>
      </c>
      <c r="C374" s="7" t="s">
        <v>1997</v>
      </c>
      <c r="D374" s="4" t="s">
        <v>1998</v>
      </c>
      <c r="E374" s="8" t="s">
        <v>1950</v>
      </c>
      <c r="F374" s="8" t="s">
        <v>1999</v>
      </c>
      <c r="G374" s="18" t="s">
        <v>2000</v>
      </c>
      <c r="H374" s="18"/>
      <c r="I374" s="13"/>
      <c r="J374" s="18"/>
      <c r="K374" s="18"/>
    </row>
    <row r="375" spans="1:11" ht="25.85" x14ac:dyDescent="0.2">
      <c r="A375" s="12" t="s">
        <v>2001</v>
      </c>
      <c r="B375" s="4" t="s">
        <v>2002</v>
      </c>
      <c r="C375" s="7" t="s">
        <v>2003</v>
      </c>
      <c r="D375" s="4" t="s">
        <v>2004</v>
      </c>
      <c r="E375" s="8" t="s">
        <v>1950</v>
      </c>
      <c r="F375" s="8" t="s">
        <v>90</v>
      </c>
      <c r="G375" s="18" t="s">
        <v>2005</v>
      </c>
      <c r="H375" s="18"/>
      <c r="I375" s="13"/>
      <c r="J375" s="18"/>
      <c r="K375" s="18"/>
    </row>
    <row r="376" spans="1:11" ht="64.55" x14ac:dyDescent="0.2">
      <c r="A376" s="12" t="s">
        <v>2006</v>
      </c>
      <c r="B376" s="4" t="s">
        <v>2007</v>
      </c>
      <c r="C376" s="7" t="s">
        <v>2008</v>
      </c>
      <c r="D376" s="4" t="s">
        <v>2009</v>
      </c>
      <c r="E376" s="8" t="s">
        <v>1950</v>
      </c>
      <c r="F376" s="8" t="s">
        <v>103</v>
      </c>
      <c r="G376" s="18" t="s">
        <v>2010</v>
      </c>
      <c r="H376" s="18"/>
      <c r="I376" s="13"/>
      <c r="J376" s="18"/>
      <c r="K376" s="18"/>
    </row>
    <row r="377" spans="1:11" ht="38.75" x14ac:dyDescent="0.2">
      <c r="A377" s="12" t="s">
        <v>2011</v>
      </c>
      <c r="B377" s="4" t="s">
        <v>2012</v>
      </c>
      <c r="C377" s="7" t="s">
        <v>2013</v>
      </c>
      <c r="D377" s="4" t="s">
        <v>2014</v>
      </c>
      <c r="E377" s="8" t="s">
        <v>1950</v>
      </c>
      <c r="F377" s="8" t="s">
        <v>2015</v>
      </c>
      <c r="G377" s="18" t="s">
        <v>2016</v>
      </c>
      <c r="H377" s="18"/>
      <c r="I377" s="13"/>
      <c r="J377" s="18"/>
      <c r="K377" s="18"/>
    </row>
    <row r="378" spans="1:11" ht="38.75" x14ac:dyDescent="0.2">
      <c r="A378" s="12" t="s">
        <v>2017</v>
      </c>
      <c r="B378" s="4" t="s">
        <v>2018</v>
      </c>
      <c r="C378" s="7" t="s">
        <v>2019</v>
      </c>
      <c r="D378" s="4" t="s">
        <v>2020</v>
      </c>
      <c r="E378" s="8" t="s">
        <v>1950</v>
      </c>
      <c r="F378" s="8" t="s">
        <v>59</v>
      </c>
      <c r="G378" s="29" t="s">
        <v>2021</v>
      </c>
      <c r="H378" s="18"/>
      <c r="I378" s="13"/>
      <c r="J378" s="18"/>
      <c r="K378" s="18"/>
    </row>
    <row r="379" spans="1:11" ht="38.75" x14ac:dyDescent="0.2">
      <c r="A379" s="12" t="s">
        <v>2022</v>
      </c>
      <c r="B379" s="4" t="s">
        <v>2023</v>
      </c>
      <c r="C379" s="7" t="s">
        <v>2024</v>
      </c>
      <c r="D379" s="4" t="s">
        <v>2025</v>
      </c>
      <c r="E379" s="8" t="s">
        <v>1950</v>
      </c>
      <c r="F379" s="8" t="s">
        <v>2026</v>
      </c>
      <c r="G379" s="29" t="s">
        <v>2027</v>
      </c>
      <c r="H379" s="18"/>
      <c r="I379" s="13"/>
      <c r="J379" s="18"/>
      <c r="K379" s="18"/>
    </row>
    <row r="380" spans="1:11" ht="38.75" x14ac:dyDescent="0.2">
      <c r="A380" s="12" t="s">
        <v>2028</v>
      </c>
      <c r="B380" s="4" t="s">
        <v>2029</v>
      </c>
      <c r="C380" s="7" t="s">
        <v>2030</v>
      </c>
      <c r="D380" s="4" t="s">
        <v>2031</v>
      </c>
      <c r="E380" s="8" t="s">
        <v>1950</v>
      </c>
      <c r="F380" s="8" t="s">
        <v>2032</v>
      </c>
      <c r="G380" s="29" t="s">
        <v>2033</v>
      </c>
      <c r="H380" s="18"/>
      <c r="I380" s="13"/>
      <c r="J380" s="18"/>
      <c r="K380" s="18"/>
    </row>
    <row r="381" spans="1:11" ht="103.25" x14ac:dyDescent="0.2">
      <c r="A381" s="12" t="s">
        <v>2034</v>
      </c>
      <c r="B381" s="4" t="s">
        <v>2035</v>
      </c>
      <c r="C381" s="7" t="s">
        <v>2036</v>
      </c>
      <c r="D381" s="4" t="s">
        <v>2037</v>
      </c>
      <c r="E381" s="8" t="s">
        <v>1950</v>
      </c>
      <c r="F381" s="8" t="s">
        <v>2038</v>
      </c>
      <c r="G381" s="18" t="s">
        <v>2039</v>
      </c>
      <c r="H381" s="18"/>
      <c r="I381" s="13"/>
      <c r="J381" s="18"/>
      <c r="K381" s="18"/>
    </row>
    <row r="382" spans="1:11" ht="51.65" x14ac:dyDescent="0.2">
      <c r="A382" s="12" t="s">
        <v>2040</v>
      </c>
      <c r="B382" s="4" t="s">
        <v>2041</v>
      </c>
      <c r="C382" s="7" t="s">
        <v>2042</v>
      </c>
      <c r="D382" s="4" t="s">
        <v>2043</v>
      </c>
      <c r="E382" s="8" t="s">
        <v>1950</v>
      </c>
      <c r="F382" s="8" t="s">
        <v>2044</v>
      </c>
      <c r="G382" s="18" t="s">
        <v>2045</v>
      </c>
      <c r="H382" s="18"/>
      <c r="I382" s="13"/>
      <c r="J382" s="18"/>
      <c r="K382" s="18"/>
    </row>
    <row r="383" spans="1:11" ht="25.85" x14ac:dyDescent="0.2">
      <c r="A383" s="12" t="s">
        <v>2040</v>
      </c>
      <c r="B383" s="4" t="s">
        <v>2046</v>
      </c>
      <c r="C383" s="7" t="s">
        <v>2047</v>
      </c>
      <c r="D383" s="4" t="s">
        <v>2048</v>
      </c>
      <c r="E383" s="8" t="s">
        <v>1950</v>
      </c>
      <c r="F383" s="8" t="s">
        <v>2044</v>
      </c>
      <c r="G383" s="18" t="s">
        <v>2049</v>
      </c>
      <c r="H383" s="18"/>
      <c r="I383" s="13"/>
      <c r="J383" s="18"/>
      <c r="K383" s="18"/>
    </row>
    <row r="384" spans="1:11" ht="90.35" x14ac:dyDescent="0.2">
      <c r="A384" s="12" t="s">
        <v>2050</v>
      </c>
      <c r="B384" s="4" t="s">
        <v>2051</v>
      </c>
      <c r="C384" s="7" t="s">
        <v>2052</v>
      </c>
      <c r="D384" s="4" t="s">
        <v>2053</v>
      </c>
      <c r="E384" s="8" t="s">
        <v>1950</v>
      </c>
      <c r="F384" s="8" t="s">
        <v>2054</v>
      </c>
      <c r="G384" s="18" t="s">
        <v>2055</v>
      </c>
      <c r="H384" s="18"/>
      <c r="I384" s="13"/>
      <c r="J384" s="18"/>
      <c r="K384" s="18"/>
    </row>
    <row r="385" spans="1:11" ht="38.75" x14ac:dyDescent="0.2">
      <c r="A385" s="12" t="s">
        <v>2050</v>
      </c>
      <c r="B385" s="4" t="s">
        <v>2056</v>
      </c>
      <c r="C385" s="7" t="s">
        <v>2057</v>
      </c>
      <c r="D385" s="4" t="s">
        <v>2058</v>
      </c>
      <c r="E385" s="8" t="s">
        <v>1950</v>
      </c>
      <c r="F385" s="8" t="s">
        <v>2054</v>
      </c>
      <c r="G385" s="18" t="s">
        <v>661</v>
      </c>
      <c r="H385" s="18"/>
      <c r="I385" s="13"/>
      <c r="J385" s="18"/>
      <c r="K385" s="18"/>
    </row>
    <row r="386" spans="1:11" ht="38.75" x14ac:dyDescent="0.2">
      <c r="A386" s="12" t="s">
        <v>2059</v>
      </c>
      <c r="B386" s="4" t="s">
        <v>2060</v>
      </c>
      <c r="C386" s="7" t="s">
        <v>2061</v>
      </c>
      <c r="D386" s="4" t="s">
        <v>2062</v>
      </c>
      <c r="E386" s="8" t="s">
        <v>1950</v>
      </c>
      <c r="F386" s="8" t="s">
        <v>2063</v>
      </c>
      <c r="G386" s="18" t="s">
        <v>2064</v>
      </c>
      <c r="H386" s="18"/>
      <c r="I386" s="13"/>
      <c r="J386" s="18"/>
      <c r="K386" s="18"/>
    </row>
    <row r="387" spans="1:11" ht="38.75" x14ac:dyDescent="0.2">
      <c r="A387" s="12" t="s">
        <v>2065</v>
      </c>
      <c r="B387" s="4" t="s">
        <v>2066</v>
      </c>
      <c r="C387" s="7" t="s">
        <v>2067</v>
      </c>
      <c r="D387" s="4" t="s">
        <v>2068</v>
      </c>
      <c r="E387" s="8" t="s">
        <v>1950</v>
      </c>
      <c r="F387" s="8" t="s">
        <v>2069</v>
      </c>
      <c r="G387" s="18" t="s">
        <v>2070</v>
      </c>
      <c r="H387" s="18"/>
      <c r="I387" s="13"/>
      <c r="J387" s="18"/>
      <c r="K387" s="18"/>
    </row>
    <row r="388" spans="1:11" ht="25.85" x14ac:dyDescent="0.2">
      <c r="A388" s="12" t="s">
        <v>2071</v>
      </c>
      <c r="B388" s="4" t="s">
        <v>2072</v>
      </c>
      <c r="C388" s="7" t="s">
        <v>2073</v>
      </c>
      <c r="D388" s="4" t="s">
        <v>2074</v>
      </c>
      <c r="E388" s="8" t="s">
        <v>1950</v>
      </c>
      <c r="F388" s="8" t="s">
        <v>2075</v>
      </c>
      <c r="G388" s="18" t="s">
        <v>2076</v>
      </c>
      <c r="H388" s="18"/>
      <c r="I388" s="13"/>
      <c r="J388" s="18"/>
      <c r="K388" s="18"/>
    </row>
    <row r="389" spans="1:11" ht="38.75" x14ac:dyDescent="0.2">
      <c r="A389" s="12" t="s">
        <v>2071</v>
      </c>
      <c r="B389" s="4" t="s">
        <v>2077</v>
      </c>
      <c r="C389" s="7" t="s">
        <v>2078</v>
      </c>
      <c r="D389" s="4" t="s">
        <v>2079</v>
      </c>
      <c r="E389" s="8" t="s">
        <v>1950</v>
      </c>
      <c r="F389" s="8" t="s">
        <v>2075</v>
      </c>
      <c r="G389" s="18" t="s">
        <v>2080</v>
      </c>
      <c r="H389" s="18"/>
      <c r="I389" s="13"/>
      <c r="J389" s="18"/>
      <c r="K389" s="18"/>
    </row>
    <row r="390" spans="1:11" ht="38.75" x14ac:dyDescent="0.2">
      <c r="A390" s="12" t="s">
        <v>2071</v>
      </c>
      <c r="B390" s="4" t="s">
        <v>2081</v>
      </c>
      <c r="C390" s="7" t="s">
        <v>2082</v>
      </c>
      <c r="D390" s="4" t="s">
        <v>2083</v>
      </c>
      <c r="E390" s="8" t="s">
        <v>1950</v>
      </c>
      <c r="F390" s="8" t="s">
        <v>2075</v>
      </c>
      <c r="G390" s="18" t="s">
        <v>2084</v>
      </c>
      <c r="H390" s="18"/>
      <c r="I390" s="13"/>
      <c r="J390" s="18"/>
      <c r="K390" s="18"/>
    </row>
    <row r="391" spans="1:11" ht="25.85" x14ac:dyDescent="0.2">
      <c r="A391" s="12" t="s">
        <v>2085</v>
      </c>
      <c r="B391" s="4" t="s">
        <v>2086</v>
      </c>
      <c r="C391" s="7" t="s">
        <v>680</v>
      </c>
      <c r="D391" s="4" t="s">
        <v>681</v>
      </c>
      <c r="E391" s="8" t="s">
        <v>1950</v>
      </c>
      <c r="F391" s="8" t="s">
        <v>2087</v>
      </c>
      <c r="G391" s="18" t="s">
        <v>2088</v>
      </c>
      <c r="H391" s="18"/>
      <c r="I391" s="13"/>
      <c r="J391" s="18"/>
      <c r="K391" s="18"/>
    </row>
    <row r="392" spans="1:11" ht="38.75" x14ac:dyDescent="0.2">
      <c r="A392" s="12" t="s">
        <v>2089</v>
      </c>
      <c r="B392" s="4" t="s">
        <v>2090</v>
      </c>
      <c r="C392" s="7" t="s">
        <v>2091</v>
      </c>
      <c r="D392" s="4" t="s">
        <v>2092</v>
      </c>
      <c r="E392" s="8" t="s">
        <v>1950</v>
      </c>
      <c r="F392" s="8" t="s">
        <v>2093</v>
      </c>
      <c r="G392" s="18" t="s">
        <v>2094</v>
      </c>
      <c r="H392" s="18"/>
      <c r="I392" s="13"/>
      <c r="J392" s="18"/>
      <c r="K392" s="18"/>
    </row>
    <row r="393" spans="1:11" ht="51.65" x14ac:dyDescent="0.2">
      <c r="A393" s="12" t="s">
        <v>2089</v>
      </c>
      <c r="B393" s="4" t="s">
        <v>2095</v>
      </c>
      <c r="C393" s="7" t="s">
        <v>2096</v>
      </c>
      <c r="D393" s="4" t="s">
        <v>2097</v>
      </c>
      <c r="E393" s="8" t="s">
        <v>1950</v>
      </c>
      <c r="F393" s="8" t="s">
        <v>2093</v>
      </c>
      <c r="G393" s="18" t="s">
        <v>2098</v>
      </c>
      <c r="H393" s="18"/>
      <c r="I393" s="13"/>
      <c r="J393" s="18"/>
      <c r="K393" s="18"/>
    </row>
    <row r="394" spans="1:11" ht="51.65" x14ac:dyDescent="0.2">
      <c r="A394" s="12" t="s">
        <v>2089</v>
      </c>
      <c r="B394" s="4" t="s">
        <v>2099</v>
      </c>
      <c r="C394" s="7" t="s">
        <v>2100</v>
      </c>
      <c r="D394" s="4" t="s">
        <v>2101</v>
      </c>
      <c r="E394" s="8" t="s">
        <v>1950</v>
      </c>
      <c r="F394" s="8" t="s">
        <v>2093</v>
      </c>
      <c r="G394" s="18" t="s">
        <v>2102</v>
      </c>
      <c r="H394" s="18"/>
      <c r="I394" s="13"/>
      <c r="J394" s="18"/>
      <c r="K394" s="18"/>
    </row>
    <row r="395" spans="1:11" ht="51.65" x14ac:dyDescent="0.2">
      <c r="A395" s="12" t="s">
        <v>2103</v>
      </c>
      <c r="B395" s="4" t="s">
        <v>2104</v>
      </c>
      <c r="C395" s="7" t="s">
        <v>2105</v>
      </c>
      <c r="D395" s="4" t="s">
        <v>2106</v>
      </c>
      <c r="E395" s="8" t="s">
        <v>1950</v>
      </c>
      <c r="F395" s="8" t="s">
        <v>2107</v>
      </c>
      <c r="G395" s="18" t="s">
        <v>2108</v>
      </c>
      <c r="H395" s="18"/>
      <c r="I395" s="13"/>
      <c r="J395" s="18"/>
      <c r="K395" s="18"/>
    </row>
    <row r="396" spans="1:11" ht="64.55" x14ac:dyDescent="0.2">
      <c r="A396" s="12" t="s">
        <v>2109</v>
      </c>
      <c r="B396" s="4" t="s">
        <v>2110</v>
      </c>
      <c r="C396" s="7" t="s">
        <v>2111</v>
      </c>
      <c r="D396" s="4" t="s">
        <v>2112</v>
      </c>
      <c r="E396" s="8" t="s">
        <v>1950</v>
      </c>
      <c r="F396" s="8" t="s">
        <v>2113</v>
      </c>
      <c r="G396" s="18" t="s">
        <v>2114</v>
      </c>
      <c r="H396" s="18"/>
      <c r="I396" s="13"/>
      <c r="J396" s="18"/>
      <c r="K396" s="18"/>
    </row>
    <row r="397" spans="1:11" ht="51.65" x14ac:dyDescent="0.2">
      <c r="A397" s="12" t="s">
        <v>2109</v>
      </c>
      <c r="B397" s="4" t="s">
        <v>2115</v>
      </c>
      <c r="C397" s="7" t="s">
        <v>2116</v>
      </c>
      <c r="D397" s="4" t="s">
        <v>2117</v>
      </c>
      <c r="E397" s="8" t="s">
        <v>1950</v>
      </c>
      <c r="F397" s="8" t="s">
        <v>2113</v>
      </c>
      <c r="G397" s="18" t="s">
        <v>2118</v>
      </c>
      <c r="H397" s="18"/>
      <c r="I397" s="13"/>
      <c r="J397" s="18"/>
      <c r="K397" s="18"/>
    </row>
    <row r="398" spans="1:11" ht="51.65" x14ac:dyDescent="0.2">
      <c r="A398" s="12" t="s">
        <v>2119</v>
      </c>
      <c r="B398" s="4" t="s">
        <v>2120</v>
      </c>
      <c r="C398" s="7" t="s">
        <v>2121</v>
      </c>
      <c r="D398" s="4" t="s">
        <v>2122</v>
      </c>
      <c r="E398" s="8" t="s">
        <v>1950</v>
      </c>
      <c r="F398" s="8" t="s">
        <v>2123</v>
      </c>
      <c r="G398" s="29" t="s">
        <v>2124</v>
      </c>
      <c r="H398" s="18"/>
      <c r="I398" s="13"/>
      <c r="J398" s="18"/>
      <c r="K398" s="18"/>
    </row>
    <row r="399" spans="1:11" ht="51.65" x14ac:dyDescent="0.2">
      <c r="A399" s="12" t="s">
        <v>2125</v>
      </c>
      <c r="B399" s="4" t="s">
        <v>2126</v>
      </c>
      <c r="C399" s="7" t="s">
        <v>2127</v>
      </c>
      <c r="D399" s="4" t="s">
        <v>2128</v>
      </c>
      <c r="E399" s="8" t="s">
        <v>1950</v>
      </c>
      <c r="F399" s="8" t="s">
        <v>2129</v>
      </c>
      <c r="G399" s="29" t="s">
        <v>2124</v>
      </c>
      <c r="H399" s="18"/>
      <c r="I399" s="13"/>
      <c r="J399" s="18"/>
      <c r="K399" s="18"/>
    </row>
    <row r="400" spans="1:11" ht="129.1" x14ac:dyDescent="0.2">
      <c r="A400" s="12" t="s">
        <v>2130</v>
      </c>
      <c r="B400" s="4" t="s">
        <v>2131</v>
      </c>
      <c r="C400" s="7" t="s">
        <v>2132</v>
      </c>
      <c r="D400" s="4" t="s">
        <v>2133</v>
      </c>
      <c r="E400" s="8" t="s">
        <v>2134</v>
      </c>
      <c r="F400" s="8" t="s">
        <v>153</v>
      </c>
      <c r="G400" s="18" t="s">
        <v>2135</v>
      </c>
      <c r="H400" s="18"/>
      <c r="I400" s="13"/>
      <c r="J400" s="18"/>
      <c r="K400" s="18"/>
    </row>
    <row r="401" spans="1:11" ht="38.75" x14ac:dyDescent="0.2">
      <c r="A401" s="12" t="s">
        <v>2130</v>
      </c>
      <c r="B401" s="4" t="s">
        <v>2136</v>
      </c>
      <c r="C401" s="7" t="s">
        <v>2137</v>
      </c>
      <c r="D401" s="4" t="s">
        <v>2138</v>
      </c>
      <c r="E401" s="8" t="s">
        <v>2134</v>
      </c>
      <c r="F401" s="8" t="s">
        <v>153</v>
      </c>
      <c r="G401" s="18" t="s">
        <v>2139</v>
      </c>
      <c r="H401" s="18"/>
      <c r="I401" s="13"/>
      <c r="J401" s="18"/>
      <c r="K401" s="18"/>
    </row>
    <row r="402" spans="1:11" ht="77.45" x14ac:dyDescent="0.2">
      <c r="A402" s="12" t="s">
        <v>2140</v>
      </c>
      <c r="B402" s="4" t="s">
        <v>2141</v>
      </c>
      <c r="C402" s="7" t="s">
        <v>2142</v>
      </c>
      <c r="D402" s="4" t="s">
        <v>2143</v>
      </c>
      <c r="E402" s="8" t="s">
        <v>2134</v>
      </c>
      <c r="F402" s="8" t="s">
        <v>246</v>
      </c>
      <c r="G402" s="18" t="s">
        <v>2144</v>
      </c>
      <c r="H402" s="18"/>
      <c r="I402" s="13"/>
      <c r="J402" s="18"/>
      <c r="K402" s="18"/>
    </row>
    <row r="403" spans="1:11" ht="25.85" x14ac:dyDescent="0.2">
      <c r="A403" s="12" t="s">
        <v>2140</v>
      </c>
      <c r="B403" s="4" t="s">
        <v>2145</v>
      </c>
      <c r="C403" s="7" t="s">
        <v>2146</v>
      </c>
      <c r="D403" s="4" t="s">
        <v>2147</v>
      </c>
      <c r="E403" s="8" t="s">
        <v>2134</v>
      </c>
      <c r="F403" s="8" t="s">
        <v>246</v>
      </c>
      <c r="G403" s="18" t="s">
        <v>2148</v>
      </c>
      <c r="H403" s="18"/>
      <c r="I403" s="13"/>
      <c r="J403" s="18"/>
      <c r="K403" s="18"/>
    </row>
    <row r="404" spans="1:11" ht="77.45" x14ac:dyDescent="0.2">
      <c r="A404" s="12" t="s">
        <v>2149</v>
      </c>
      <c r="B404" s="4" t="s">
        <v>2150</v>
      </c>
      <c r="C404" s="7" t="s">
        <v>2151</v>
      </c>
      <c r="D404" s="4" t="s">
        <v>2152</v>
      </c>
      <c r="E404" s="8" t="s">
        <v>2134</v>
      </c>
      <c r="F404" s="8" t="s">
        <v>90</v>
      </c>
      <c r="G404" s="18" t="s">
        <v>2153</v>
      </c>
      <c r="H404" s="18"/>
      <c r="I404" s="13"/>
      <c r="J404" s="18"/>
      <c r="K404" s="18"/>
    </row>
    <row r="405" spans="1:11" ht="77.45" x14ac:dyDescent="0.2">
      <c r="A405" s="12" t="s">
        <v>2154</v>
      </c>
      <c r="B405" s="4" t="s">
        <v>2155</v>
      </c>
      <c r="C405" s="7" t="s">
        <v>2156</v>
      </c>
      <c r="D405" s="4" t="s">
        <v>2157</v>
      </c>
      <c r="E405" s="8" t="s">
        <v>2134</v>
      </c>
      <c r="F405" s="8" t="s">
        <v>103</v>
      </c>
      <c r="G405" s="18" t="s">
        <v>2158</v>
      </c>
      <c r="H405" s="18"/>
      <c r="I405" s="13"/>
      <c r="J405" s="18"/>
      <c r="K405" s="18"/>
    </row>
    <row r="406" spans="1:11" ht="77.45" x14ac:dyDescent="0.2">
      <c r="A406" s="12" t="s">
        <v>2159</v>
      </c>
      <c r="B406" s="4" t="s">
        <v>2160</v>
      </c>
      <c r="C406" s="7" t="s">
        <v>2161</v>
      </c>
      <c r="D406" s="4" t="s">
        <v>2162</v>
      </c>
      <c r="E406" s="8" t="s">
        <v>2134</v>
      </c>
      <c r="F406" s="8" t="s">
        <v>414</v>
      </c>
      <c r="G406" s="18" t="s">
        <v>2163</v>
      </c>
      <c r="H406" s="18"/>
      <c r="I406" s="13"/>
      <c r="J406" s="18"/>
      <c r="K406" s="18"/>
    </row>
    <row r="407" spans="1:11" ht="38.75" x14ac:dyDescent="0.2">
      <c r="A407" s="12" t="s">
        <v>2164</v>
      </c>
      <c r="B407" s="4" t="s">
        <v>2165</v>
      </c>
      <c r="C407" s="7" t="s">
        <v>2166</v>
      </c>
      <c r="D407" s="4" t="s">
        <v>2167</v>
      </c>
      <c r="E407" s="8" t="s">
        <v>2168</v>
      </c>
      <c r="F407" s="8" t="s">
        <v>421</v>
      </c>
      <c r="G407" s="18" t="s">
        <v>2169</v>
      </c>
      <c r="H407" s="18"/>
      <c r="I407" s="13"/>
      <c r="J407" s="18"/>
      <c r="K407" s="18"/>
    </row>
    <row r="408" spans="1:11" ht="64.55" x14ac:dyDescent="0.2">
      <c r="A408" s="12" t="s">
        <v>2164</v>
      </c>
      <c r="B408" s="4" t="s">
        <v>2170</v>
      </c>
      <c r="C408" s="7" t="s">
        <v>2171</v>
      </c>
      <c r="D408" s="4" t="s">
        <v>2172</v>
      </c>
      <c r="E408" s="8" t="s">
        <v>2168</v>
      </c>
      <c r="F408" s="8" t="s">
        <v>421</v>
      </c>
      <c r="G408" s="18" t="s">
        <v>2173</v>
      </c>
      <c r="H408" s="18"/>
      <c r="I408" s="13"/>
      <c r="J408" s="18"/>
      <c r="K408" s="18"/>
    </row>
    <row r="409" spans="1:11" ht="38.75" x14ac:dyDescent="0.2">
      <c r="A409" s="12" t="s">
        <v>2174</v>
      </c>
      <c r="B409" s="4" t="s">
        <v>2175</v>
      </c>
      <c r="C409" s="7" t="s">
        <v>2176</v>
      </c>
      <c r="D409" s="4" t="s">
        <v>2177</v>
      </c>
      <c r="E409" s="8" t="s">
        <v>2168</v>
      </c>
      <c r="F409" s="8" t="s">
        <v>31</v>
      </c>
      <c r="G409" s="18" t="s">
        <v>2178</v>
      </c>
      <c r="H409" s="18"/>
      <c r="I409" s="13"/>
      <c r="J409" s="18"/>
      <c r="K409" s="18"/>
    </row>
    <row r="410" spans="1:11" ht="64.55" x14ac:dyDescent="0.2">
      <c r="A410" s="12" t="s">
        <v>2179</v>
      </c>
      <c r="B410" s="4" t="s">
        <v>2180</v>
      </c>
      <c r="C410" s="7" t="s">
        <v>2181</v>
      </c>
      <c r="D410" s="4" t="s">
        <v>2182</v>
      </c>
      <c r="E410" s="8" t="s">
        <v>2168</v>
      </c>
      <c r="F410" s="8" t="s">
        <v>2183</v>
      </c>
      <c r="G410" s="18" t="s">
        <v>2184</v>
      </c>
      <c r="H410" s="18"/>
      <c r="I410" s="13"/>
      <c r="J410" s="18"/>
      <c r="K410" s="18"/>
    </row>
    <row r="411" spans="1:11" ht="38.75" x14ac:dyDescent="0.2">
      <c r="A411" s="12" t="s">
        <v>2185</v>
      </c>
      <c r="B411" s="4" t="s">
        <v>2186</v>
      </c>
      <c r="C411" s="7" t="s">
        <v>2187</v>
      </c>
      <c r="D411" s="4" t="s">
        <v>2188</v>
      </c>
      <c r="E411" s="8" t="s">
        <v>2189</v>
      </c>
      <c r="F411" s="8" t="s">
        <v>66</v>
      </c>
      <c r="G411" s="18" t="s">
        <v>2190</v>
      </c>
      <c r="H411" s="18"/>
      <c r="I411" s="13"/>
      <c r="J411" s="18"/>
      <c r="K411" s="18"/>
    </row>
    <row r="412" spans="1:11" ht="25.85" x14ac:dyDescent="0.2">
      <c r="A412" s="12" t="s">
        <v>2191</v>
      </c>
      <c r="B412" s="4" t="s">
        <v>2192</v>
      </c>
      <c r="C412" s="7" t="s">
        <v>2193</v>
      </c>
      <c r="D412" s="4" t="s">
        <v>2194</v>
      </c>
      <c r="E412" s="8" t="s">
        <v>2195</v>
      </c>
      <c r="F412" s="8" t="s">
        <v>1901</v>
      </c>
      <c r="G412" s="18" t="s">
        <v>2190</v>
      </c>
      <c r="H412" s="18"/>
      <c r="I412" s="13"/>
      <c r="J412" s="18"/>
      <c r="K412" s="18"/>
    </row>
    <row r="413" spans="1:11" ht="38.75" x14ac:dyDescent="0.2">
      <c r="A413" s="12" t="s">
        <v>2196</v>
      </c>
      <c r="B413" s="4" t="s">
        <v>2197</v>
      </c>
      <c r="C413" s="7" t="s">
        <v>2198</v>
      </c>
      <c r="D413" s="4" t="s">
        <v>2199</v>
      </c>
      <c r="E413" s="8" t="s">
        <v>2195</v>
      </c>
      <c r="F413" s="8" t="s">
        <v>2200</v>
      </c>
      <c r="G413" s="18" t="s">
        <v>2201</v>
      </c>
      <c r="H413" s="18"/>
      <c r="I413" s="13"/>
      <c r="J413" s="18" t="s">
        <v>18</v>
      </c>
      <c r="K413" s="18"/>
    </row>
    <row r="414" spans="1:11" ht="38.75" x14ac:dyDescent="0.2">
      <c r="A414" s="12" t="s">
        <v>2202</v>
      </c>
      <c r="B414" s="4" t="s">
        <v>2203</v>
      </c>
      <c r="C414" s="7" t="s">
        <v>2204</v>
      </c>
      <c r="D414" s="4" t="s">
        <v>2205</v>
      </c>
      <c r="E414" s="8" t="s">
        <v>2195</v>
      </c>
      <c r="F414" s="8" t="s">
        <v>1650</v>
      </c>
      <c r="G414" s="18" t="s">
        <v>2190</v>
      </c>
      <c r="H414" s="18"/>
      <c r="I414" s="13"/>
      <c r="J414" s="18"/>
      <c r="K414" s="18"/>
    </row>
    <row r="415" spans="1:11" ht="38.75" x14ac:dyDescent="0.2">
      <c r="A415" s="12" t="s">
        <v>2206</v>
      </c>
      <c r="B415" s="4" t="s">
        <v>2207</v>
      </c>
      <c r="C415" s="7" t="s">
        <v>2208</v>
      </c>
      <c r="D415" s="4" t="s">
        <v>2209</v>
      </c>
      <c r="E415" s="8" t="s">
        <v>2210</v>
      </c>
      <c r="F415" s="8" t="s">
        <v>2211</v>
      </c>
      <c r="G415" s="18" t="s">
        <v>2212</v>
      </c>
      <c r="H415" s="18"/>
      <c r="I415" s="13"/>
      <c r="J415" s="18"/>
      <c r="K415" s="18"/>
    </row>
    <row r="416" spans="1:11" ht="51.65" x14ac:dyDescent="0.2">
      <c r="A416" s="12" t="s">
        <v>2213</v>
      </c>
      <c r="B416" s="4" t="s">
        <v>2214</v>
      </c>
      <c r="C416" s="7" t="s">
        <v>2215</v>
      </c>
      <c r="D416" s="4" t="s">
        <v>2216</v>
      </c>
      <c r="E416" s="8" t="s">
        <v>2210</v>
      </c>
      <c r="F416" s="8" t="s">
        <v>883</v>
      </c>
      <c r="G416" s="18" t="s">
        <v>2190</v>
      </c>
      <c r="H416" s="18"/>
      <c r="I416" s="13"/>
      <c r="J416" s="18"/>
      <c r="K416" s="18"/>
    </row>
    <row r="417" spans="1:11" ht="38.75" x14ac:dyDescent="0.2">
      <c r="A417" s="12" t="s">
        <v>2217</v>
      </c>
      <c r="B417" s="4" t="s">
        <v>2218</v>
      </c>
      <c r="C417" s="7" t="s">
        <v>2219</v>
      </c>
      <c r="D417" s="4" t="s">
        <v>2220</v>
      </c>
      <c r="E417" s="8" t="s">
        <v>2210</v>
      </c>
      <c r="F417" s="8" t="s">
        <v>2221</v>
      </c>
      <c r="G417" s="18" t="s">
        <v>2190</v>
      </c>
      <c r="H417" s="18"/>
      <c r="I417" s="13"/>
      <c r="J417" s="18"/>
      <c r="K417" s="18"/>
    </row>
    <row r="418" spans="1:11" ht="38.75" x14ac:dyDescent="0.2">
      <c r="A418" s="12" t="s">
        <v>2222</v>
      </c>
      <c r="B418" s="4" t="s">
        <v>2223</v>
      </c>
      <c r="C418" s="7" t="s">
        <v>2224</v>
      </c>
      <c r="D418" s="4" t="s">
        <v>2225</v>
      </c>
      <c r="E418" s="8" t="s">
        <v>2226</v>
      </c>
      <c r="F418" s="8" t="s">
        <v>116</v>
      </c>
      <c r="G418" s="18" t="s">
        <v>2227</v>
      </c>
      <c r="H418" s="18"/>
      <c r="I418" s="13"/>
      <c r="J418" s="18"/>
      <c r="K418" s="18"/>
    </row>
    <row r="419" spans="1:11" ht="38.75" x14ac:dyDescent="0.2">
      <c r="A419" s="12" t="s">
        <v>2222</v>
      </c>
      <c r="B419" s="4" t="s">
        <v>2228</v>
      </c>
      <c r="C419" s="7" t="s">
        <v>2229</v>
      </c>
      <c r="D419" s="4" t="s">
        <v>2230</v>
      </c>
      <c r="E419" s="8" t="s">
        <v>2226</v>
      </c>
      <c r="F419" s="8" t="s">
        <v>116</v>
      </c>
      <c r="G419" s="18" t="s">
        <v>2231</v>
      </c>
      <c r="H419" s="18"/>
      <c r="I419" s="13"/>
      <c r="J419" s="18"/>
      <c r="K419" s="18"/>
    </row>
    <row r="420" spans="1:11" ht="77.45" x14ac:dyDescent="0.2">
      <c r="A420" s="12" t="s">
        <v>2232</v>
      </c>
      <c r="B420" s="4" t="s">
        <v>2233</v>
      </c>
      <c r="C420" s="7" t="s">
        <v>2234</v>
      </c>
      <c r="D420" s="4" t="s">
        <v>2235</v>
      </c>
      <c r="E420" s="8" t="s">
        <v>2226</v>
      </c>
      <c r="F420" s="8" t="s">
        <v>246</v>
      </c>
      <c r="G420" s="29" t="s">
        <v>2236</v>
      </c>
      <c r="H420" s="18"/>
      <c r="I420" s="13"/>
      <c r="J420" s="18"/>
      <c r="K420" s="18"/>
    </row>
    <row r="421" spans="1:11" ht="38.75" x14ac:dyDescent="0.2">
      <c r="A421" s="12" t="s">
        <v>2232</v>
      </c>
      <c r="B421" s="4" t="s">
        <v>2237</v>
      </c>
      <c r="C421" s="7" t="s">
        <v>2238</v>
      </c>
      <c r="D421" s="4" t="s">
        <v>2239</v>
      </c>
      <c r="E421" s="8" t="s">
        <v>2226</v>
      </c>
      <c r="F421" s="8" t="s">
        <v>246</v>
      </c>
      <c r="G421" s="29" t="s">
        <v>2240</v>
      </c>
      <c r="H421" s="18"/>
      <c r="I421" s="13"/>
      <c r="J421" s="18"/>
      <c r="K421" s="18"/>
    </row>
    <row r="422" spans="1:11" ht="25.85" x14ac:dyDescent="0.2">
      <c r="A422" s="12" t="s">
        <v>2241</v>
      </c>
      <c r="B422" s="4" t="s">
        <v>2242</v>
      </c>
      <c r="C422" s="7" t="s">
        <v>2243</v>
      </c>
      <c r="D422" s="4" t="s">
        <v>2244</v>
      </c>
      <c r="E422" s="8" t="s">
        <v>2245</v>
      </c>
      <c r="F422" s="8" t="s">
        <v>116</v>
      </c>
      <c r="G422" s="18" t="s">
        <v>2246</v>
      </c>
      <c r="H422" s="18"/>
      <c r="I422" s="13"/>
      <c r="J422" s="18"/>
      <c r="K422" s="18"/>
    </row>
    <row r="423" spans="1:11" ht="51.65" x14ac:dyDescent="0.2">
      <c r="A423" s="12" t="s">
        <v>2247</v>
      </c>
      <c r="B423" s="4" t="s">
        <v>2248</v>
      </c>
      <c r="C423" s="7" t="s">
        <v>2249</v>
      </c>
      <c r="D423" s="4" t="s">
        <v>2250</v>
      </c>
      <c r="E423" s="8" t="s">
        <v>2251</v>
      </c>
      <c r="F423" s="8" t="s">
        <v>246</v>
      </c>
      <c r="G423" s="18" t="s">
        <v>2252</v>
      </c>
      <c r="H423" s="18"/>
      <c r="I423" s="13"/>
      <c r="J423" s="18"/>
      <c r="K423" s="18"/>
    </row>
    <row r="424" spans="1:11" ht="38.75" x14ac:dyDescent="0.2">
      <c r="A424" s="12" t="s">
        <v>2253</v>
      </c>
      <c r="B424" s="4" t="s">
        <v>2254</v>
      </c>
      <c r="C424" s="7" t="s">
        <v>2255</v>
      </c>
      <c r="D424" s="4" t="s">
        <v>2256</v>
      </c>
      <c r="E424" s="8" t="s">
        <v>2251</v>
      </c>
      <c r="F424" s="8" t="s">
        <v>1650</v>
      </c>
      <c r="G424" s="18" t="s">
        <v>1183</v>
      </c>
      <c r="H424" s="18"/>
      <c r="I424" s="13"/>
      <c r="J424" s="18"/>
      <c r="K424" s="18"/>
    </row>
    <row r="425" spans="1:11" ht="25.85" x14ac:dyDescent="0.2">
      <c r="A425" s="12" t="s">
        <v>2257</v>
      </c>
      <c r="B425" s="4" t="s">
        <v>2258</v>
      </c>
      <c r="C425" s="7" t="s">
        <v>2259</v>
      </c>
      <c r="D425" s="4" t="s">
        <v>2260</v>
      </c>
      <c r="E425" s="8" t="s">
        <v>2261</v>
      </c>
      <c r="F425" s="8" t="s">
        <v>2262</v>
      </c>
      <c r="G425" s="18" t="s">
        <v>2263</v>
      </c>
      <c r="H425" s="18"/>
      <c r="I425" s="13"/>
      <c r="J425" s="18"/>
      <c r="K425" s="18"/>
    </row>
    <row r="426" spans="1:11" ht="64.55" x14ac:dyDescent="0.2">
      <c r="A426" s="12" t="s">
        <v>2264</v>
      </c>
      <c r="B426" s="4" t="s">
        <v>2265</v>
      </c>
      <c r="C426" s="7" t="s">
        <v>2266</v>
      </c>
      <c r="D426" s="4" t="s">
        <v>2267</v>
      </c>
      <c r="E426" s="8" t="s">
        <v>2268</v>
      </c>
      <c r="F426" s="8" t="s">
        <v>116</v>
      </c>
      <c r="G426" s="18" t="s">
        <v>2269</v>
      </c>
      <c r="H426" s="18"/>
      <c r="I426" s="13"/>
      <c r="J426" s="18"/>
      <c r="K426" s="18"/>
    </row>
    <row r="427" spans="1:11" ht="38.75" x14ac:dyDescent="0.2">
      <c r="A427" s="12" t="s">
        <v>2270</v>
      </c>
      <c r="B427" s="4" t="s">
        <v>2271</v>
      </c>
      <c r="C427" s="7" t="s">
        <v>2272</v>
      </c>
      <c r="D427" s="4" t="s">
        <v>2273</v>
      </c>
      <c r="E427" s="8" t="s">
        <v>2268</v>
      </c>
      <c r="F427" s="8" t="s">
        <v>2262</v>
      </c>
      <c r="G427" s="18" t="s">
        <v>2274</v>
      </c>
      <c r="H427" s="18"/>
      <c r="I427" s="13"/>
      <c r="J427" s="18"/>
      <c r="K427" s="18"/>
    </row>
    <row r="428" spans="1:11" ht="25.85" x14ac:dyDescent="0.2">
      <c r="A428" s="12" t="s">
        <v>2275</v>
      </c>
      <c r="B428" s="4" t="s">
        <v>2276</v>
      </c>
      <c r="C428" s="7" t="s">
        <v>2277</v>
      </c>
      <c r="D428" s="4" t="s">
        <v>2278</v>
      </c>
      <c r="E428" s="8" t="s">
        <v>2279</v>
      </c>
      <c r="F428" s="8" t="s">
        <v>2262</v>
      </c>
      <c r="G428" s="18" t="s">
        <v>970</v>
      </c>
      <c r="H428" s="18"/>
      <c r="I428" s="13"/>
      <c r="J428" s="18"/>
      <c r="K428" s="18"/>
    </row>
    <row r="429" spans="1:11" x14ac:dyDescent="0.2">
      <c r="E429" s="8"/>
      <c r="F429" s="8"/>
    </row>
    <row r="430" spans="1:11" x14ac:dyDescent="0.2">
      <c r="E430" s="8"/>
      <c r="F430" s="8"/>
    </row>
    <row r="431" spans="1:11" x14ac:dyDescent="0.2">
      <c r="E431" s="8"/>
      <c r="F431" s="8"/>
    </row>
    <row r="432" spans="1:11" x14ac:dyDescent="0.2">
      <c r="E432" s="8"/>
      <c r="F432" s="8"/>
    </row>
    <row r="433" spans="5:6" x14ac:dyDescent="0.2">
      <c r="E433" s="8"/>
      <c r="F433" s="8"/>
    </row>
    <row r="434" spans="5:6" x14ac:dyDescent="0.2">
      <c r="E434" s="8"/>
      <c r="F434" s="8"/>
    </row>
    <row r="435" spans="5:6" x14ac:dyDescent="0.2">
      <c r="E435" s="8"/>
      <c r="F435" s="8"/>
    </row>
    <row r="436" spans="5:6" x14ac:dyDescent="0.2">
      <c r="E436" s="8"/>
      <c r="F436" s="8"/>
    </row>
    <row r="437" spans="5:6" x14ac:dyDescent="0.2">
      <c r="E437" s="8"/>
      <c r="F437" s="8"/>
    </row>
    <row r="438" spans="5:6" x14ac:dyDescent="0.2">
      <c r="E438" s="8"/>
      <c r="F438" s="8"/>
    </row>
    <row r="439" spans="5:6" x14ac:dyDescent="0.2">
      <c r="E439" s="8"/>
      <c r="F439" s="8"/>
    </row>
    <row r="440" spans="5:6" x14ac:dyDescent="0.2">
      <c r="E440" s="8"/>
      <c r="F440" s="8"/>
    </row>
    <row r="441" spans="5:6" x14ac:dyDescent="0.2">
      <c r="E441" s="8"/>
      <c r="F441" s="8"/>
    </row>
    <row r="442" spans="5:6" x14ac:dyDescent="0.2">
      <c r="E442" s="8"/>
      <c r="F442" s="8"/>
    </row>
    <row r="443" spans="5:6" x14ac:dyDescent="0.2">
      <c r="E443" s="8"/>
      <c r="F443" s="8"/>
    </row>
    <row r="444" spans="5:6" x14ac:dyDescent="0.2">
      <c r="E444" s="8"/>
      <c r="F444" s="8"/>
    </row>
    <row r="445" spans="5:6" x14ac:dyDescent="0.2">
      <c r="E445" s="8"/>
      <c r="F445" s="8"/>
    </row>
    <row r="446" spans="5:6" x14ac:dyDescent="0.2">
      <c r="E446" s="8"/>
      <c r="F446" s="8"/>
    </row>
    <row r="447" spans="5:6" x14ac:dyDescent="0.2">
      <c r="E447" s="8"/>
      <c r="F447" s="8"/>
    </row>
    <row r="448" spans="5:6" x14ac:dyDescent="0.2">
      <c r="E448" s="8"/>
      <c r="F448" s="8"/>
    </row>
    <row r="449" spans="2:9" x14ac:dyDescent="0.2">
      <c r="E449" s="8"/>
      <c r="F449" s="8"/>
    </row>
    <row r="450" spans="2:9" x14ac:dyDescent="0.2">
      <c r="E450" s="8"/>
      <c r="F450" s="8"/>
    </row>
    <row r="451" spans="2:9" x14ac:dyDescent="0.2">
      <c r="E451" s="8"/>
      <c r="F451" s="8"/>
    </row>
    <row r="452" spans="2:9" x14ac:dyDescent="0.2">
      <c r="E452" s="8"/>
      <c r="F452" s="8"/>
    </row>
    <row r="453" spans="2:9" x14ac:dyDescent="0.2">
      <c r="E453" s="8"/>
      <c r="F453" s="8"/>
    </row>
    <row r="454" spans="2:9" x14ac:dyDescent="0.2">
      <c r="E454" s="8"/>
      <c r="F454" s="8"/>
    </row>
    <row r="455" spans="2:9" x14ac:dyDescent="0.2">
      <c r="E455" s="8"/>
      <c r="F455" s="8"/>
    </row>
    <row r="456" spans="2:9" x14ac:dyDescent="0.2">
      <c r="E456" s="8"/>
      <c r="F456" s="8"/>
    </row>
    <row r="457" spans="2:9" x14ac:dyDescent="0.2">
      <c r="E457" s="8"/>
      <c r="F457" s="8"/>
    </row>
    <row r="458" spans="2:9" x14ac:dyDescent="0.2">
      <c r="E458" s="8"/>
      <c r="F458" s="8"/>
    </row>
    <row r="459" spans="2:9" x14ac:dyDescent="0.2">
      <c r="E459" s="8"/>
      <c r="F459" s="8"/>
    </row>
    <row r="460" spans="2:9" x14ac:dyDescent="0.2">
      <c r="E460" s="8"/>
      <c r="F460" s="8"/>
    </row>
    <row r="461" spans="2:9" x14ac:dyDescent="0.2">
      <c r="E461" s="8"/>
      <c r="F461" s="8"/>
    </row>
    <row r="462" spans="2:9" x14ac:dyDescent="0.2">
      <c r="E462" s="8"/>
      <c r="F462" s="8"/>
    </row>
    <row r="463" spans="2:9" x14ac:dyDescent="0.2">
      <c r="E463" s="8"/>
      <c r="F463" s="8"/>
    </row>
    <row r="464" spans="2:9" x14ac:dyDescent="0.2">
      <c r="B464" s="2"/>
      <c r="C464" s="11"/>
      <c r="D464" s="1"/>
      <c r="E464" s="10"/>
      <c r="F464" s="10"/>
      <c r="G464" s="5"/>
      <c r="H464" s="5"/>
      <c r="I464" s="5"/>
    </row>
    <row r="465" spans="2:9" x14ac:dyDescent="0.2">
      <c r="E465" s="8"/>
      <c r="F465" s="8"/>
    </row>
    <row r="466" spans="2:9" x14ac:dyDescent="0.2">
      <c r="C466" s="11"/>
      <c r="D466" s="1"/>
      <c r="E466" s="10"/>
      <c r="F466" s="10"/>
      <c r="G466" s="5"/>
      <c r="H466" s="5"/>
      <c r="I466" s="5"/>
    </row>
    <row r="467" spans="2:9" x14ac:dyDescent="0.2">
      <c r="E467" s="8"/>
      <c r="F467" s="8"/>
    </row>
    <row r="468" spans="2:9" x14ac:dyDescent="0.2">
      <c r="E468" s="8"/>
      <c r="F468" s="8"/>
    </row>
    <row r="469" spans="2:9" x14ac:dyDescent="0.2">
      <c r="C469" s="11"/>
      <c r="D469" s="1"/>
      <c r="E469" s="10"/>
      <c r="F469" s="10"/>
      <c r="G469" s="5"/>
      <c r="H469" s="5"/>
      <c r="I469" s="5"/>
    </row>
    <row r="470" spans="2:9" x14ac:dyDescent="0.2">
      <c r="E470" s="8"/>
      <c r="F470" s="8"/>
    </row>
    <row r="471" spans="2:9" x14ac:dyDescent="0.2">
      <c r="B471" s="2"/>
      <c r="C471" s="11"/>
      <c r="D471" s="1"/>
      <c r="E471" s="10"/>
      <c r="F471" s="10"/>
      <c r="G471" s="5"/>
      <c r="H471" s="5"/>
      <c r="I471" s="5"/>
    </row>
    <row r="472" spans="2:9" x14ac:dyDescent="0.2">
      <c r="E472" s="8"/>
      <c r="F472" s="8"/>
    </row>
    <row r="473" spans="2:9" x14ac:dyDescent="0.2">
      <c r="E473" s="8"/>
      <c r="F473" s="8"/>
    </row>
    <row r="474" spans="2:9" x14ac:dyDescent="0.2">
      <c r="E474" s="8"/>
      <c r="F474" s="8"/>
    </row>
    <row r="475" spans="2:9" x14ac:dyDescent="0.2">
      <c r="E475" s="8"/>
      <c r="F475" s="8"/>
    </row>
    <row r="476" spans="2:9" x14ac:dyDescent="0.2">
      <c r="E476" s="8"/>
      <c r="F476" s="8"/>
    </row>
    <row r="477" spans="2:9" x14ac:dyDescent="0.2">
      <c r="E477" s="8"/>
      <c r="F477" s="8"/>
    </row>
    <row r="478" spans="2:9" x14ac:dyDescent="0.2">
      <c r="E478" s="8"/>
      <c r="F478" s="8"/>
    </row>
    <row r="479" spans="2:9" x14ac:dyDescent="0.2">
      <c r="E479" s="8"/>
      <c r="F479" s="8"/>
    </row>
    <row r="480" spans="2:9" x14ac:dyDescent="0.2">
      <c r="E480" s="8"/>
      <c r="F480" s="8"/>
    </row>
    <row r="481" spans="5:6" x14ac:dyDescent="0.2">
      <c r="E481" s="8"/>
      <c r="F481" s="8"/>
    </row>
    <row r="482" spans="5:6" x14ac:dyDescent="0.2">
      <c r="E482" s="8"/>
      <c r="F482" s="8"/>
    </row>
    <row r="483" spans="5:6" x14ac:dyDescent="0.2">
      <c r="E483" s="8"/>
      <c r="F483" s="8"/>
    </row>
    <row r="484" spans="5:6" x14ac:dyDescent="0.2">
      <c r="E484" s="8"/>
      <c r="F484" s="8"/>
    </row>
    <row r="485" spans="5:6" x14ac:dyDescent="0.2">
      <c r="E485" s="8"/>
      <c r="F485" s="8"/>
    </row>
    <row r="486" spans="5:6" x14ac:dyDescent="0.2">
      <c r="E486" s="8"/>
      <c r="F486" s="8"/>
    </row>
    <row r="487" spans="5:6" x14ac:dyDescent="0.2">
      <c r="E487" s="8"/>
      <c r="F487" s="8"/>
    </row>
    <row r="488" spans="5:6" x14ac:dyDescent="0.2">
      <c r="E488" s="8"/>
      <c r="F488" s="8"/>
    </row>
    <row r="489" spans="5:6" x14ac:dyDescent="0.2">
      <c r="E489" s="8"/>
      <c r="F489" s="8"/>
    </row>
    <row r="490" spans="5:6" x14ac:dyDescent="0.2">
      <c r="E490" s="8"/>
      <c r="F490" s="8"/>
    </row>
    <row r="491" spans="5:6" x14ac:dyDescent="0.2">
      <c r="E491" s="8"/>
      <c r="F491" s="8"/>
    </row>
    <row r="492" spans="5:6" x14ac:dyDescent="0.2">
      <c r="E492" s="8"/>
      <c r="F492" s="8"/>
    </row>
    <row r="493" spans="5:6" x14ac:dyDescent="0.2">
      <c r="E493" s="8"/>
      <c r="F493" s="8"/>
    </row>
    <row r="494" spans="5:6" x14ac:dyDescent="0.2">
      <c r="E494" s="8"/>
      <c r="F494" s="8"/>
    </row>
    <row r="495" spans="5:6" x14ac:dyDescent="0.2">
      <c r="E495" s="8"/>
      <c r="F495" s="8"/>
    </row>
    <row r="496" spans="5:6" x14ac:dyDescent="0.2">
      <c r="E496" s="8"/>
      <c r="F496" s="8"/>
    </row>
    <row r="497" spans="5:6" x14ac:dyDescent="0.2">
      <c r="E497" s="8"/>
      <c r="F497" s="8"/>
    </row>
    <row r="525" spans="3:9" x14ac:dyDescent="0.2">
      <c r="C525" s="11"/>
      <c r="D525" s="1"/>
      <c r="E525" s="5"/>
      <c r="F525" s="5"/>
      <c r="G525" s="5"/>
      <c r="H525" s="5"/>
      <c r="I525" s="5"/>
    </row>
    <row r="526" spans="3:9" x14ac:dyDescent="0.2">
      <c r="C526" s="11"/>
      <c r="D526" s="1"/>
      <c r="E526" s="5"/>
      <c r="F526" s="5"/>
      <c r="G526" s="5"/>
      <c r="H526" s="5"/>
      <c r="I526" s="5"/>
    </row>
    <row r="530" spans="2:9" x14ac:dyDescent="0.2">
      <c r="B530" s="2"/>
      <c r="C530" s="11"/>
      <c r="D530" s="1"/>
      <c r="E530" s="5"/>
      <c r="F530" s="5"/>
      <c r="G530" s="5"/>
      <c r="H530" s="5"/>
      <c r="I530" s="5"/>
    </row>
    <row r="533" spans="2:9" x14ac:dyDescent="0.2">
      <c r="C533" s="11"/>
      <c r="D533" s="1"/>
      <c r="E533" s="5"/>
      <c r="F533" s="5"/>
      <c r="G533" s="5"/>
      <c r="H533" s="5"/>
      <c r="I533" s="5"/>
    </row>
    <row r="550" spans="2:9" x14ac:dyDescent="0.2">
      <c r="B550" s="2"/>
      <c r="C550" s="11"/>
      <c r="D550" s="1"/>
      <c r="E550" s="5"/>
      <c r="F550" s="5"/>
      <c r="G550" s="5"/>
      <c r="H550" s="5"/>
      <c r="I550" s="5"/>
    </row>
    <row r="551" spans="2:9" x14ac:dyDescent="0.2">
      <c r="C551" s="11"/>
      <c r="D551" s="1"/>
      <c r="E551" s="5"/>
      <c r="F551" s="5"/>
      <c r="G551" s="5"/>
      <c r="H551" s="5"/>
      <c r="I551" s="5"/>
    </row>
    <row r="556" spans="2:9" x14ac:dyDescent="0.2">
      <c r="C556" s="11"/>
      <c r="D556" s="1"/>
      <c r="E556" s="5"/>
      <c r="F556" s="5"/>
      <c r="G556" s="5"/>
      <c r="H556" s="5"/>
      <c r="I556" s="5"/>
    </row>
    <row r="565" spans="2:9" x14ac:dyDescent="0.2">
      <c r="C565" s="11"/>
      <c r="D565" s="1"/>
      <c r="E565" s="5"/>
      <c r="F565" s="5"/>
      <c r="G565" s="5"/>
      <c r="H565" s="5"/>
      <c r="I565" s="5"/>
    </row>
    <row r="574" spans="2:9" x14ac:dyDescent="0.2">
      <c r="B574" s="2"/>
      <c r="C574" s="11"/>
      <c r="D574" s="1"/>
      <c r="E574" s="5"/>
      <c r="F574" s="5"/>
      <c r="G574" s="5"/>
      <c r="H574" s="5"/>
      <c r="I574" s="5"/>
    </row>
    <row r="582" spans="3:9" x14ac:dyDescent="0.2">
      <c r="C582" s="11"/>
      <c r="D582" s="1"/>
      <c r="E582" s="5"/>
      <c r="F582" s="5"/>
      <c r="G582" s="5"/>
      <c r="H582" s="5"/>
      <c r="I582" s="5"/>
    </row>
    <row r="594" spans="3:9" x14ac:dyDescent="0.2">
      <c r="C594" s="11"/>
      <c r="D594" s="1"/>
      <c r="E594" s="5"/>
      <c r="F594" s="5"/>
      <c r="G594" s="5"/>
      <c r="H594" s="5"/>
      <c r="I594" s="5"/>
    </row>
    <row r="886" spans="3:9" x14ac:dyDescent="0.2">
      <c r="C886" s="11"/>
      <c r="D886" s="1"/>
      <c r="E886" s="5"/>
      <c r="F886" s="5"/>
      <c r="G886" s="5"/>
      <c r="H886" s="5"/>
      <c r="I886" s="5"/>
    </row>
    <row r="909" spans="2:9" x14ac:dyDescent="0.2">
      <c r="B909" s="2"/>
      <c r="C909" s="11"/>
      <c r="D909" s="1"/>
      <c r="E909" s="5"/>
      <c r="F909" s="5"/>
      <c r="G909" s="5"/>
      <c r="H909" s="5"/>
      <c r="I909" s="5"/>
    </row>
    <row r="963" spans="2:9" x14ac:dyDescent="0.2">
      <c r="B963" s="2"/>
      <c r="C963" s="11"/>
      <c r="D963" s="1"/>
      <c r="E963" s="5"/>
      <c r="F963" s="5"/>
      <c r="G963" s="5"/>
      <c r="H963" s="5"/>
      <c r="I963" s="5"/>
    </row>
    <row r="967" spans="2:9" x14ac:dyDescent="0.2">
      <c r="B967" s="2"/>
      <c r="C967" s="11"/>
      <c r="D967" s="1"/>
      <c r="E967" s="5"/>
      <c r="F967" s="5"/>
      <c r="G967" s="5"/>
      <c r="H967" s="5"/>
      <c r="I967" s="5"/>
    </row>
    <row r="989" spans="2:9" x14ac:dyDescent="0.2">
      <c r="B989" s="2"/>
      <c r="C989" s="11"/>
      <c r="D989" s="1"/>
      <c r="E989" s="5"/>
      <c r="F989" s="5"/>
      <c r="G989" s="5"/>
      <c r="H989" s="5"/>
      <c r="I989" s="5"/>
    </row>
    <row r="1004" spans="2:9" x14ac:dyDescent="0.2">
      <c r="B1004" s="2"/>
      <c r="C1004" s="11"/>
      <c r="D1004" s="1"/>
      <c r="E1004" s="5"/>
      <c r="F1004" s="5"/>
      <c r="G1004" s="5"/>
      <c r="H1004" s="5"/>
      <c r="I1004" s="5"/>
    </row>
    <row r="1005" spans="2:9" x14ac:dyDescent="0.2">
      <c r="B1005" s="2"/>
      <c r="C1005" s="11"/>
      <c r="D1005" s="1"/>
      <c r="E1005" s="5"/>
      <c r="F1005" s="5"/>
      <c r="G1005" s="5"/>
      <c r="H1005" s="5"/>
      <c r="I1005" s="5"/>
    </row>
    <row r="1010" spans="2:9" x14ac:dyDescent="0.2">
      <c r="B1010" s="2"/>
      <c r="C1010" s="11"/>
      <c r="D1010" s="1"/>
      <c r="E1010" s="5"/>
      <c r="F1010" s="5"/>
      <c r="G1010" s="5"/>
      <c r="H1010" s="5"/>
      <c r="I1010" s="5"/>
    </row>
    <row r="1015" spans="2:9" x14ac:dyDescent="0.2">
      <c r="B1015" s="2"/>
      <c r="C1015" s="11"/>
      <c r="D1015" s="1"/>
      <c r="E1015" s="5"/>
      <c r="F1015" s="5"/>
      <c r="G1015" s="5"/>
      <c r="H1015" s="5"/>
      <c r="I1015" s="5"/>
    </row>
    <row r="1016" spans="2:9" x14ac:dyDescent="0.2">
      <c r="B1016" s="2"/>
      <c r="C1016" s="11"/>
      <c r="D1016" s="1"/>
      <c r="E1016" s="5"/>
      <c r="F1016" s="5"/>
      <c r="G1016" s="5"/>
      <c r="H1016" s="5"/>
      <c r="I1016" s="5"/>
    </row>
    <row r="1020" spans="2:9" x14ac:dyDescent="0.2">
      <c r="B1020" s="2"/>
      <c r="C1020" s="11"/>
      <c r="D1020" s="1"/>
      <c r="E1020" s="5"/>
      <c r="F1020" s="5"/>
      <c r="G1020" s="5"/>
      <c r="H1020" s="5"/>
      <c r="I1020" s="5"/>
    </row>
    <row r="1029" spans="2:9" x14ac:dyDescent="0.2">
      <c r="B1029" s="2"/>
      <c r="C1029" s="11"/>
      <c r="D1029" s="1"/>
      <c r="E1029" s="5"/>
      <c r="F1029" s="5"/>
      <c r="G1029" s="5"/>
      <c r="H1029" s="5"/>
      <c r="I1029" s="5"/>
    </row>
    <row r="1031" spans="2:9" x14ac:dyDescent="0.2">
      <c r="B1031" s="2"/>
      <c r="C1031" s="11"/>
      <c r="D1031" s="1"/>
      <c r="E1031" s="5"/>
      <c r="F1031" s="5"/>
      <c r="G1031" s="5"/>
      <c r="H1031" s="5"/>
      <c r="I1031" s="5"/>
    </row>
    <row r="1038" spans="2:9" x14ac:dyDescent="0.2">
      <c r="B1038" s="2"/>
      <c r="C1038" s="11"/>
      <c r="D1038" s="1"/>
      <c r="E1038" s="5"/>
      <c r="F1038" s="5"/>
      <c r="G1038" s="5"/>
      <c r="H1038" s="5"/>
      <c r="I1038" s="5"/>
    </row>
    <row r="1044" spans="2:9" x14ac:dyDescent="0.2">
      <c r="B1044" s="2"/>
      <c r="C1044" s="11"/>
      <c r="D1044" s="1"/>
      <c r="E1044" s="5"/>
      <c r="F1044" s="5"/>
      <c r="G1044" s="5"/>
      <c r="H1044" s="5"/>
      <c r="I1044" s="5"/>
    </row>
    <row r="1045" spans="2:9" x14ac:dyDescent="0.2">
      <c r="B1045" s="2"/>
      <c r="C1045" s="11"/>
      <c r="D1045" s="1"/>
      <c r="E1045" s="5"/>
      <c r="F1045" s="5"/>
      <c r="G1045" s="5"/>
      <c r="H1045" s="5"/>
      <c r="I1045" s="5"/>
    </row>
    <row r="1047" spans="2:9" x14ac:dyDescent="0.2">
      <c r="B1047" s="2"/>
      <c r="C1047" s="11"/>
      <c r="D1047" s="1"/>
      <c r="E1047" s="5"/>
      <c r="F1047" s="5"/>
      <c r="G1047" s="5"/>
      <c r="H1047" s="5"/>
      <c r="I1047" s="5"/>
    </row>
    <row r="1048" spans="2:9" x14ac:dyDescent="0.2">
      <c r="B1048" s="2"/>
      <c r="C1048" s="11"/>
      <c r="D1048" s="1"/>
      <c r="E1048" s="5"/>
      <c r="F1048" s="5"/>
      <c r="G1048" s="5"/>
      <c r="H1048" s="5"/>
      <c r="I1048" s="5"/>
    </row>
    <row r="1049" spans="2:9" x14ac:dyDescent="0.2">
      <c r="B1049" s="2"/>
      <c r="C1049" s="11"/>
      <c r="D1049" s="1"/>
      <c r="E1049" s="5"/>
      <c r="F1049" s="5"/>
      <c r="G1049" s="5"/>
      <c r="H1049" s="5"/>
      <c r="I1049" s="5"/>
    </row>
    <row r="1052" spans="2:9" x14ac:dyDescent="0.2">
      <c r="B1052" s="2"/>
      <c r="C1052" s="11"/>
      <c r="D1052" s="1"/>
      <c r="E1052" s="5"/>
      <c r="F1052" s="5"/>
      <c r="G1052" s="5"/>
      <c r="H1052" s="5"/>
      <c r="I1052" s="5"/>
    </row>
    <row r="1055" spans="2:9" x14ac:dyDescent="0.2">
      <c r="B1055" s="2"/>
      <c r="C1055" s="11"/>
      <c r="D1055" s="1"/>
      <c r="E1055" s="5"/>
      <c r="F1055" s="5"/>
      <c r="G1055" s="5"/>
      <c r="H1055" s="5"/>
      <c r="I1055" s="5"/>
    </row>
    <row r="1057" spans="2:9" x14ac:dyDescent="0.2">
      <c r="B1057" s="2"/>
      <c r="C1057" s="11"/>
      <c r="D1057" s="1"/>
      <c r="E1057" s="5"/>
      <c r="F1057" s="5"/>
      <c r="G1057" s="5"/>
      <c r="H1057" s="5"/>
      <c r="I1057" s="5"/>
    </row>
    <row r="1059" spans="2:9" x14ac:dyDescent="0.2">
      <c r="B1059" s="2"/>
      <c r="C1059" s="11"/>
      <c r="D1059" s="1"/>
      <c r="E1059" s="5"/>
      <c r="F1059" s="5"/>
      <c r="G1059" s="5"/>
      <c r="H1059" s="5"/>
      <c r="I1059" s="5"/>
    </row>
    <row r="1060" spans="2:9" x14ac:dyDescent="0.2">
      <c r="B1060" s="2"/>
      <c r="C1060" s="11"/>
      <c r="D1060" s="1"/>
      <c r="E1060" s="5"/>
      <c r="F1060" s="5"/>
      <c r="G1060" s="5"/>
      <c r="H1060" s="5"/>
      <c r="I1060" s="5"/>
    </row>
    <row r="1064" spans="2:9" x14ac:dyDescent="0.2">
      <c r="B1064" s="2"/>
      <c r="C1064" s="11"/>
      <c r="D1064" s="1"/>
      <c r="E1064" s="5"/>
      <c r="F1064" s="5"/>
      <c r="G1064" s="5"/>
      <c r="H1064" s="5"/>
      <c r="I1064" s="5"/>
    </row>
    <row r="1069" spans="2:9" x14ac:dyDescent="0.2">
      <c r="B1069" s="2"/>
      <c r="C1069" s="11"/>
      <c r="D1069" s="1"/>
      <c r="E1069" s="5"/>
      <c r="F1069" s="5"/>
      <c r="G1069" s="5"/>
      <c r="H1069" s="5"/>
      <c r="I1069" s="5"/>
    </row>
    <row r="1070" spans="2:9" x14ac:dyDescent="0.2">
      <c r="B1070" s="2"/>
      <c r="C1070" s="11"/>
      <c r="D1070" s="1"/>
      <c r="E1070" s="5"/>
      <c r="F1070" s="5"/>
      <c r="G1070" s="5"/>
      <c r="H1070" s="5"/>
      <c r="I1070" s="5"/>
    </row>
    <row r="1072" spans="2:9" x14ac:dyDescent="0.2">
      <c r="B1072" s="3"/>
      <c r="C1072" s="11"/>
      <c r="D1072" s="1"/>
      <c r="E1072" s="5"/>
      <c r="F1072" s="5"/>
      <c r="G1072" s="5"/>
      <c r="H1072" s="5"/>
      <c r="I1072" s="5"/>
    </row>
    <row r="1074" spans="2:9" x14ac:dyDescent="0.2">
      <c r="B1074" s="2"/>
      <c r="C1074" s="11"/>
      <c r="D1074" s="1"/>
      <c r="E1074" s="5"/>
      <c r="F1074" s="5"/>
      <c r="G1074" s="5"/>
      <c r="H1074" s="5"/>
      <c r="I1074" s="5"/>
    </row>
    <row r="1077" spans="2:9" x14ac:dyDescent="0.2">
      <c r="B1077" s="2"/>
      <c r="C1077" s="11"/>
      <c r="D1077" s="1"/>
      <c r="E1077" s="5"/>
      <c r="F1077" s="5"/>
      <c r="G1077" s="5"/>
      <c r="H1077" s="5"/>
      <c r="I1077" s="5"/>
    </row>
    <row r="1080" spans="2:9" x14ac:dyDescent="0.2">
      <c r="B1080" s="3"/>
      <c r="C1080" s="11"/>
      <c r="D1080" s="1"/>
      <c r="E1080" s="5"/>
      <c r="F1080" s="5"/>
      <c r="G1080" s="5"/>
      <c r="H1080" s="5"/>
      <c r="I1080" s="5"/>
    </row>
    <row r="1087" spans="2:9" x14ac:dyDescent="0.2">
      <c r="B1087" s="3"/>
      <c r="C1087" s="11"/>
      <c r="D1087" s="1"/>
      <c r="E1087" s="5"/>
      <c r="F1087" s="5"/>
      <c r="G1087" s="5"/>
      <c r="H1087" s="5"/>
      <c r="I1087" s="5"/>
    </row>
    <row r="1091" spans="2:9" x14ac:dyDescent="0.2">
      <c r="C1091" s="11"/>
      <c r="D1091" s="1"/>
      <c r="E1091" s="5"/>
      <c r="F1091" s="5"/>
      <c r="G1091" s="5"/>
      <c r="H1091" s="5"/>
      <c r="I1091" s="5"/>
    </row>
    <row r="1093" spans="2:9" x14ac:dyDescent="0.2">
      <c r="B1093" s="3"/>
      <c r="C1093" s="11"/>
      <c r="D1093" s="1"/>
      <c r="E1093" s="5"/>
      <c r="F1093" s="5"/>
      <c r="G1093" s="5"/>
      <c r="H1093" s="5"/>
      <c r="I1093" s="5"/>
    </row>
    <row r="1095" spans="2:9" x14ac:dyDescent="0.2">
      <c r="B1095" s="3"/>
      <c r="C1095" s="11"/>
      <c r="D1095" s="1"/>
      <c r="E1095" s="5"/>
      <c r="F1095" s="5"/>
      <c r="G1095" s="5"/>
      <c r="H1095" s="5"/>
      <c r="I1095" s="5"/>
    </row>
    <row r="1096" spans="2:9" x14ac:dyDescent="0.2">
      <c r="C1096" s="11"/>
      <c r="D1096" s="1"/>
      <c r="E1096" s="5"/>
      <c r="F1096" s="5"/>
      <c r="G1096" s="5"/>
      <c r="H1096" s="5"/>
      <c r="I1096" s="5"/>
    </row>
    <row r="1102" spans="2:9" x14ac:dyDescent="0.2">
      <c r="B1102" s="3"/>
      <c r="C1102" s="11"/>
      <c r="D1102" s="1"/>
      <c r="E1102" s="5"/>
      <c r="F1102" s="5"/>
      <c r="G1102" s="5"/>
      <c r="H1102" s="5"/>
      <c r="I1102" s="5"/>
    </row>
    <row r="1103" spans="2:9" x14ac:dyDescent="0.2">
      <c r="B1103" s="3"/>
      <c r="C1103" s="11"/>
      <c r="D1103" s="1"/>
      <c r="E1103" s="5"/>
      <c r="F1103" s="5"/>
      <c r="G1103" s="5"/>
      <c r="H1103" s="5"/>
      <c r="I1103" s="5"/>
    </row>
    <row r="1107" spans="2:9" x14ac:dyDescent="0.2">
      <c r="B1107" s="3"/>
      <c r="C1107" s="11"/>
      <c r="D1107" s="1"/>
      <c r="E1107" s="5"/>
      <c r="F1107" s="5"/>
      <c r="G1107" s="5"/>
      <c r="H1107" s="5"/>
      <c r="I1107" s="5"/>
    </row>
    <row r="1108" spans="2:9" x14ac:dyDescent="0.2">
      <c r="B1108" s="3"/>
      <c r="C1108" s="11"/>
      <c r="D1108" s="1"/>
      <c r="E1108" s="5"/>
      <c r="F1108" s="5"/>
      <c r="G1108" s="5"/>
      <c r="H1108" s="5"/>
      <c r="I1108" s="5"/>
    </row>
    <row r="1110" spans="2:9" x14ac:dyDescent="0.2">
      <c r="C1110" s="11"/>
      <c r="D1110" s="1"/>
      <c r="E1110" s="5"/>
      <c r="F1110" s="5"/>
      <c r="G1110" s="5"/>
      <c r="H1110" s="5"/>
      <c r="I1110" s="5"/>
    </row>
    <row r="1112" spans="2:9" x14ac:dyDescent="0.2">
      <c r="B1112" s="3"/>
      <c r="C1112" s="11"/>
      <c r="D1112" s="1"/>
      <c r="E1112" s="5"/>
      <c r="F1112" s="5"/>
      <c r="G1112" s="5"/>
      <c r="H1112" s="5"/>
      <c r="I1112" s="5"/>
    </row>
    <row r="1118" spans="2:9" x14ac:dyDescent="0.2">
      <c r="C1118" s="11"/>
      <c r="D1118" s="1"/>
      <c r="E1118" s="5"/>
      <c r="F1118" s="5"/>
      <c r="G1118" s="5"/>
      <c r="H1118" s="5"/>
      <c r="I1118" s="5"/>
    </row>
    <row r="1119" spans="2:9" x14ac:dyDescent="0.2">
      <c r="B1119" s="3"/>
      <c r="C1119" s="11"/>
      <c r="D1119" s="1"/>
      <c r="E1119" s="5"/>
      <c r="F1119" s="5"/>
      <c r="G1119" s="5"/>
      <c r="H1119" s="5"/>
      <c r="I1119" s="5"/>
    </row>
    <row r="1120" spans="2:9" x14ac:dyDescent="0.2">
      <c r="C1120" s="11"/>
      <c r="D1120" s="1"/>
      <c r="E1120" s="5"/>
      <c r="F1120" s="5"/>
      <c r="G1120" s="5"/>
      <c r="H1120" s="5"/>
      <c r="I1120" s="5"/>
    </row>
    <row r="1124" spans="2:9" x14ac:dyDescent="0.2">
      <c r="B1124" s="3"/>
      <c r="C1124" s="11"/>
      <c r="D1124" s="1"/>
      <c r="E1124" s="5"/>
      <c r="F1124" s="5"/>
      <c r="G1124" s="5"/>
      <c r="H1124" s="5"/>
      <c r="I1124" s="5"/>
    </row>
    <row r="1126" spans="2:9" x14ac:dyDescent="0.2">
      <c r="C1126" s="11"/>
      <c r="D1126" s="1"/>
      <c r="E1126" s="5"/>
      <c r="F1126" s="5"/>
      <c r="G1126" s="5"/>
      <c r="H1126" s="5"/>
      <c r="I1126" s="5"/>
    </row>
    <row r="1128" spans="2:9" x14ac:dyDescent="0.2">
      <c r="C1128" s="11"/>
      <c r="D1128" s="1"/>
      <c r="E1128" s="5"/>
      <c r="F1128" s="5"/>
      <c r="G1128" s="5"/>
      <c r="H1128" s="5"/>
      <c r="I1128" s="5"/>
    </row>
    <row r="1129" spans="2:9" x14ac:dyDescent="0.2">
      <c r="B1129" s="3"/>
      <c r="C1129" s="11"/>
      <c r="D1129" s="1"/>
      <c r="E1129" s="5"/>
      <c r="F1129" s="5"/>
      <c r="G1129" s="5"/>
      <c r="H1129" s="5"/>
      <c r="I1129" s="5"/>
    </row>
    <row r="1133" spans="2:9" x14ac:dyDescent="0.2">
      <c r="C1133" s="11"/>
      <c r="D1133" s="1"/>
      <c r="E1133" s="5"/>
      <c r="F1133" s="5"/>
      <c r="G1133" s="5"/>
      <c r="H1133" s="5"/>
      <c r="I1133" s="5"/>
    </row>
    <row r="1134" spans="2:9" x14ac:dyDescent="0.2">
      <c r="B1134" s="3"/>
      <c r="C1134" s="11"/>
      <c r="D1134" s="1"/>
      <c r="E1134" s="5"/>
      <c r="F1134" s="5"/>
      <c r="G1134" s="5"/>
      <c r="H1134" s="5"/>
      <c r="I1134" s="5"/>
    </row>
    <row r="1138" spans="2:9" x14ac:dyDescent="0.2">
      <c r="B1138" s="3"/>
      <c r="C1138" s="11"/>
      <c r="D1138" s="1"/>
      <c r="E1138" s="5"/>
      <c r="F1138" s="5"/>
      <c r="G1138" s="5"/>
      <c r="H1138" s="5"/>
      <c r="I1138" s="5"/>
    </row>
    <row r="1143" spans="2:9" x14ac:dyDescent="0.2">
      <c r="C1143" s="11"/>
      <c r="D1143" s="1"/>
      <c r="E1143" s="5"/>
      <c r="F1143" s="5"/>
      <c r="G1143" s="5"/>
      <c r="H1143" s="5"/>
      <c r="I1143" s="5"/>
    </row>
    <row r="1145" spans="2:9" x14ac:dyDescent="0.2">
      <c r="C1145" s="11"/>
      <c r="D1145" s="1"/>
      <c r="E1145" s="5"/>
      <c r="F1145" s="5"/>
      <c r="G1145" s="5"/>
      <c r="H1145" s="5"/>
      <c r="I1145" s="5"/>
    </row>
    <row r="1146" spans="2:9" x14ac:dyDescent="0.2">
      <c r="B1146" s="3"/>
      <c r="C1146" s="11"/>
      <c r="D1146" s="1"/>
      <c r="E1146" s="5"/>
      <c r="F1146" s="5"/>
      <c r="G1146" s="5"/>
      <c r="H1146" s="5"/>
      <c r="I1146" s="5"/>
    </row>
    <row r="1150" spans="2:9" x14ac:dyDescent="0.2">
      <c r="C1150" s="11"/>
      <c r="D1150" s="1"/>
      <c r="E1150" s="5"/>
      <c r="F1150" s="5"/>
      <c r="G1150" s="5"/>
      <c r="H1150" s="5"/>
      <c r="I1150" s="5"/>
    </row>
    <row r="1153" spans="2:9" x14ac:dyDescent="0.2">
      <c r="C1153" s="11"/>
      <c r="D1153" s="1"/>
      <c r="E1153" s="5"/>
      <c r="F1153" s="5"/>
      <c r="G1153" s="5"/>
      <c r="H1153" s="5"/>
      <c r="I1153" s="5"/>
    </row>
    <row r="1154" spans="2:9" x14ac:dyDescent="0.2">
      <c r="B1154" s="3"/>
      <c r="C1154" s="11"/>
      <c r="D1154" s="1"/>
      <c r="E1154" s="5"/>
      <c r="F1154" s="5"/>
      <c r="G1154" s="5"/>
      <c r="H1154" s="5"/>
      <c r="I1154" s="5"/>
    </row>
    <row r="1155" spans="2:9" x14ac:dyDescent="0.2">
      <c r="B1155" s="3"/>
      <c r="C1155" s="11"/>
      <c r="D1155" s="1"/>
      <c r="E1155" s="5"/>
      <c r="F1155" s="5"/>
      <c r="G1155" s="5"/>
      <c r="H1155" s="5"/>
      <c r="I1155" s="5"/>
    </row>
    <row r="1160" spans="2:9" x14ac:dyDescent="0.2">
      <c r="C1160" s="11"/>
      <c r="D1160" s="1"/>
      <c r="E1160" s="5"/>
      <c r="F1160" s="5"/>
      <c r="G1160" s="5"/>
      <c r="H1160" s="5"/>
      <c r="I1160" s="5"/>
    </row>
    <row r="1167" spans="2:9" x14ac:dyDescent="0.2">
      <c r="C1167" s="11"/>
      <c r="D1167" s="1"/>
      <c r="E1167" s="5"/>
      <c r="F1167" s="5"/>
      <c r="G1167" s="5"/>
      <c r="H1167" s="5"/>
      <c r="I1167" s="5"/>
    </row>
    <row r="1169" spans="2:9" x14ac:dyDescent="0.2">
      <c r="B1169" s="3"/>
      <c r="C1169" s="11"/>
      <c r="D1169" s="1"/>
      <c r="E1169" s="5"/>
      <c r="F1169" s="5"/>
      <c r="G1169" s="5"/>
      <c r="H1169" s="5"/>
      <c r="I1169" s="5"/>
    </row>
    <row r="1172" spans="2:9" x14ac:dyDescent="0.2">
      <c r="B1172" s="3"/>
      <c r="C1172" s="11"/>
      <c r="D1172" s="1"/>
      <c r="E1172" s="5"/>
      <c r="F1172" s="5"/>
      <c r="G1172" s="5"/>
      <c r="H1172" s="5"/>
      <c r="I1172" s="5"/>
    </row>
    <row r="1173" spans="2:9" x14ac:dyDescent="0.2">
      <c r="B1173" s="3"/>
      <c r="C1173" s="11"/>
      <c r="D1173" s="1"/>
      <c r="E1173" s="5"/>
      <c r="F1173" s="5"/>
      <c r="G1173" s="5"/>
      <c r="H1173" s="5"/>
      <c r="I1173" s="5"/>
    </row>
    <row r="1174" spans="2:9" x14ac:dyDescent="0.2">
      <c r="B1174" s="3"/>
      <c r="C1174" s="11"/>
      <c r="D1174" s="1"/>
      <c r="E1174" s="5"/>
      <c r="F1174" s="5"/>
      <c r="G1174" s="5"/>
      <c r="H1174" s="5"/>
      <c r="I1174" s="5"/>
    </row>
    <row r="1177" spans="2:9" x14ac:dyDescent="0.2">
      <c r="B1177" s="3"/>
      <c r="C1177" s="11"/>
      <c r="D1177" s="1"/>
      <c r="E1177" s="5"/>
      <c r="F1177" s="5"/>
      <c r="G1177" s="5"/>
      <c r="H1177" s="5"/>
      <c r="I1177" s="5"/>
    </row>
    <row r="1178" spans="2:9" x14ac:dyDescent="0.2">
      <c r="B1178" s="3"/>
      <c r="C1178" s="11"/>
      <c r="D1178" s="1"/>
      <c r="E1178" s="5"/>
      <c r="F1178" s="5"/>
      <c r="G1178" s="5"/>
      <c r="H1178" s="5"/>
      <c r="I1178" s="5"/>
    </row>
    <row r="1181" spans="2:9" x14ac:dyDescent="0.2">
      <c r="B1181" s="3"/>
      <c r="C1181" s="11"/>
      <c r="D1181" s="1"/>
      <c r="E1181" s="5"/>
      <c r="F1181" s="5"/>
      <c r="G1181" s="5"/>
      <c r="H1181" s="5"/>
      <c r="I1181" s="5"/>
    </row>
    <row r="1182" spans="2:9" x14ac:dyDescent="0.2">
      <c r="B1182" s="3"/>
      <c r="C1182" s="11"/>
      <c r="D1182" s="1"/>
      <c r="E1182" s="5"/>
      <c r="F1182" s="5"/>
      <c r="G1182" s="5"/>
      <c r="H1182" s="5"/>
      <c r="I1182" s="5"/>
    </row>
    <row r="1184" spans="2:9" x14ac:dyDescent="0.2">
      <c r="B1184" s="3"/>
      <c r="C1184" s="11"/>
      <c r="D1184" s="1"/>
      <c r="E1184" s="5"/>
      <c r="F1184" s="5"/>
      <c r="G1184" s="5"/>
      <c r="H1184" s="5"/>
      <c r="I1184" s="5"/>
    </row>
    <row r="1190" spans="2:11" x14ac:dyDescent="0.2">
      <c r="B1190" s="3"/>
      <c r="C1190" s="11"/>
      <c r="D1190" s="1"/>
      <c r="E1190" s="5"/>
      <c r="F1190" s="5"/>
      <c r="G1190" s="5"/>
      <c r="H1190" s="5"/>
      <c r="I1190" s="5"/>
    </row>
    <row r="1192" spans="2:11" x14ac:dyDescent="0.2">
      <c r="B1192" s="3"/>
      <c r="C1192" s="11"/>
      <c r="D1192" s="1"/>
      <c r="E1192" s="5"/>
      <c r="F1192" s="5"/>
      <c r="G1192" s="5"/>
      <c r="H1192" s="5"/>
      <c r="I1192" s="5"/>
    </row>
    <row r="1194" spans="2:11" x14ac:dyDescent="0.2">
      <c r="B1194" s="3"/>
      <c r="C1194" s="11"/>
      <c r="D1194" s="1"/>
      <c r="E1194" s="5"/>
      <c r="F1194" s="5"/>
      <c r="G1194" s="5"/>
      <c r="H1194" s="5"/>
      <c r="I1194" s="5"/>
      <c r="J1194" s="8"/>
      <c r="K1194" s="8"/>
    </row>
    <row r="1195" spans="2:11" x14ac:dyDescent="0.2">
      <c r="J1195" s="8"/>
      <c r="K1195" s="8"/>
    </row>
    <row r="1196" spans="2:11" x14ac:dyDescent="0.2">
      <c r="B1196" s="3"/>
      <c r="C1196" s="11"/>
      <c r="D1196" s="1"/>
      <c r="E1196" s="5"/>
      <c r="F1196" s="5"/>
      <c r="G1196" s="5"/>
      <c r="H1196" s="5"/>
      <c r="I1196" s="5"/>
      <c r="J1196" s="8"/>
      <c r="K1196" s="8"/>
    </row>
    <row r="1197" spans="2:11" x14ac:dyDescent="0.2">
      <c r="J1197" s="8"/>
      <c r="K1197" s="8"/>
    </row>
    <row r="1198" spans="2:11" x14ac:dyDescent="0.2">
      <c r="J1198" s="8"/>
      <c r="K1198" s="8"/>
    </row>
    <row r="1200" spans="2:11" x14ac:dyDescent="0.2">
      <c r="B1200" s="3"/>
      <c r="C1200" s="11"/>
      <c r="D1200" s="1"/>
      <c r="E1200" s="5"/>
      <c r="F1200" s="5"/>
      <c r="G1200" s="5"/>
      <c r="H1200" s="5"/>
      <c r="I1200" s="5"/>
    </row>
    <row r="1203" spans="2:11" x14ac:dyDescent="0.2">
      <c r="B1203" s="3"/>
      <c r="C1203" s="11"/>
      <c r="D1203" s="1"/>
      <c r="E1203" s="5"/>
      <c r="F1203" s="5"/>
      <c r="G1203" s="5"/>
      <c r="H1203" s="5"/>
      <c r="I1203" s="5"/>
    </row>
    <row r="1206" spans="2:11" x14ac:dyDescent="0.2">
      <c r="B1206" s="3"/>
      <c r="C1206" s="11"/>
      <c r="D1206" s="1"/>
      <c r="E1206" s="5"/>
      <c r="F1206" s="5"/>
      <c r="G1206" s="5"/>
      <c r="H1206" s="5"/>
      <c r="I1206" s="5"/>
    </row>
    <row r="1208" spans="2:11" x14ac:dyDescent="0.2">
      <c r="B1208" s="3"/>
      <c r="C1208" s="11"/>
      <c r="D1208" s="1"/>
      <c r="E1208" s="5"/>
      <c r="F1208" s="5"/>
      <c r="G1208" s="5"/>
      <c r="H1208" s="5"/>
      <c r="I1208" s="5"/>
    </row>
    <row r="1209" spans="2:11" x14ac:dyDescent="0.2">
      <c r="B1209" s="3"/>
      <c r="C1209" s="11"/>
      <c r="D1209" s="1"/>
      <c r="E1209" s="5"/>
      <c r="F1209" s="5"/>
      <c r="G1209" s="5"/>
      <c r="H1209" s="5"/>
      <c r="I1209" s="5"/>
    </row>
    <row r="1211" spans="2:11" x14ac:dyDescent="0.2">
      <c r="B1211" s="3"/>
      <c r="C1211" s="11"/>
      <c r="D1211" s="1"/>
      <c r="E1211" s="5"/>
      <c r="F1211" s="5"/>
      <c r="G1211" s="5"/>
      <c r="H1211" s="5"/>
      <c r="I1211" s="5"/>
    </row>
    <row r="1213" spans="2:11" x14ac:dyDescent="0.2">
      <c r="J1213" s="8"/>
      <c r="K1213" s="8"/>
    </row>
    <row r="1214" spans="2:11" x14ac:dyDescent="0.2">
      <c r="J1214" s="8"/>
      <c r="K1214" s="8"/>
    </row>
    <row r="1215" spans="2:11" x14ac:dyDescent="0.2">
      <c r="J1215" s="8"/>
      <c r="K1215" s="8"/>
    </row>
    <row r="1216" spans="2:11" x14ac:dyDescent="0.2">
      <c r="J1216" s="8"/>
      <c r="K1216" s="8"/>
    </row>
    <row r="1217" spans="10:11" x14ac:dyDescent="0.2">
      <c r="J1217" s="8"/>
      <c r="K1217" s="8"/>
    </row>
    <row r="1218" spans="10:11" x14ac:dyDescent="0.2">
      <c r="J1218" s="8"/>
      <c r="K1218" s="8"/>
    </row>
    <row r="1219" spans="10:11" x14ac:dyDescent="0.2">
      <c r="J1219" s="8"/>
      <c r="K1219" s="8"/>
    </row>
    <row r="1220" spans="10:11" x14ac:dyDescent="0.2">
      <c r="J1220" s="8"/>
      <c r="K1220" s="8"/>
    </row>
    <row r="1221" spans="10:11" x14ac:dyDescent="0.2">
      <c r="J1221" s="8"/>
      <c r="K1221" s="8"/>
    </row>
    <row r="1222" spans="10:11" x14ac:dyDescent="0.2">
      <c r="J1222" s="8"/>
      <c r="K1222" s="8"/>
    </row>
    <row r="1243" spans="10:11" x14ac:dyDescent="0.2">
      <c r="J1243" s="8"/>
      <c r="K1243" s="8"/>
    </row>
    <row r="1246" spans="10:11" x14ac:dyDescent="0.2">
      <c r="J1246" s="8"/>
      <c r="K1246" s="8"/>
    </row>
    <row r="1247" spans="10:11" x14ac:dyDescent="0.2">
      <c r="J1247" s="8"/>
      <c r="K1247" s="8"/>
    </row>
    <row r="1256" spans="10:11" x14ac:dyDescent="0.2">
      <c r="J1256" s="8"/>
      <c r="K1256" s="8"/>
    </row>
    <row r="1257" spans="10:11" x14ac:dyDescent="0.2">
      <c r="J1257" s="8"/>
      <c r="K1257" s="8"/>
    </row>
    <row r="1258" spans="10:11" x14ac:dyDescent="0.2">
      <c r="J1258" s="8"/>
      <c r="K1258" s="8"/>
    </row>
    <row r="1259" spans="10:11" x14ac:dyDescent="0.2">
      <c r="J1259" s="8"/>
      <c r="K1259" s="8"/>
    </row>
    <row r="1303" spans="10:11" x14ac:dyDescent="0.2">
      <c r="J1303" s="8"/>
      <c r="K1303" s="8"/>
    </row>
    <row r="1377" spans="10:11" x14ac:dyDescent="0.2">
      <c r="J1377" s="8"/>
      <c r="K1377" s="8"/>
    </row>
    <row r="1390" spans="10:11" x14ac:dyDescent="0.2">
      <c r="J1390" s="8"/>
      <c r="K1390" s="8"/>
    </row>
    <row r="1391" spans="10:11" x14ac:dyDescent="0.2">
      <c r="J1391" s="8"/>
      <c r="K1391" s="8"/>
    </row>
    <row r="1401" spans="10:11" x14ac:dyDescent="0.2">
      <c r="J1401" s="8"/>
      <c r="K1401" s="8"/>
    </row>
    <row r="1626" spans="2:9" x14ac:dyDescent="0.2">
      <c r="B1626" s="2"/>
      <c r="C1626" s="11"/>
      <c r="D1626" s="1"/>
      <c r="E1626" s="5"/>
      <c r="F1626" s="5"/>
      <c r="G1626" s="5"/>
      <c r="H1626" s="5"/>
      <c r="I1626" s="5"/>
    </row>
    <row r="1628" spans="2:9" x14ac:dyDescent="0.2">
      <c r="B1628" s="2"/>
      <c r="C1628" s="11"/>
      <c r="D1628" s="1"/>
      <c r="E1628" s="5"/>
      <c r="F1628" s="5"/>
      <c r="G1628" s="5"/>
      <c r="H1628" s="5"/>
      <c r="I1628" s="5"/>
    </row>
    <row r="1629" spans="2:9" x14ac:dyDescent="0.2">
      <c r="B1629" s="2"/>
      <c r="C1629" s="11"/>
      <c r="D1629" s="1"/>
      <c r="E1629" s="5"/>
      <c r="F1629" s="5"/>
      <c r="G1629" s="5"/>
      <c r="H1629" s="5"/>
      <c r="I1629" s="5"/>
    </row>
    <row r="1640" spans="2:9" x14ac:dyDescent="0.2">
      <c r="B1640" s="2"/>
      <c r="C1640" s="11"/>
      <c r="D1640" s="1"/>
      <c r="E1640" s="5"/>
      <c r="F1640" s="5"/>
      <c r="G1640" s="5"/>
      <c r="H1640" s="5"/>
      <c r="I1640" s="5"/>
    </row>
    <row r="1641" spans="2:9" x14ac:dyDescent="0.2">
      <c r="B1641" s="2"/>
      <c r="C1641" s="11"/>
      <c r="D1641" s="1"/>
      <c r="E1641" s="5"/>
      <c r="F1641" s="5"/>
      <c r="G1641" s="5"/>
      <c r="H1641" s="5"/>
      <c r="I1641" s="5"/>
    </row>
    <row r="1643" spans="2:9" x14ac:dyDescent="0.2">
      <c r="B1643" s="2"/>
      <c r="C1643" s="11"/>
      <c r="D1643" s="1"/>
      <c r="E1643" s="5"/>
      <c r="F1643" s="5"/>
      <c r="G1643" s="5"/>
      <c r="H1643" s="5"/>
      <c r="I1643" s="5"/>
    </row>
    <row r="1644" spans="2:9" x14ac:dyDescent="0.2">
      <c r="B1644" s="2"/>
      <c r="C1644" s="11"/>
      <c r="D1644" s="1"/>
      <c r="E1644" s="5"/>
      <c r="F1644" s="5"/>
      <c r="G1644" s="5"/>
      <c r="H1644" s="5"/>
      <c r="I1644" s="5"/>
    </row>
    <row r="1645" spans="2:9" x14ac:dyDescent="0.2">
      <c r="C1645" s="11"/>
      <c r="D1645" s="1"/>
      <c r="E1645" s="5"/>
      <c r="F1645" s="5"/>
      <c r="G1645" s="5"/>
      <c r="H1645" s="5"/>
      <c r="I1645" s="5"/>
    </row>
    <row r="1647" spans="2:9" x14ac:dyDescent="0.2">
      <c r="C1647" s="11"/>
      <c r="D1647" s="1"/>
      <c r="E1647" s="5"/>
      <c r="F1647" s="5"/>
      <c r="G1647" s="5"/>
      <c r="H1647" s="5"/>
      <c r="I1647" s="5"/>
    </row>
    <row r="1649" spans="2:9" x14ac:dyDescent="0.2">
      <c r="B1649" s="2"/>
      <c r="C1649" s="11"/>
      <c r="D1649" s="1"/>
      <c r="E1649" s="5"/>
      <c r="F1649" s="5"/>
      <c r="G1649" s="5"/>
      <c r="H1649" s="5"/>
      <c r="I1649" s="5"/>
    </row>
    <row r="1653" spans="2:9" x14ac:dyDescent="0.2">
      <c r="B1653" s="2"/>
      <c r="C1653" s="11"/>
      <c r="D1653" s="1"/>
      <c r="E1653" s="5"/>
      <c r="F1653" s="5"/>
      <c r="G1653" s="5"/>
      <c r="H1653" s="5"/>
      <c r="I1653" s="5"/>
    </row>
    <row r="1654" spans="2:9" x14ac:dyDescent="0.2">
      <c r="B1654" s="2"/>
      <c r="C1654" s="11"/>
      <c r="D1654" s="1"/>
      <c r="E1654" s="5"/>
      <c r="F1654" s="5"/>
      <c r="G1654" s="5"/>
      <c r="H1654" s="5"/>
      <c r="I1654" s="5"/>
    </row>
    <row r="1655" spans="2:9" x14ac:dyDescent="0.2">
      <c r="B1655" s="2"/>
      <c r="C1655" s="11"/>
      <c r="D1655" s="1"/>
      <c r="E1655" s="5"/>
      <c r="F1655" s="5"/>
      <c r="G1655" s="5"/>
      <c r="H1655" s="5"/>
      <c r="I1655" s="5"/>
    </row>
    <row r="1659" spans="2:9" x14ac:dyDescent="0.2">
      <c r="B1659" s="2"/>
      <c r="C1659" s="11"/>
      <c r="D1659" s="1"/>
      <c r="E1659" s="5"/>
      <c r="F1659" s="5"/>
      <c r="G1659" s="5"/>
      <c r="H1659" s="5"/>
      <c r="I1659" s="5"/>
    </row>
    <row r="1661" spans="2:9" x14ac:dyDescent="0.2">
      <c r="B1661" s="2"/>
      <c r="C1661" s="11"/>
      <c r="D1661" s="1"/>
      <c r="E1661" s="5"/>
      <c r="F1661" s="5"/>
      <c r="G1661" s="5"/>
      <c r="H1661" s="5"/>
      <c r="I1661" s="5"/>
    </row>
    <row r="1663" spans="2:9" x14ac:dyDescent="0.2">
      <c r="B1663" s="2"/>
      <c r="C1663" s="11"/>
      <c r="D1663" s="1"/>
      <c r="E1663" s="5"/>
      <c r="F1663" s="5"/>
      <c r="G1663" s="5"/>
      <c r="H1663" s="5"/>
      <c r="I1663" s="5"/>
    </row>
    <row r="1668" spans="2:9" x14ac:dyDescent="0.2">
      <c r="B1668" s="2"/>
      <c r="C1668" s="11"/>
      <c r="D1668" s="1"/>
      <c r="E1668" s="5"/>
      <c r="F1668" s="5"/>
      <c r="G1668" s="5"/>
      <c r="H1668" s="5"/>
      <c r="I1668" s="5"/>
    </row>
    <row r="1670" spans="2:9" x14ac:dyDescent="0.2">
      <c r="B1670" s="2"/>
      <c r="C1670" s="11"/>
      <c r="D1670" s="1"/>
      <c r="E1670" s="5"/>
      <c r="F1670" s="5"/>
      <c r="G1670" s="5"/>
      <c r="H1670" s="5"/>
      <c r="I1670" s="5"/>
    </row>
    <row r="1678" spans="2:9" x14ac:dyDescent="0.2">
      <c r="B1678" s="2"/>
      <c r="C1678" s="11"/>
      <c r="D1678" s="1"/>
      <c r="E1678" s="5"/>
      <c r="F1678" s="5"/>
      <c r="G1678" s="5"/>
      <c r="H1678" s="5"/>
      <c r="I1678" s="5"/>
    </row>
    <row r="1681" spans="2:9" x14ac:dyDescent="0.2">
      <c r="C1681" s="11"/>
      <c r="D1681" s="1"/>
      <c r="E1681" s="5"/>
      <c r="F1681" s="5"/>
      <c r="G1681" s="5"/>
      <c r="H1681" s="5"/>
      <c r="I1681" s="5"/>
    </row>
    <row r="1684" spans="2:9" x14ac:dyDescent="0.2">
      <c r="C1684" s="11"/>
      <c r="D1684" s="1"/>
      <c r="E1684" s="5"/>
      <c r="F1684" s="5"/>
      <c r="G1684" s="5"/>
      <c r="H1684" s="5"/>
      <c r="I1684" s="5"/>
    </row>
    <row r="1687" spans="2:9" x14ac:dyDescent="0.2">
      <c r="C1687" s="11"/>
      <c r="D1687" s="1"/>
      <c r="E1687" s="5"/>
      <c r="F1687" s="5"/>
      <c r="G1687" s="5"/>
      <c r="H1687" s="5"/>
      <c r="I1687" s="5"/>
    </row>
    <row r="1693" spans="2:9" x14ac:dyDescent="0.2">
      <c r="B1693" s="2"/>
      <c r="C1693" s="11"/>
      <c r="D1693" s="1"/>
      <c r="E1693" s="5"/>
      <c r="F1693" s="5"/>
      <c r="G1693" s="5"/>
      <c r="H1693" s="5"/>
      <c r="I1693" s="5"/>
    </row>
    <row r="1696" spans="2:9" x14ac:dyDescent="0.2">
      <c r="C1696" s="11"/>
      <c r="D1696" s="1"/>
      <c r="E1696" s="5"/>
      <c r="F1696" s="5"/>
      <c r="G1696" s="5"/>
      <c r="H1696" s="5"/>
      <c r="I1696" s="5"/>
    </row>
    <row r="1698" spans="2:9" x14ac:dyDescent="0.2">
      <c r="B1698" s="2"/>
      <c r="C1698" s="11"/>
      <c r="D1698" s="1"/>
      <c r="E1698" s="5"/>
      <c r="F1698" s="5"/>
      <c r="G1698" s="5"/>
      <c r="H1698" s="5"/>
      <c r="I1698" s="5"/>
    </row>
    <row r="1703" spans="2:9" x14ac:dyDescent="0.2">
      <c r="B1703" s="2"/>
      <c r="C1703" s="11"/>
      <c r="D1703" s="1"/>
      <c r="E1703" s="5"/>
      <c r="F1703" s="5"/>
      <c r="G1703" s="5"/>
      <c r="H1703" s="5"/>
      <c r="I1703" s="5"/>
    </row>
    <row r="1708" spans="2:9" x14ac:dyDescent="0.2">
      <c r="B1708" s="2"/>
      <c r="C1708" s="11"/>
      <c r="D1708" s="1"/>
      <c r="E1708" s="5"/>
      <c r="F1708" s="5"/>
      <c r="G1708" s="5"/>
      <c r="H1708" s="5"/>
      <c r="I1708" s="5"/>
    </row>
    <row r="1713" spans="2:9" x14ac:dyDescent="0.2">
      <c r="B1713" s="2"/>
      <c r="C1713" s="11"/>
      <c r="D1713" s="1"/>
      <c r="E1713" s="5"/>
      <c r="F1713" s="5"/>
      <c r="G1713" s="5"/>
      <c r="H1713" s="5"/>
      <c r="I1713" s="5"/>
    </row>
    <row r="1714" spans="2:9" x14ac:dyDescent="0.2">
      <c r="B1714" s="2"/>
      <c r="C1714" s="11"/>
      <c r="D1714" s="1"/>
      <c r="E1714" s="5"/>
      <c r="F1714" s="5"/>
      <c r="G1714" s="5"/>
      <c r="H1714" s="5"/>
      <c r="I1714" s="5"/>
    </row>
    <row r="1715" spans="2:9" x14ac:dyDescent="0.2">
      <c r="C1715" s="11"/>
      <c r="D1715" s="1"/>
      <c r="E1715" s="5"/>
      <c r="F1715" s="5"/>
      <c r="G1715" s="5"/>
      <c r="H1715" s="5"/>
      <c r="I1715" s="5"/>
    </row>
    <row r="1718" spans="2:9" x14ac:dyDescent="0.2">
      <c r="B1718" s="2"/>
      <c r="C1718" s="11"/>
      <c r="D1718" s="1"/>
      <c r="E1718" s="5"/>
      <c r="F1718" s="5"/>
      <c r="G1718" s="5"/>
      <c r="H1718" s="5"/>
      <c r="I1718" s="5"/>
    </row>
    <row r="1723" spans="2:9" x14ac:dyDescent="0.2">
      <c r="B1723" s="2"/>
      <c r="C1723" s="11"/>
      <c r="D1723" s="1"/>
      <c r="E1723" s="5"/>
      <c r="F1723" s="5"/>
      <c r="G1723" s="5"/>
      <c r="H1723" s="5"/>
      <c r="I1723" s="5"/>
    </row>
    <row r="1727" spans="2:9" x14ac:dyDescent="0.2">
      <c r="C1727" s="11"/>
      <c r="D1727" s="1"/>
      <c r="E1727" s="5"/>
      <c r="F1727" s="5"/>
      <c r="G1727" s="5"/>
      <c r="H1727" s="5"/>
      <c r="I1727" s="5"/>
    </row>
    <row r="1729" spans="2:9" x14ac:dyDescent="0.2">
      <c r="C1729" s="11"/>
      <c r="D1729" s="1"/>
      <c r="E1729" s="5"/>
      <c r="F1729" s="5"/>
      <c r="G1729" s="5"/>
      <c r="H1729" s="5"/>
      <c r="I1729" s="5"/>
    </row>
    <row r="1731" spans="2:9" x14ac:dyDescent="0.2">
      <c r="B1731" s="2"/>
      <c r="C1731" s="11"/>
      <c r="D1731" s="1"/>
      <c r="E1731" s="5"/>
      <c r="F1731" s="5"/>
      <c r="G1731" s="5"/>
      <c r="H1731" s="5"/>
      <c r="I1731" s="5"/>
    </row>
    <row r="1733" spans="2:9" x14ac:dyDescent="0.2">
      <c r="B1733" s="2"/>
      <c r="C1733" s="11"/>
      <c r="D1733" s="1"/>
      <c r="E1733" s="5"/>
      <c r="F1733" s="5"/>
      <c r="G1733" s="5"/>
      <c r="H1733" s="5"/>
      <c r="I1733" s="5"/>
    </row>
    <row r="1735" spans="2:9" x14ac:dyDescent="0.2">
      <c r="B1735" s="2"/>
      <c r="C1735" s="11"/>
      <c r="D1735" s="1"/>
      <c r="E1735" s="5"/>
      <c r="F1735" s="5"/>
      <c r="G1735" s="5"/>
      <c r="H1735" s="5"/>
      <c r="I1735" s="5"/>
    </row>
    <row r="1737" spans="2:9" x14ac:dyDescent="0.2">
      <c r="B1737" s="2"/>
      <c r="C1737" s="11"/>
      <c r="D1737" s="1"/>
      <c r="E1737" s="5"/>
      <c r="F1737" s="5"/>
      <c r="G1737" s="5"/>
      <c r="H1737" s="5"/>
      <c r="I1737" s="5"/>
    </row>
    <row r="1740" spans="2:9" x14ac:dyDescent="0.2">
      <c r="B1740" s="2"/>
      <c r="C1740" s="11"/>
      <c r="D1740" s="1"/>
      <c r="E1740" s="5"/>
      <c r="F1740" s="5"/>
      <c r="G1740" s="5"/>
      <c r="H1740" s="5"/>
      <c r="I1740" s="5"/>
    </row>
    <row r="1743" spans="2:9" x14ac:dyDescent="0.2">
      <c r="B1743" s="2"/>
      <c r="C1743" s="11"/>
      <c r="D1743" s="1"/>
      <c r="E1743" s="5"/>
      <c r="F1743" s="5"/>
      <c r="G1743" s="5"/>
      <c r="H1743" s="5"/>
      <c r="I1743" s="5"/>
    </row>
    <row r="1744" spans="2:9" x14ac:dyDescent="0.2">
      <c r="B1744" s="2"/>
      <c r="C1744" s="11"/>
      <c r="D1744" s="1"/>
      <c r="E1744" s="5"/>
      <c r="F1744" s="5"/>
      <c r="G1744" s="5"/>
      <c r="H1744" s="5"/>
      <c r="I1744" s="5"/>
    </row>
    <row r="1747" spans="2:9" x14ac:dyDescent="0.2">
      <c r="B1747" s="2"/>
      <c r="C1747" s="11"/>
      <c r="D1747" s="1"/>
      <c r="E1747" s="5"/>
      <c r="F1747" s="5"/>
      <c r="G1747" s="5"/>
      <c r="H1747" s="5"/>
      <c r="I1747" s="5"/>
    </row>
    <row r="1749" spans="2:9" x14ac:dyDescent="0.2">
      <c r="B1749" s="2"/>
      <c r="C1749" s="11"/>
      <c r="D1749" s="1"/>
      <c r="E1749" s="5"/>
      <c r="F1749" s="5"/>
      <c r="G1749" s="5"/>
      <c r="H1749" s="5"/>
      <c r="I1749" s="5"/>
    </row>
    <row r="1751" spans="2:9" x14ac:dyDescent="0.2">
      <c r="B1751" s="2"/>
      <c r="C1751" s="11"/>
      <c r="D1751" s="1"/>
      <c r="E1751" s="5"/>
      <c r="F1751" s="5"/>
      <c r="G1751" s="5"/>
      <c r="H1751" s="5"/>
      <c r="I1751" s="5"/>
    </row>
    <row r="1758" spans="2:9" x14ac:dyDescent="0.2">
      <c r="B1758" s="2"/>
      <c r="C1758" s="11"/>
      <c r="D1758" s="1"/>
      <c r="E1758" s="5"/>
      <c r="F1758" s="5"/>
      <c r="G1758" s="5"/>
      <c r="H1758" s="5"/>
      <c r="I1758" s="5"/>
    </row>
    <row r="1760" spans="2:9" x14ac:dyDescent="0.2">
      <c r="B1760" s="2"/>
      <c r="C1760" s="11"/>
      <c r="D1760" s="1"/>
      <c r="E1760" s="5"/>
      <c r="F1760" s="5"/>
      <c r="G1760" s="5"/>
      <c r="H1760" s="5"/>
      <c r="I1760" s="5"/>
    </row>
    <row r="1762" spans="2:9" x14ac:dyDescent="0.2">
      <c r="B1762" s="2"/>
      <c r="C1762" s="11"/>
      <c r="D1762" s="1"/>
      <c r="E1762" s="5"/>
      <c r="F1762" s="5"/>
      <c r="G1762" s="5"/>
      <c r="H1762" s="5"/>
      <c r="I1762" s="5"/>
    </row>
    <row r="1765" spans="2:9" x14ac:dyDescent="0.2">
      <c r="B1765" s="2"/>
      <c r="C1765" s="11"/>
      <c r="D1765" s="1"/>
      <c r="E1765" s="5"/>
      <c r="F1765" s="5"/>
      <c r="G1765" s="5"/>
      <c r="H1765" s="5"/>
      <c r="I1765" s="5"/>
    </row>
    <row r="1768" spans="2:9" x14ac:dyDescent="0.2">
      <c r="B1768" s="2"/>
      <c r="C1768" s="11"/>
      <c r="D1768" s="1"/>
      <c r="E1768" s="5"/>
      <c r="F1768" s="5"/>
      <c r="G1768" s="5"/>
      <c r="H1768" s="5"/>
      <c r="I1768" s="5"/>
    </row>
    <row r="1785" spans="2:9" x14ac:dyDescent="0.2">
      <c r="B1785" s="2"/>
      <c r="C1785" s="11"/>
      <c r="D1785" s="1"/>
      <c r="E1785" s="5"/>
      <c r="F1785" s="5"/>
      <c r="G1785" s="5"/>
      <c r="H1785" s="5"/>
      <c r="I1785" s="5"/>
    </row>
    <row r="1786" spans="2:9" x14ac:dyDescent="0.2">
      <c r="B1786" s="2"/>
      <c r="C1786" s="11"/>
      <c r="D1786" s="1"/>
      <c r="E1786" s="5"/>
      <c r="F1786" s="5"/>
      <c r="G1786" s="5"/>
      <c r="H1786" s="5"/>
      <c r="I1786" s="5"/>
    </row>
    <row r="1789" spans="2:9" x14ac:dyDescent="0.2">
      <c r="B1789" s="2"/>
      <c r="C1789" s="11"/>
      <c r="D1789" s="1"/>
      <c r="E1789" s="5"/>
      <c r="F1789" s="5"/>
      <c r="G1789" s="5"/>
      <c r="H1789" s="5"/>
      <c r="I1789" s="5"/>
    </row>
    <row r="1793" spans="2:9" x14ac:dyDescent="0.2">
      <c r="B1793" s="2"/>
      <c r="C1793" s="11"/>
      <c r="D1793" s="1"/>
      <c r="E1793" s="5"/>
      <c r="F1793" s="5"/>
      <c r="G1793" s="5"/>
      <c r="H1793" s="5"/>
      <c r="I1793" s="5"/>
    </row>
    <row r="1795" spans="2:9" x14ac:dyDescent="0.2">
      <c r="B1795" s="2"/>
      <c r="C1795" s="11"/>
      <c r="D1795" s="1"/>
      <c r="E1795" s="5"/>
      <c r="F1795" s="5"/>
      <c r="G1795" s="5"/>
      <c r="H1795" s="5"/>
      <c r="I1795" s="5"/>
    </row>
    <row r="1797" spans="2:9" x14ac:dyDescent="0.2">
      <c r="B1797" s="2"/>
      <c r="C1797" s="11"/>
      <c r="D1797" s="1"/>
      <c r="E1797" s="5"/>
      <c r="F1797" s="5"/>
      <c r="G1797" s="5"/>
      <c r="H1797" s="5"/>
      <c r="I1797" s="5"/>
    </row>
    <row r="1799" spans="2:9" x14ac:dyDescent="0.2">
      <c r="C1799" s="11"/>
      <c r="D1799" s="1"/>
      <c r="E1799" s="5"/>
      <c r="F1799" s="5"/>
      <c r="G1799" s="5"/>
      <c r="H1799" s="5"/>
      <c r="I1799" s="5"/>
    </row>
    <row r="1807" spans="2:9" x14ac:dyDescent="0.2">
      <c r="B1807" s="2"/>
      <c r="C1807" s="11"/>
      <c r="D1807" s="1"/>
      <c r="E1807" s="5"/>
      <c r="F1807" s="5"/>
      <c r="G1807" s="5"/>
      <c r="H1807" s="5"/>
      <c r="I1807" s="5"/>
    </row>
    <row r="1809" spans="2:9" x14ac:dyDescent="0.2">
      <c r="B1809" s="2"/>
      <c r="C1809" s="11"/>
      <c r="D1809" s="1"/>
      <c r="E1809" s="5"/>
      <c r="F1809" s="5"/>
      <c r="G1809" s="5"/>
      <c r="H1809" s="5"/>
      <c r="I1809" s="5"/>
    </row>
    <row r="1811" spans="2:9" x14ac:dyDescent="0.2">
      <c r="B1811" s="2"/>
      <c r="C1811" s="11"/>
      <c r="D1811" s="1"/>
      <c r="E1811" s="5"/>
      <c r="F1811" s="5"/>
      <c r="G1811" s="5"/>
      <c r="H1811" s="5"/>
      <c r="I1811" s="5"/>
    </row>
    <row r="1813" spans="2:9" x14ac:dyDescent="0.2">
      <c r="B1813" s="2"/>
      <c r="C1813" s="11"/>
      <c r="D1813" s="1"/>
      <c r="E1813" s="5"/>
      <c r="F1813" s="5"/>
      <c r="G1813" s="5"/>
      <c r="H1813" s="5"/>
      <c r="I1813" s="5"/>
    </row>
    <row r="1816" spans="2:9" x14ac:dyDescent="0.2">
      <c r="B1816" s="2"/>
      <c r="C1816" s="11"/>
      <c r="D1816" s="1"/>
      <c r="E1816" s="5"/>
      <c r="F1816" s="5"/>
      <c r="G1816" s="5"/>
      <c r="H1816" s="5"/>
      <c r="I1816" s="5"/>
    </row>
    <row r="1819" spans="2:9" x14ac:dyDescent="0.2">
      <c r="B1819" s="2"/>
      <c r="C1819" s="11"/>
      <c r="D1819" s="1"/>
      <c r="E1819" s="5"/>
      <c r="F1819" s="5"/>
      <c r="G1819" s="5"/>
      <c r="H1819" s="5"/>
      <c r="I1819" s="5"/>
    </row>
    <row r="1821" spans="2:9" x14ac:dyDescent="0.2">
      <c r="B1821" s="2"/>
      <c r="C1821" s="11"/>
      <c r="D1821" s="1"/>
      <c r="E1821" s="5"/>
      <c r="F1821" s="5"/>
      <c r="G1821" s="5"/>
      <c r="H1821" s="5"/>
      <c r="I1821" s="5"/>
    </row>
    <row r="1823" spans="2:9" x14ac:dyDescent="0.2">
      <c r="B1823" s="2"/>
      <c r="C1823" s="11"/>
      <c r="D1823" s="1"/>
      <c r="E1823" s="5"/>
      <c r="F1823" s="5"/>
      <c r="G1823" s="5"/>
      <c r="H1823" s="5"/>
      <c r="I1823" s="5"/>
    </row>
    <row r="1825" spans="2:9" x14ac:dyDescent="0.2">
      <c r="B1825" s="2"/>
      <c r="C1825" s="11"/>
      <c r="D1825" s="1"/>
      <c r="E1825" s="5"/>
      <c r="F1825" s="5"/>
      <c r="G1825" s="5"/>
      <c r="H1825" s="5"/>
      <c r="I1825" s="5"/>
    </row>
    <row r="1827" spans="2:9" x14ac:dyDescent="0.2">
      <c r="B1827" s="2"/>
      <c r="C1827" s="11"/>
      <c r="D1827" s="1"/>
      <c r="E1827" s="5"/>
      <c r="F1827" s="5"/>
      <c r="G1827" s="5"/>
      <c r="H1827" s="5"/>
      <c r="I1827" s="5"/>
    </row>
    <row r="1829" spans="2:9" x14ac:dyDescent="0.2">
      <c r="B1829" s="2"/>
      <c r="C1829" s="11"/>
      <c r="D1829" s="1"/>
      <c r="E1829" s="5"/>
      <c r="F1829" s="5"/>
      <c r="G1829" s="5"/>
      <c r="H1829" s="5"/>
      <c r="I1829" s="5"/>
    </row>
    <row r="1831" spans="2:9" x14ac:dyDescent="0.2">
      <c r="B1831" s="2"/>
      <c r="C1831" s="11"/>
      <c r="D1831" s="1"/>
      <c r="E1831" s="5"/>
      <c r="F1831" s="5"/>
      <c r="G1831" s="5"/>
      <c r="H1831" s="5"/>
      <c r="I1831" s="5"/>
    </row>
    <row r="1835" spans="2:9" x14ac:dyDescent="0.2">
      <c r="B1835" s="2"/>
      <c r="C1835" s="11"/>
      <c r="D1835" s="1"/>
      <c r="E1835" s="5"/>
      <c r="F1835" s="5"/>
      <c r="G1835" s="5"/>
      <c r="H1835" s="5"/>
      <c r="I1835" s="5"/>
    </row>
    <row r="1839" spans="2:9" x14ac:dyDescent="0.2">
      <c r="B1839" s="2"/>
      <c r="C1839" s="11"/>
      <c r="D1839" s="1"/>
      <c r="E1839" s="5"/>
      <c r="F1839" s="5"/>
      <c r="G1839" s="5"/>
      <c r="H1839" s="5"/>
      <c r="I1839" s="5"/>
    </row>
    <row r="1843" spans="2:9" x14ac:dyDescent="0.2">
      <c r="B1843" s="2"/>
      <c r="C1843" s="11"/>
      <c r="D1843" s="1"/>
      <c r="E1843" s="5"/>
      <c r="F1843" s="5"/>
      <c r="G1843" s="5"/>
      <c r="H1843" s="5"/>
      <c r="I1843" s="5"/>
    </row>
    <row r="1845" spans="2:9" x14ac:dyDescent="0.2">
      <c r="B1845" s="2"/>
      <c r="C1845" s="11"/>
      <c r="D1845" s="1"/>
      <c r="E1845" s="5"/>
      <c r="F1845" s="5"/>
      <c r="G1845" s="5"/>
      <c r="H1845" s="5"/>
      <c r="I1845" s="5"/>
    </row>
    <row r="1848" spans="2:9" x14ac:dyDescent="0.2">
      <c r="B1848" s="2"/>
      <c r="C1848" s="11"/>
      <c r="D1848" s="1"/>
      <c r="E1848" s="5"/>
      <c r="F1848" s="5"/>
      <c r="G1848" s="5"/>
      <c r="H1848" s="5"/>
      <c r="I1848" s="5"/>
    </row>
    <row r="1850" spans="2:9" x14ac:dyDescent="0.2">
      <c r="B1850" s="2"/>
      <c r="C1850" s="11"/>
      <c r="D1850" s="1"/>
      <c r="E1850" s="5"/>
      <c r="F1850" s="5"/>
      <c r="G1850" s="5"/>
      <c r="H1850" s="5"/>
      <c r="I1850" s="5"/>
    </row>
    <row r="1852" spans="2:9" x14ac:dyDescent="0.2">
      <c r="B1852" s="2"/>
      <c r="C1852" s="11"/>
      <c r="D1852" s="1"/>
      <c r="E1852" s="5"/>
      <c r="F1852" s="5"/>
      <c r="G1852" s="5"/>
      <c r="H1852" s="5"/>
      <c r="I1852" s="5"/>
    </row>
    <row r="1854" spans="2:9" x14ac:dyDescent="0.2">
      <c r="B1854" s="2"/>
      <c r="C1854" s="11"/>
      <c r="D1854" s="1"/>
      <c r="E1854" s="5"/>
      <c r="F1854" s="5"/>
      <c r="G1854" s="5"/>
      <c r="H1854" s="5"/>
      <c r="I1854" s="5"/>
    </row>
    <row r="1855" spans="2:9" x14ac:dyDescent="0.2">
      <c r="B1855" s="2"/>
      <c r="C1855" s="11"/>
      <c r="D1855" s="1"/>
      <c r="E1855" s="5"/>
      <c r="F1855" s="5"/>
      <c r="G1855" s="5"/>
      <c r="H1855" s="5"/>
      <c r="I1855" s="5"/>
    </row>
    <row r="1856" spans="2:9" x14ac:dyDescent="0.2">
      <c r="B1856" s="2"/>
      <c r="C1856" s="11"/>
      <c r="D1856" s="1"/>
      <c r="E1856" s="5"/>
      <c r="F1856" s="5"/>
      <c r="G1856" s="5"/>
      <c r="H1856" s="5"/>
      <c r="I1856" s="5"/>
    </row>
    <row r="1859" spans="2:9" x14ac:dyDescent="0.2">
      <c r="B1859" s="2"/>
      <c r="C1859" s="11"/>
      <c r="D1859" s="1"/>
      <c r="E1859" s="5"/>
      <c r="F1859" s="5"/>
      <c r="G1859" s="5"/>
      <c r="H1859" s="5"/>
      <c r="I1859" s="5"/>
    </row>
    <row r="1861" spans="2:9" x14ac:dyDescent="0.2">
      <c r="B1861" s="2"/>
      <c r="C1861" s="11"/>
      <c r="D1861" s="1"/>
      <c r="E1861" s="5"/>
      <c r="F1861" s="5"/>
      <c r="G1861" s="5"/>
      <c r="H1861" s="5"/>
      <c r="I1861" s="5"/>
    </row>
    <row r="1863" spans="2:9" x14ac:dyDescent="0.2">
      <c r="B1863" s="2"/>
      <c r="C1863" s="11"/>
      <c r="D1863" s="1"/>
      <c r="E1863" s="5"/>
      <c r="F1863" s="5"/>
      <c r="G1863" s="5"/>
      <c r="H1863" s="5"/>
      <c r="I1863" s="5"/>
    </row>
    <row r="1865" spans="2:9" x14ac:dyDescent="0.2">
      <c r="B1865" s="2"/>
      <c r="C1865" s="11"/>
      <c r="D1865" s="1"/>
      <c r="E1865" s="5"/>
      <c r="F1865" s="5"/>
      <c r="G1865" s="5"/>
      <c r="H1865" s="5"/>
      <c r="I1865" s="5"/>
    </row>
    <row r="1869" spans="2:9" x14ac:dyDescent="0.2">
      <c r="B1869" s="2"/>
      <c r="C1869" s="11"/>
      <c r="D1869" s="1"/>
      <c r="E1869" s="5"/>
      <c r="F1869" s="5"/>
      <c r="G1869" s="5"/>
      <c r="H1869" s="5"/>
      <c r="I1869" s="5"/>
    </row>
    <row r="1871" spans="2:9" x14ac:dyDescent="0.2">
      <c r="B1871" s="2"/>
      <c r="C1871" s="11"/>
      <c r="D1871" s="1"/>
      <c r="E1871" s="5"/>
      <c r="F1871" s="5"/>
      <c r="G1871" s="5"/>
      <c r="H1871" s="5"/>
      <c r="I1871" s="5"/>
    </row>
    <row r="1873" spans="2:9" x14ac:dyDescent="0.2">
      <c r="B1873" s="2"/>
      <c r="C1873" s="11"/>
      <c r="D1873" s="1"/>
      <c r="E1873" s="5"/>
      <c r="F1873" s="5"/>
      <c r="G1873" s="5"/>
      <c r="H1873" s="5"/>
      <c r="I1873" s="5"/>
    </row>
    <row r="1875" spans="2:9" x14ac:dyDescent="0.2">
      <c r="B1875" s="2"/>
      <c r="C1875" s="11"/>
      <c r="D1875" s="1"/>
      <c r="E1875" s="5"/>
      <c r="F1875" s="5"/>
      <c r="G1875" s="5"/>
      <c r="H1875" s="5"/>
      <c r="I1875" s="5"/>
    </row>
    <row r="1877" spans="2:9" x14ac:dyDescent="0.2">
      <c r="B1877" s="2"/>
      <c r="C1877" s="11"/>
      <c r="D1877" s="1"/>
      <c r="E1877" s="5"/>
      <c r="F1877" s="5"/>
      <c r="G1877" s="5"/>
      <c r="H1877" s="5"/>
      <c r="I1877" s="5"/>
    </row>
    <row r="1879" spans="2:9" x14ac:dyDescent="0.2">
      <c r="B1879" s="2"/>
      <c r="C1879" s="11"/>
      <c r="D1879" s="1"/>
      <c r="E1879" s="5"/>
      <c r="F1879" s="5"/>
      <c r="G1879" s="5"/>
      <c r="H1879" s="5"/>
      <c r="I1879" s="5"/>
    </row>
    <row r="1882" spans="2:9" x14ac:dyDescent="0.2">
      <c r="B1882" s="2"/>
      <c r="C1882" s="11"/>
      <c r="D1882" s="1"/>
      <c r="E1882" s="5"/>
      <c r="F1882" s="5"/>
      <c r="G1882" s="5"/>
      <c r="H1882" s="5"/>
      <c r="I1882" s="5"/>
    </row>
    <row r="1884" spans="2:9" x14ac:dyDescent="0.2">
      <c r="B1884" s="2"/>
      <c r="C1884" s="11"/>
      <c r="D1884" s="1"/>
      <c r="E1884" s="5"/>
      <c r="F1884" s="5"/>
      <c r="G1884" s="5"/>
      <c r="H1884" s="5"/>
      <c r="I1884" s="5"/>
    </row>
    <row r="1887" spans="2:9" x14ac:dyDescent="0.2">
      <c r="B1887" s="2"/>
      <c r="C1887" s="11"/>
      <c r="D1887" s="1"/>
      <c r="E1887" s="5"/>
      <c r="F1887" s="5"/>
      <c r="G1887" s="5"/>
      <c r="H1887" s="5"/>
      <c r="I1887" s="5"/>
    </row>
    <row r="1889" spans="2:9" x14ac:dyDescent="0.2">
      <c r="B1889" s="2"/>
      <c r="C1889" s="11"/>
      <c r="D1889" s="1"/>
      <c r="E1889" s="5"/>
      <c r="F1889" s="5"/>
      <c r="G1889" s="5"/>
      <c r="H1889" s="5"/>
      <c r="I1889" s="5"/>
    </row>
    <row r="1891" spans="2:9" x14ac:dyDescent="0.2">
      <c r="B1891" s="2"/>
      <c r="C1891" s="11"/>
      <c r="D1891" s="1"/>
      <c r="E1891" s="5"/>
      <c r="F1891" s="5"/>
      <c r="G1891" s="5"/>
      <c r="H1891" s="5"/>
      <c r="I1891" s="5"/>
    </row>
    <row r="1893" spans="2:9" x14ac:dyDescent="0.2">
      <c r="B1893" s="2"/>
      <c r="C1893" s="11"/>
      <c r="D1893" s="1"/>
      <c r="E1893" s="5"/>
      <c r="F1893" s="5"/>
      <c r="G1893" s="5"/>
      <c r="H1893" s="5"/>
      <c r="I1893" s="5"/>
    </row>
    <row r="1895" spans="2:9" x14ac:dyDescent="0.2">
      <c r="B1895" s="2"/>
      <c r="C1895" s="11"/>
      <c r="D1895" s="1"/>
      <c r="E1895" s="5"/>
      <c r="F1895" s="5"/>
      <c r="G1895" s="5"/>
      <c r="H1895" s="5"/>
      <c r="I1895" s="5"/>
    </row>
    <row r="1897" spans="2:9" x14ac:dyDescent="0.2">
      <c r="B1897" s="2"/>
      <c r="C1897" s="11"/>
      <c r="D1897" s="1"/>
      <c r="E1897" s="5"/>
      <c r="F1897" s="5"/>
      <c r="G1897" s="5"/>
      <c r="H1897" s="5"/>
      <c r="I1897" s="5"/>
    </row>
    <row r="1899" spans="2:9" x14ac:dyDescent="0.2">
      <c r="B1899" s="2"/>
      <c r="C1899" s="11"/>
      <c r="D1899" s="1"/>
      <c r="E1899" s="5"/>
      <c r="F1899" s="5"/>
      <c r="G1899" s="5"/>
      <c r="H1899" s="5"/>
      <c r="I1899" s="5"/>
    </row>
    <row r="1901" spans="2:9" x14ac:dyDescent="0.2">
      <c r="B1901" s="2"/>
      <c r="C1901" s="11"/>
      <c r="D1901" s="1"/>
      <c r="E1901" s="5"/>
      <c r="F1901" s="5"/>
      <c r="G1901" s="5"/>
      <c r="H1901" s="5"/>
      <c r="I1901" s="5"/>
    </row>
    <row r="1903" spans="2:9" x14ac:dyDescent="0.2">
      <c r="B1903" s="2"/>
      <c r="C1903" s="11"/>
      <c r="D1903" s="1"/>
      <c r="E1903" s="5"/>
      <c r="F1903" s="5"/>
      <c r="G1903" s="5"/>
      <c r="H1903" s="5"/>
      <c r="I1903" s="5"/>
    </row>
    <row r="1905" spans="2:9" x14ac:dyDescent="0.2">
      <c r="B1905" s="2"/>
      <c r="C1905" s="11"/>
      <c r="D1905" s="1"/>
      <c r="E1905" s="5"/>
      <c r="F1905" s="5"/>
      <c r="G1905" s="5"/>
      <c r="H1905" s="5"/>
      <c r="I1905" s="5"/>
    </row>
    <row r="1907" spans="2:9" x14ac:dyDescent="0.2">
      <c r="B1907" s="2"/>
      <c r="C1907" s="11"/>
      <c r="D1907" s="1"/>
      <c r="E1907" s="5"/>
      <c r="F1907" s="5"/>
      <c r="G1907" s="5"/>
      <c r="H1907" s="5"/>
      <c r="I1907" s="5"/>
    </row>
    <row r="1909" spans="2:9" x14ac:dyDescent="0.2">
      <c r="B1909" s="2"/>
      <c r="C1909" s="11"/>
      <c r="D1909" s="1"/>
      <c r="E1909" s="5"/>
      <c r="F1909" s="5"/>
      <c r="G1909" s="5"/>
      <c r="H1909" s="5"/>
      <c r="I1909" s="5"/>
    </row>
    <row r="1911" spans="2:9" x14ac:dyDescent="0.2">
      <c r="B1911" s="2"/>
      <c r="C1911" s="11"/>
      <c r="D1911" s="1"/>
      <c r="E1911" s="5"/>
      <c r="F1911" s="5"/>
      <c r="G1911" s="5"/>
      <c r="H1911" s="5"/>
      <c r="I1911" s="5"/>
    </row>
    <row r="1913" spans="2:9" x14ac:dyDescent="0.2">
      <c r="B1913" s="2"/>
      <c r="C1913" s="11"/>
      <c r="D1913" s="1"/>
      <c r="E1913" s="5"/>
      <c r="F1913" s="5"/>
      <c r="G1913" s="5"/>
      <c r="H1913" s="5"/>
      <c r="I1913" s="5"/>
    </row>
    <row r="1915" spans="2:9" x14ac:dyDescent="0.2">
      <c r="B1915" s="2"/>
      <c r="C1915" s="11"/>
      <c r="D1915" s="1"/>
      <c r="E1915" s="5"/>
      <c r="F1915" s="5"/>
      <c r="G1915" s="5"/>
      <c r="H1915" s="5"/>
      <c r="I1915" s="5"/>
    </row>
    <row r="1920" spans="2:9" x14ac:dyDescent="0.2">
      <c r="B1920" s="2"/>
      <c r="C1920" s="11"/>
      <c r="D1920" s="1"/>
      <c r="E1920" s="5"/>
      <c r="F1920" s="5"/>
      <c r="G1920" s="5"/>
      <c r="H1920" s="5"/>
      <c r="I1920" s="5"/>
    </row>
    <row r="1922" spans="2:9" x14ac:dyDescent="0.2">
      <c r="C1922" s="11"/>
      <c r="D1922" s="1"/>
      <c r="E1922" s="5"/>
      <c r="F1922" s="5"/>
      <c r="G1922" s="5"/>
      <c r="H1922" s="5"/>
      <c r="I1922" s="5"/>
    </row>
    <row r="1924" spans="2:9" x14ac:dyDescent="0.2">
      <c r="B1924" s="2"/>
      <c r="C1924" s="11"/>
      <c r="D1924" s="1"/>
      <c r="E1924" s="5"/>
      <c r="F1924" s="5"/>
      <c r="G1924" s="5"/>
      <c r="H1924" s="5"/>
      <c r="I1924" s="5"/>
    </row>
    <row r="1926" spans="2:9" x14ac:dyDescent="0.2">
      <c r="B1926" s="2"/>
      <c r="C1926" s="11"/>
      <c r="D1926" s="1"/>
      <c r="E1926" s="5"/>
      <c r="F1926" s="5"/>
      <c r="G1926" s="5"/>
      <c r="H1926" s="5"/>
      <c r="I1926" s="5"/>
    </row>
    <row r="1930" spans="2:9" x14ac:dyDescent="0.2">
      <c r="B1930" s="2"/>
      <c r="C1930" s="11"/>
      <c r="D1930" s="1"/>
      <c r="E1930" s="5"/>
      <c r="F1930" s="5"/>
      <c r="G1930" s="5"/>
      <c r="H1930" s="5"/>
      <c r="I1930" s="5"/>
    </row>
    <row r="1934" spans="2:9" x14ac:dyDescent="0.2">
      <c r="B1934" s="2"/>
      <c r="C1934" s="11"/>
      <c r="D1934" s="1"/>
      <c r="E1934" s="5"/>
      <c r="F1934" s="5"/>
      <c r="G1934" s="5"/>
      <c r="H1934" s="5"/>
      <c r="I1934" s="5"/>
    </row>
    <row r="1936" spans="2:9" x14ac:dyDescent="0.2">
      <c r="B1936" s="2"/>
      <c r="C1936" s="11"/>
      <c r="D1936" s="1"/>
      <c r="E1936" s="5"/>
      <c r="F1936" s="5"/>
      <c r="G1936" s="5"/>
      <c r="H1936" s="5"/>
      <c r="I1936" s="5"/>
    </row>
    <row r="1938" spans="2:9" x14ac:dyDescent="0.2">
      <c r="B1938" s="2"/>
      <c r="C1938" s="11"/>
      <c r="D1938" s="1"/>
      <c r="E1938" s="5"/>
      <c r="F1938" s="5"/>
      <c r="G1938" s="5"/>
      <c r="H1938" s="5"/>
      <c r="I1938" s="5"/>
    </row>
    <row r="1940" spans="2:9" x14ac:dyDescent="0.2">
      <c r="B1940" s="2"/>
      <c r="C1940" s="11"/>
      <c r="D1940" s="1"/>
      <c r="E1940" s="5"/>
      <c r="F1940" s="5"/>
      <c r="G1940" s="5"/>
      <c r="H1940" s="5"/>
      <c r="I1940" s="5"/>
    </row>
    <row r="1942" spans="2:9" x14ac:dyDescent="0.2">
      <c r="B1942" s="2"/>
      <c r="C1942" s="11"/>
      <c r="D1942" s="1"/>
      <c r="E1942" s="5"/>
      <c r="F1942" s="5"/>
      <c r="G1942" s="5"/>
      <c r="H1942" s="5"/>
      <c r="I1942" s="5"/>
    </row>
    <row r="1945" spans="2:9" x14ac:dyDescent="0.2">
      <c r="B1945" s="2"/>
      <c r="C1945" s="11"/>
      <c r="D1945" s="1"/>
      <c r="E1945" s="5"/>
      <c r="F1945" s="5"/>
      <c r="G1945" s="5"/>
      <c r="H1945" s="5"/>
      <c r="I1945" s="5"/>
    </row>
    <row r="1947" spans="2:9" x14ac:dyDescent="0.2">
      <c r="B1947" s="2"/>
      <c r="C1947" s="11"/>
      <c r="D1947" s="1"/>
      <c r="E1947" s="5"/>
      <c r="F1947" s="5"/>
      <c r="G1947" s="5"/>
      <c r="H1947" s="5"/>
      <c r="I1947" s="5"/>
    </row>
    <row r="1949" spans="2:9" x14ac:dyDescent="0.2">
      <c r="B1949" s="2"/>
      <c r="C1949" s="11"/>
      <c r="D1949" s="1"/>
      <c r="E1949" s="5"/>
      <c r="F1949" s="5"/>
      <c r="G1949" s="5"/>
      <c r="H1949" s="5"/>
      <c r="I1949" s="5"/>
    </row>
    <row r="1950" spans="2:9" x14ac:dyDescent="0.2">
      <c r="B1950" s="2"/>
      <c r="C1950" s="11"/>
      <c r="D1950" s="1"/>
      <c r="E1950" s="5"/>
      <c r="F1950" s="5"/>
      <c r="G1950" s="5"/>
      <c r="H1950" s="5"/>
      <c r="I1950" s="5"/>
    </row>
    <row r="1951" spans="2:9" x14ac:dyDescent="0.2">
      <c r="B1951" s="2"/>
      <c r="C1951" s="11"/>
      <c r="D1951" s="1"/>
      <c r="E1951" s="5"/>
      <c r="F1951" s="5"/>
      <c r="G1951" s="5"/>
      <c r="H1951" s="5"/>
      <c r="I1951" s="5"/>
    </row>
    <row r="1953" spans="2:9" x14ac:dyDescent="0.2">
      <c r="B1953" s="2"/>
      <c r="C1953" s="11"/>
      <c r="D1953" s="1"/>
      <c r="E1953" s="5"/>
      <c r="F1953" s="5"/>
      <c r="G1953" s="5"/>
      <c r="H1953" s="5"/>
      <c r="I1953" s="5"/>
    </row>
    <row r="1955" spans="2:9" x14ac:dyDescent="0.2">
      <c r="B1955" s="2"/>
      <c r="C1955" s="11"/>
      <c r="D1955" s="1"/>
      <c r="E1955" s="5"/>
      <c r="F1955" s="5"/>
      <c r="G1955" s="5"/>
      <c r="H1955" s="5"/>
      <c r="I1955" s="5"/>
    </row>
    <row r="1957" spans="2:9" x14ac:dyDescent="0.2">
      <c r="B1957" s="2"/>
      <c r="C1957" s="11"/>
      <c r="D1957" s="1"/>
      <c r="E1957" s="5"/>
      <c r="F1957" s="5"/>
      <c r="G1957" s="5"/>
      <c r="H1957" s="5"/>
      <c r="I1957" s="5"/>
    </row>
    <row r="1959" spans="2:9" x14ac:dyDescent="0.2">
      <c r="B1959" s="2"/>
      <c r="C1959" s="11"/>
      <c r="D1959" s="1"/>
      <c r="E1959" s="5"/>
      <c r="F1959" s="5"/>
      <c r="G1959" s="5"/>
      <c r="H1959" s="5"/>
      <c r="I1959" s="5"/>
    </row>
    <row r="1969" spans="2:9" x14ac:dyDescent="0.2">
      <c r="B1969" s="2"/>
      <c r="C1969" s="11"/>
      <c r="D1969" s="1"/>
      <c r="E1969" s="5"/>
      <c r="F1969" s="5"/>
      <c r="G1969" s="5"/>
      <c r="H1969" s="5"/>
      <c r="I1969" s="5"/>
    </row>
    <row r="1971" spans="2:9" x14ac:dyDescent="0.2">
      <c r="B1971" s="2"/>
      <c r="C1971" s="11"/>
      <c r="D1971" s="1"/>
      <c r="E1971" s="5"/>
      <c r="F1971" s="5"/>
      <c r="G1971" s="5"/>
      <c r="H1971" s="5"/>
      <c r="I1971" s="5"/>
    </row>
    <row r="1973" spans="2:9" x14ac:dyDescent="0.2">
      <c r="B1973" s="2"/>
      <c r="C1973" s="11"/>
      <c r="D1973" s="1"/>
      <c r="E1973" s="5"/>
      <c r="F1973" s="5"/>
      <c r="G1973" s="5"/>
      <c r="H1973" s="5"/>
      <c r="I1973" s="5"/>
    </row>
    <row r="1975" spans="2:9" x14ac:dyDescent="0.2">
      <c r="B1975" s="2"/>
      <c r="C1975" s="11"/>
      <c r="D1975" s="1"/>
      <c r="E1975" s="5"/>
      <c r="F1975" s="5"/>
      <c r="G1975" s="5"/>
      <c r="H1975" s="5"/>
      <c r="I1975" s="5"/>
    </row>
    <row r="1977" spans="2:9" x14ac:dyDescent="0.2">
      <c r="B1977" s="2"/>
      <c r="C1977" s="11"/>
      <c r="D1977" s="1"/>
      <c r="E1977" s="5"/>
      <c r="F1977" s="5"/>
      <c r="G1977" s="5"/>
      <c r="H1977" s="5"/>
      <c r="I1977" s="5"/>
    </row>
    <row r="1979" spans="2:9" x14ac:dyDescent="0.2">
      <c r="B1979" s="2"/>
      <c r="C1979" s="11"/>
      <c r="D1979" s="1"/>
      <c r="E1979" s="5"/>
      <c r="F1979" s="5"/>
      <c r="G1979" s="5"/>
      <c r="H1979" s="5"/>
      <c r="I1979" s="5"/>
    </row>
    <row r="1980" spans="2:9" x14ac:dyDescent="0.2">
      <c r="B1980" s="2"/>
      <c r="C1980" s="11"/>
      <c r="D1980" s="1"/>
      <c r="E1980" s="5"/>
      <c r="F1980" s="5"/>
      <c r="G1980" s="5"/>
      <c r="H1980" s="5"/>
      <c r="I1980" s="5"/>
    </row>
    <row r="1983" spans="2:9" x14ac:dyDescent="0.2">
      <c r="B1983" s="2"/>
      <c r="C1983" s="11"/>
      <c r="D1983" s="1"/>
      <c r="E1983" s="5"/>
      <c r="F1983" s="5"/>
      <c r="G1983" s="5"/>
      <c r="H1983" s="5"/>
      <c r="I1983" s="5"/>
    </row>
    <row r="1985" spans="2:9" x14ac:dyDescent="0.2">
      <c r="B1985" s="2"/>
      <c r="C1985" s="11"/>
      <c r="D1985" s="1"/>
      <c r="E1985" s="5"/>
      <c r="F1985" s="5"/>
      <c r="G1985" s="5"/>
      <c r="H1985" s="5"/>
      <c r="I1985" s="5"/>
    </row>
    <row r="1987" spans="2:9" x14ac:dyDescent="0.2">
      <c r="B1987" s="2"/>
      <c r="C1987" s="11"/>
      <c r="D1987" s="1"/>
      <c r="E1987" s="5"/>
      <c r="F1987" s="5"/>
      <c r="G1987" s="5"/>
      <c r="H1987" s="5"/>
      <c r="I1987" s="5"/>
    </row>
    <row r="1990" spans="2:9" x14ac:dyDescent="0.2">
      <c r="B1990" s="2"/>
      <c r="C1990" s="11"/>
      <c r="D1990" s="1"/>
      <c r="E1990" s="5"/>
      <c r="F1990" s="5"/>
      <c r="G1990" s="5"/>
      <c r="H1990" s="5"/>
      <c r="I1990" s="5"/>
    </row>
    <row r="1992" spans="2:9" x14ac:dyDescent="0.2">
      <c r="B1992" s="2"/>
      <c r="C1992" s="11"/>
      <c r="D1992" s="1"/>
      <c r="E1992" s="5"/>
      <c r="F1992" s="5"/>
      <c r="G1992" s="5"/>
      <c r="H1992" s="5"/>
      <c r="I1992" s="5"/>
    </row>
    <row r="1994" spans="2:9" x14ac:dyDescent="0.2">
      <c r="B1994" s="2"/>
      <c r="C1994" s="11"/>
      <c r="D1994" s="1"/>
      <c r="E1994" s="5"/>
      <c r="F1994" s="5"/>
      <c r="G1994" s="5"/>
      <c r="H1994" s="5"/>
      <c r="I1994" s="5"/>
    </row>
    <row r="1997" spans="2:9" x14ac:dyDescent="0.2">
      <c r="B1997" s="2"/>
      <c r="C1997" s="11"/>
      <c r="D1997" s="1"/>
      <c r="E1997" s="5"/>
      <c r="F1997" s="5"/>
      <c r="G1997" s="5"/>
      <c r="H1997" s="5"/>
      <c r="I1997" s="5"/>
    </row>
    <row r="2000" spans="2:9" x14ac:dyDescent="0.2">
      <c r="B2000" s="2"/>
      <c r="C2000" s="11"/>
      <c r="D2000" s="1"/>
      <c r="E2000" s="5"/>
      <c r="F2000" s="5"/>
      <c r="G2000" s="5"/>
      <c r="H2000" s="5"/>
      <c r="I2000" s="5"/>
    </row>
    <row r="2002" spans="2:9" x14ac:dyDescent="0.2">
      <c r="B2002" s="2"/>
      <c r="C2002" s="11"/>
      <c r="D2002" s="1"/>
      <c r="E2002" s="5"/>
      <c r="F2002" s="5"/>
      <c r="G2002" s="5"/>
      <c r="H2002" s="5"/>
      <c r="I2002" s="5"/>
    </row>
    <row r="2004" spans="2:9" x14ac:dyDescent="0.2">
      <c r="B2004" s="2"/>
      <c r="C2004" s="11"/>
      <c r="D2004" s="1"/>
      <c r="E2004" s="5"/>
      <c r="F2004" s="5"/>
      <c r="G2004" s="5"/>
      <c r="H2004" s="5"/>
      <c r="I2004" s="5"/>
    </row>
    <row r="2006" spans="2:9" x14ac:dyDescent="0.2">
      <c r="B2006" s="2"/>
      <c r="C2006" s="11"/>
      <c r="D2006" s="1"/>
      <c r="E2006" s="5"/>
      <c r="F2006" s="5"/>
      <c r="G2006" s="5"/>
      <c r="H2006" s="5"/>
      <c r="I2006" s="5"/>
    </row>
    <row r="2420" spans="2:9" x14ac:dyDescent="0.2">
      <c r="B2420" s="2"/>
      <c r="C2420" s="11"/>
      <c r="D2420" s="1"/>
      <c r="E2420" s="5"/>
      <c r="F2420" s="5"/>
      <c r="G2420" s="5"/>
      <c r="H2420" s="5"/>
      <c r="I2420" s="5"/>
    </row>
    <row r="2422" spans="2:9" x14ac:dyDescent="0.2">
      <c r="B2422" s="2"/>
      <c r="C2422" s="11"/>
      <c r="D2422" s="1"/>
      <c r="E2422" s="5"/>
      <c r="F2422" s="5"/>
      <c r="G2422" s="5"/>
      <c r="H2422" s="5"/>
      <c r="I2422" s="5"/>
    </row>
    <row r="2425" spans="2:9" x14ac:dyDescent="0.2">
      <c r="B2425" s="2"/>
      <c r="C2425" s="11"/>
      <c r="D2425" s="1"/>
      <c r="E2425" s="5"/>
      <c r="F2425" s="5"/>
      <c r="G2425" s="5"/>
      <c r="H2425" s="5"/>
      <c r="I2425" s="5"/>
    </row>
    <row r="2427" spans="2:9" x14ac:dyDescent="0.2">
      <c r="B2427" s="2"/>
      <c r="C2427" s="11"/>
      <c r="D2427" s="1"/>
      <c r="E2427" s="5"/>
      <c r="F2427" s="5"/>
      <c r="G2427" s="5"/>
      <c r="H2427" s="5"/>
      <c r="I2427" s="5"/>
    </row>
    <row r="2430" spans="2:9" x14ac:dyDescent="0.2">
      <c r="B2430" s="2"/>
      <c r="C2430" s="11"/>
      <c r="D2430" s="1"/>
      <c r="E2430" s="5"/>
      <c r="F2430" s="5"/>
      <c r="G2430" s="5"/>
      <c r="H2430" s="5"/>
      <c r="I2430" s="5"/>
    </row>
    <row r="2432" spans="2:9" x14ac:dyDescent="0.2">
      <c r="B2432" s="2"/>
      <c r="C2432" s="11"/>
      <c r="D2432" s="1"/>
      <c r="E2432" s="5"/>
      <c r="F2432" s="5"/>
      <c r="G2432" s="5"/>
      <c r="H2432" s="5"/>
      <c r="I2432" s="5"/>
    </row>
    <row r="2433" spans="2:9" x14ac:dyDescent="0.2">
      <c r="B2433" s="2"/>
      <c r="C2433" s="11"/>
      <c r="D2433" s="1"/>
      <c r="E2433" s="5"/>
      <c r="F2433" s="5"/>
      <c r="G2433" s="5"/>
      <c r="H2433" s="5"/>
      <c r="I2433" s="5"/>
    </row>
    <row r="2434" spans="2:9" x14ac:dyDescent="0.2">
      <c r="B2434" s="2"/>
      <c r="C2434" s="11"/>
      <c r="D2434" s="1"/>
      <c r="E2434" s="5"/>
      <c r="F2434" s="5"/>
      <c r="G2434" s="5"/>
      <c r="H2434" s="5"/>
      <c r="I2434" s="5"/>
    </row>
    <row r="2435" spans="2:9" x14ac:dyDescent="0.2">
      <c r="B2435" s="2"/>
      <c r="C2435" s="11"/>
      <c r="D2435" s="1"/>
      <c r="E2435" s="5"/>
      <c r="F2435" s="5"/>
      <c r="G2435" s="5"/>
      <c r="H2435" s="5"/>
      <c r="I2435" s="5"/>
    </row>
    <row r="2437" spans="2:9" x14ac:dyDescent="0.2">
      <c r="B2437" s="2"/>
      <c r="C2437" s="11"/>
      <c r="D2437" s="1"/>
      <c r="E2437" s="5"/>
      <c r="F2437" s="5"/>
      <c r="G2437" s="5"/>
      <c r="H2437" s="5"/>
      <c r="I2437" s="5"/>
    </row>
    <row r="2439" spans="2:9" x14ac:dyDescent="0.2">
      <c r="B2439" s="2"/>
      <c r="C2439" s="11"/>
      <c r="D2439" s="1"/>
      <c r="E2439" s="5"/>
      <c r="F2439" s="5"/>
      <c r="G2439" s="5"/>
      <c r="H2439" s="5"/>
      <c r="I2439" s="5"/>
    </row>
    <row r="2464" spans="2:9" x14ac:dyDescent="0.2">
      <c r="B2464" s="2"/>
      <c r="C2464" s="11"/>
      <c r="D2464" s="1"/>
      <c r="E2464" s="5"/>
      <c r="F2464" s="5"/>
      <c r="G2464" s="5"/>
      <c r="H2464" s="5"/>
      <c r="I2464" s="5"/>
    </row>
    <row r="2468" spans="2:9" x14ac:dyDescent="0.2">
      <c r="B2468" s="2"/>
      <c r="C2468" s="11"/>
      <c r="D2468" s="1"/>
      <c r="E2468" s="5"/>
      <c r="F2468" s="5"/>
      <c r="G2468" s="5"/>
      <c r="H2468" s="5"/>
      <c r="I2468" s="5"/>
    </row>
    <row r="2470" spans="2:9" x14ac:dyDescent="0.2">
      <c r="B2470" s="2"/>
      <c r="C2470" s="11"/>
      <c r="D2470" s="1"/>
      <c r="E2470" s="5"/>
      <c r="F2470" s="5"/>
      <c r="G2470" s="5"/>
      <c r="H2470" s="5"/>
      <c r="I2470" s="5"/>
    </row>
    <row r="2472" spans="2:9" x14ac:dyDescent="0.2">
      <c r="B2472" s="2"/>
      <c r="C2472" s="11"/>
      <c r="D2472" s="1"/>
      <c r="E2472" s="5"/>
      <c r="F2472" s="5"/>
      <c r="G2472" s="5"/>
      <c r="H2472" s="5"/>
      <c r="I2472" s="5"/>
    </row>
    <row r="2474" spans="2:9" x14ac:dyDescent="0.2">
      <c r="B2474" s="2"/>
      <c r="C2474" s="11"/>
      <c r="D2474" s="1"/>
      <c r="E2474" s="5"/>
      <c r="F2474" s="5"/>
      <c r="G2474" s="5"/>
      <c r="H2474" s="5"/>
      <c r="I2474" s="5"/>
    </row>
    <row r="2476" spans="2:9" x14ac:dyDescent="0.2">
      <c r="B2476" s="2"/>
      <c r="C2476" s="11"/>
      <c r="D2476" s="1"/>
      <c r="E2476" s="5"/>
      <c r="F2476" s="5"/>
      <c r="G2476" s="5"/>
      <c r="H2476" s="5"/>
      <c r="I2476" s="5"/>
    </row>
    <row r="2478" spans="2:9" x14ac:dyDescent="0.2">
      <c r="B2478" s="2"/>
      <c r="C2478" s="11"/>
      <c r="D2478" s="1"/>
      <c r="E2478" s="5"/>
      <c r="F2478" s="5"/>
      <c r="G2478" s="5"/>
      <c r="H2478" s="5"/>
      <c r="I2478" s="5"/>
    </row>
    <row r="2482" spans="2:9" x14ac:dyDescent="0.2">
      <c r="B2482" s="2"/>
      <c r="C2482" s="11"/>
      <c r="D2482" s="1"/>
      <c r="E2482" s="5"/>
      <c r="F2482" s="5"/>
      <c r="G2482" s="5"/>
      <c r="H2482" s="5"/>
      <c r="I2482" s="5"/>
    </row>
    <row r="2484" spans="2:9" x14ac:dyDescent="0.2">
      <c r="B2484" s="2"/>
      <c r="C2484" s="11"/>
      <c r="D2484" s="1"/>
      <c r="E2484" s="5"/>
      <c r="F2484" s="5"/>
      <c r="G2484" s="5"/>
      <c r="H2484" s="5"/>
      <c r="I2484" s="5"/>
    </row>
    <row r="2487" spans="2:9" x14ac:dyDescent="0.2">
      <c r="B2487" s="2"/>
      <c r="C2487" s="11"/>
      <c r="D2487" s="1"/>
      <c r="E2487" s="5"/>
      <c r="F2487" s="5"/>
      <c r="G2487" s="5"/>
      <c r="H2487" s="5"/>
      <c r="I2487" s="5"/>
    </row>
    <row r="2490" spans="2:9" x14ac:dyDescent="0.2">
      <c r="B2490" s="2"/>
      <c r="C2490" s="11"/>
      <c r="D2490" s="1"/>
      <c r="E2490" s="5"/>
      <c r="F2490" s="5"/>
      <c r="G2490" s="5"/>
      <c r="H2490" s="5"/>
      <c r="I2490" s="5"/>
    </row>
    <row r="2492" spans="2:9" x14ac:dyDescent="0.2">
      <c r="B2492" s="2"/>
      <c r="C2492" s="11"/>
      <c r="D2492" s="1"/>
      <c r="E2492" s="5"/>
      <c r="F2492" s="5"/>
      <c r="G2492" s="5"/>
      <c r="H2492" s="5"/>
      <c r="I2492" s="5"/>
    </row>
    <row r="2494" spans="2:9" x14ac:dyDescent="0.2">
      <c r="B2494" s="2"/>
      <c r="C2494" s="11"/>
      <c r="D2494" s="1"/>
      <c r="E2494" s="5"/>
      <c r="F2494" s="5"/>
      <c r="G2494" s="5"/>
      <c r="H2494" s="5"/>
      <c r="I2494" s="5"/>
    </row>
    <row r="2496" spans="2:9" x14ac:dyDescent="0.2">
      <c r="B2496" s="2"/>
      <c r="C2496" s="11"/>
      <c r="D2496" s="1"/>
      <c r="E2496" s="5"/>
      <c r="F2496" s="5"/>
      <c r="G2496" s="5"/>
      <c r="H2496" s="5"/>
      <c r="I2496" s="5"/>
    </row>
    <row r="2498" spans="2:9" x14ac:dyDescent="0.2">
      <c r="B2498" s="2"/>
      <c r="C2498" s="11"/>
      <c r="D2498" s="1"/>
      <c r="E2498" s="5"/>
      <c r="F2498" s="5"/>
      <c r="G2498" s="5"/>
      <c r="H2498" s="5"/>
      <c r="I2498" s="5"/>
    </row>
    <row r="2499" spans="2:9" x14ac:dyDescent="0.2">
      <c r="B2499" s="2"/>
      <c r="C2499" s="11"/>
      <c r="D2499" s="1"/>
      <c r="E2499" s="5"/>
      <c r="F2499" s="5"/>
      <c r="G2499" s="5"/>
      <c r="H2499" s="5"/>
      <c r="I2499" s="5"/>
    </row>
    <row r="2500" spans="2:9" x14ac:dyDescent="0.2">
      <c r="B2500" s="2"/>
      <c r="C2500" s="11"/>
      <c r="D2500" s="1"/>
      <c r="E2500" s="5"/>
      <c r="F2500" s="5"/>
      <c r="G2500" s="5"/>
      <c r="H2500" s="5"/>
      <c r="I2500" s="5"/>
    </row>
    <row r="2504" spans="2:9" x14ac:dyDescent="0.2">
      <c r="B2504" s="2"/>
      <c r="C2504" s="11"/>
      <c r="D2504" s="1"/>
      <c r="E2504" s="5"/>
      <c r="F2504" s="5"/>
      <c r="G2504" s="5"/>
      <c r="H2504" s="5"/>
      <c r="I2504" s="5"/>
    </row>
    <row r="2507" spans="2:9" x14ac:dyDescent="0.2">
      <c r="C2507" s="11"/>
      <c r="D2507" s="1"/>
      <c r="E2507" s="5"/>
      <c r="F2507" s="5"/>
      <c r="G2507" s="5"/>
      <c r="H2507" s="5"/>
      <c r="I2507" s="5"/>
    </row>
    <row r="2511" spans="2:9" x14ac:dyDescent="0.2">
      <c r="C2511" s="11"/>
      <c r="D2511" s="1"/>
      <c r="E2511" s="5"/>
      <c r="F2511" s="5"/>
      <c r="G2511" s="5"/>
      <c r="H2511" s="5"/>
      <c r="I2511" s="5"/>
    </row>
    <row r="2515" spans="2:9" x14ac:dyDescent="0.2">
      <c r="B2515" s="2"/>
      <c r="C2515" s="11"/>
      <c r="D2515" s="1"/>
      <c r="E2515" s="5"/>
      <c r="F2515" s="5"/>
      <c r="G2515" s="5"/>
      <c r="H2515" s="5"/>
      <c r="I2515" s="5"/>
    </row>
    <row r="2517" spans="2:9" x14ac:dyDescent="0.2">
      <c r="B2517" s="2"/>
      <c r="C2517" s="11"/>
      <c r="D2517" s="1"/>
      <c r="E2517" s="5"/>
      <c r="F2517" s="5"/>
      <c r="G2517" s="5"/>
      <c r="H2517" s="5"/>
      <c r="I2517" s="5"/>
    </row>
    <row r="2520" spans="2:9" x14ac:dyDescent="0.2">
      <c r="B2520" s="2"/>
      <c r="C2520" s="11"/>
      <c r="D2520" s="1"/>
      <c r="E2520" s="5"/>
      <c r="F2520" s="5"/>
      <c r="G2520" s="5"/>
      <c r="H2520" s="5"/>
      <c r="I2520" s="5"/>
    </row>
    <row r="2523" spans="2:9" x14ac:dyDescent="0.2">
      <c r="B2523" s="2"/>
      <c r="C2523" s="11"/>
      <c r="D2523" s="1"/>
      <c r="E2523" s="5"/>
      <c r="F2523" s="5"/>
      <c r="G2523" s="5"/>
      <c r="H2523" s="5"/>
      <c r="I2523" s="5"/>
    </row>
    <row r="2527" spans="2:9" x14ac:dyDescent="0.2">
      <c r="B2527" s="2"/>
      <c r="C2527" s="11"/>
      <c r="D2527" s="1"/>
      <c r="E2527" s="5"/>
      <c r="F2527" s="5"/>
      <c r="G2527" s="5"/>
      <c r="H2527" s="5"/>
      <c r="I2527" s="5"/>
    </row>
    <row r="2529" spans="3:9" x14ac:dyDescent="0.2">
      <c r="C2529" s="11"/>
      <c r="D2529" s="1"/>
      <c r="E2529" s="5"/>
      <c r="F2529" s="5"/>
      <c r="G2529" s="5"/>
      <c r="H2529" s="5"/>
      <c r="I2529" s="5"/>
    </row>
    <row r="2533" spans="3:9" x14ac:dyDescent="0.2">
      <c r="C2533" s="11"/>
      <c r="D2533" s="1"/>
      <c r="E2533" s="5"/>
      <c r="F2533" s="5"/>
      <c r="G2533" s="5"/>
      <c r="H2533" s="5"/>
      <c r="I2533" s="5"/>
    </row>
    <row r="2537" spans="3:9" x14ac:dyDescent="0.2">
      <c r="C2537" s="11"/>
      <c r="D2537" s="1"/>
      <c r="E2537" s="5"/>
      <c r="F2537" s="5"/>
      <c r="G2537" s="5"/>
      <c r="H2537" s="5"/>
      <c r="I2537" s="5"/>
    </row>
    <row r="2539" spans="3:9" x14ac:dyDescent="0.2">
      <c r="C2539" s="11"/>
      <c r="D2539" s="1"/>
      <c r="E2539" s="5"/>
      <c r="F2539" s="5"/>
      <c r="G2539" s="5"/>
      <c r="H2539" s="5"/>
      <c r="I2539" s="5"/>
    </row>
    <row r="2540" spans="3:9" x14ac:dyDescent="0.2">
      <c r="C2540" s="11"/>
      <c r="D2540" s="1"/>
      <c r="E2540" s="5"/>
      <c r="F2540" s="5"/>
      <c r="G2540" s="5"/>
      <c r="H2540" s="5"/>
      <c r="I2540" s="5"/>
    </row>
    <row r="2543" spans="3:9" x14ac:dyDescent="0.2">
      <c r="C2543" s="11"/>
      <c r="D2543" s="6"/>
      <c r="E2543" s="6"/>
      <c r="F2543" s="6"/>
      <c r="G2543" s="6"/>
      <c r="H2543" s="6"/>
      <c r="I2543" s="6"/>
    </row>
    <row r="2545" spans="2:9" x14ac:dyDescent="0.2">
      <c r="C2545" s="11"/>
      <c r="D2545" s="1"/>
      <c r="E2545" s="5"/>
      <c r="F2545" s="5"/>
      <c r="G2545" s="5"/>
      <c r="H2545" s="5"/>
      <c r="I2545" s="5"/>
    </row>
    <row r="2546" spans="2:9" x14ac:dyDescent="0.2">
      <c r="C2546" s="11"/>
      <c r="D2546" s="1"/>
      <c r="E2546" s="5"/>
      <c r="F2546" s="5"/>
      <c r="G2546" s="5"/>
      <c r="H2546" s="5"/>
      <c r="I2546" s="5"/>
    </row>
    <row r="2547" spans="2:9" x14ac:dyDescent="0.2">
      <c r="C2547" s="11"/>
      <c r="D2547" s="1"/>
      <c r="E2547" s="5"/>
      <c r="F2547" s="5"/>
      <c r="G2547" s="5"/>
      <c r="H2547" s="5"/>
      <c r="I2547" s="5"/>
    </row>
    <row r="2550" spans="2:9" x14ac:dyDescent="0.2">
      <c r="B2550" s="2"/>
      <c r="C2550" s="11"/>
      <c r="D2550" s="1"/>
      <c r="E2550" s="5"/>
      <c r="F2550" s="5"/>
      <c r="G2550" s="5"/>
      <c r="H2550" s="5"/>
      <c r="I2550" s="5"/>
    </row>
    <row r="2552" spans="2:9" x14ac:dyDescent="0.2">
      <c r="B2552" s="2"/>
      <c r="C2552" s="11"/>
      <c r="D2552" s="1"/>
      <c r="E2552" s="5"/>
      <c r="F2552" s="5"/>
      <c r="G2552" s="5"/>
      <c r="H2552" s="5"/>
      <c r="I2552" s="5"/>
    </row>
    <row r="2554" spans="2:9" x14ac:dyDescent="0.2">
      <c r="B2554" s="2"/>
      <c r="C2554" s="11"/>
      <c r="D2554" s="1"/>
      <c r="E2554" s="5"/>
      <c r="F2554" s="5"/>
      <c r="G2554" s="5"/>
      <c r="H2554" s="5"/>
      <c r="I2554" s="5"/>
    </row>
    <row r="2557" spans="2:9" x14ac:dyDescent="0.2">
      <c r="B2557" s="2"/>
      <c r="C2557" s="11"/>
      <c r="D2557" s="1"/>
      <c r="E2557" s="5"/>
      <c r="F2557" s="5"/>
      <c r="G2557" s="5"/>
      <c r="H2557" s="5"/>
      <c r="I2557" s="5"/>
    </row>
    <row r="2559" spans="2:9" x14ac:dyDescent="0.2">
      <c r="B2559" s="2"/>
      <c r="C2559" s="11"/>
      <c r="D2559" s="1"/>
      <c r="E2559" s="5"/>
      <c r="F2559" s="5"/>
      <c r="G2559" s="5"/>
      <c r="H2559" s="5"/>
      <c r="I2559" s="5"/>
    </row>
    <row r="2561" spans="2:9" x14ac:dyDescent="0.2">
      <c r="B2561" s="2"/>
      <c r="C2561" s="11"/>
      <c r="D2561" s="1"/>
      <c r="E2561" s="5"/>
      <c r="F2561" s="5"/>
      <c r="G2561" s="5"/>
      <c r="H2561" s="5"/>
      <c r="I2561" s="5"/>
    </row>
    <row r="2563" spans="2:9" x14ac:dyDescent="0.2">
      <c r="B2563" s="2"/>
      <c r="C2563" s="11"/>
      <c r="D2563" s="1"/>
      <c r="E2563" s="5"/>
      <c r="F2563" s="5"/>
      <c r="G2563" s="5"/>
      <c r="H2563" s="5"/>
      <c r="I2563" s="5"/>
    </row>
    <row r="2565" spans="2:9" x14ac:dyDescent="0.2">
      <c r="B2565" s="2"/>
      <c r="C2565" s="11"/>
      <c r="D2565" s="1"/>
      <c r="E2565" s="5"/>
      <c r="F2565" s="5"/>
      <c r="G2565" s="5"/>
      <c r="H2565" s="5"/>
      <c r="I2565" s="5"/>
    </row>
    <row r="2567" spans="2:9" x14ac:dyDescent="0.2">
      <c r="C2567" s="11"/>
      <c r="D2567" s="1"/>
      <c r="E2567" s="5"/>
      <c r="F2567" s="5"/>
      <c r="G2567" s="5"/>
      <c r="H2567" s="5"/>
      <c r="I2567" s="5"/>
    </row>
    <row r="2569" spans="2:9" x14ac:dyDescent="0.2">
      <c r="B2569" s="2"/>
      <c r="C2569" s="11"/>
      <c r="D2569" s="1"/>
      <c r="E2569" s="5"/>
      <c r="F2569" s="5"/>
      <c r="G2569" s="5"/>
      <c r="H2569" s="5"/>
      <c r="I2569" s="5"/>
    </row>
    <row r="2572" spans="2:9" x14ac:dyDescent="0.2">
      <c r="B2572" s="2"/>
      <c r="C2572" s="11"/>
      <c r="D2572" s="1"/>
      <c r="E2572" s="5"/>
      <c r="F2572" s="5"/>
      <c r="G2572" s="5"/>
      <c r="H2572" s="5"/>
      <c r="I2572" s="5"/>
    </row>
    <row r="2576" spans="2:9" x14ac:dyDescent="0.2">
      <c r="B2576" s="2"/>
      <c r="C2576" s="11"/>
      <c r="D2576" s="1"/>
      <c r="E2576" s="5"/>
      <c r="F2576" s="5"/>
      <c r="G2576" s="5"/>
      <c r="H2576" s="5"/>
      <c r="I2576" s="5"/>
    </row>
    <row r="2578" spans="2:9" x14ac:dyDescent="0.2">
      <c r="B2578" s="2"/>
      <c r="C2578" s="11"/>
      <c r="D2578" s="1"/>
      <c r="E2578" s="5"/>
      <c r="F2578" s="5"/>
      <c r="G2578" s="5"/>
      <c r="H2578" s="5"/>
      <c r="I2578" s="5"/>
    </row>
    <row r="2580" spans="2:9" x14ac:dyDescent="0.2">
      <c r="B2580" s="2"/>
      <c r="C2580" s="11"/>
      <c r="D2580" s="1"/>
      <c r="E2580" s="5"/>
      <c r="F2580" s="5"/>
      <c r="G2580" s="5"/>
      <c r="H2580" s="5"/>
      <c r="I2580" s="5"/>
    </row>
    <row r="2582" spans="2:9" x14ac:dyDescent="0.2">
      <c r="C2582" s="11"/>
      <c r="D2582" s="1"/>
      <c r="E2582" s="5"/>
      <c r="F2582" s="5"/>
      <c r="G2582" s="5"/>
      <c r="H2582" s="5"/>
      <c r="I2582" s="5"/>
    </row>
    <row r="2584" spans="2:9" x14ac:dyDescent="0.2">
      <c r="B2584" s="2"/>
      <c r="C2584" s="11"/>
      <c r="D2584" s="1"/>
      <c r="E2584" s="5"/>
      <c r="F2584" s="5"/>
      <c r="G2584" s="5"/>
      <c r="H2584" s="5"/>
      <c r="I2584" s="5"/>
    </row>
    <row r="2587" spans="2:9" x14ac:dyDescent="0.2">
      <c r="B2587" s="2"/>
      <c r="C2587" s="11"/>
      <c r="D2587" s="1"/>
      <c r="E2587" s="5"/>
      <c r="F2587" s="5"/>
      <c r="G2587" s="5"/>
      <c r="H2587" s="5"/>
      <c r="I2587" s="5"/>
    </row>
    <row r="2589" spans="2:9" x14ac:dyDescent="0.2">
      <c r="B2589" s="2"/>
      <c r="C2589" s="11"/>
      <c r="D2589" s="1"/>
      <c r="E2589" s="5"/>
      <c r="F2589" s="5"/>
      <c r="G2589" s="5"/>
      <c r="H2589" s="5"/>
      <c r="I2589" s="5"/>
    </row>
    <row r="2591" spans="2:9" x14ac:dyDescent="0.2">
      <c r="B2591" s="2"/>
      <c r="C2591" s="11"/>
      <c r="D2591" s="1"/>
      <c r="E2591" s="5"/>
      <c r="F2591" s="5"/>
      <c r="G2591" s="5"/>
      <c r="H2591" s="5"/>
      <c r="I2591" s="5"/>
    </row>
    <row r="2594" spans="2:9" x14ac:dyDescent="0.2">
      <c r="B2594" s="2"/>
      <c r="C2594" s="11"/>
      <c r="D2594" s="1"/>
      <c r="E2594" s="5"/>
      <c r="F2594" s="5"/>
      <c r="G2594" s="5"/>
      <c r="H2594" s="5"/>
      <c r="I2594" s="5"/>
    </row>
    <row r="2596" spans="2:9" x14ac:dyDescent="0.2">
      <c r="B2596" s="2"/>
      <c r="C2596" s="11"/>
      <c r="D2596" s="1"/>
      <c r="E2596" s="5"/>
      <c r="F2596" s="5"/>
      <c r="G2596" s="5"/>
      <c r="H2596" s="5"/>
      <c r="I2596" s="5"/>
    </row>
    <row r="2599" spans="2:9" x14ac:dyDescent="0.2">
      <c r="B2599" s="2"/>
      <c r="C2599" s="11"/>
      <c r="D2599" s="1"/>
      <c r="E2599" s="5"/>
      <c r="F2599" s="5"/>
      <c r="G2599" s="5"/>
      <c r="H2599" s="5"/>
      <c r="I2599" s="5"/>
    </row>
    <row r="2625" spans="2:9" x14ac:dyDescent="0.2">
      <c r="C2625" s="11"/>
      <c r="D2625" s="1"/>
      <c r="E2625" s="5"/>
      <c r="F2625" s="5"/>
      <c r="G2625" s="5"/>
      <c r="H2625" s="5"/>
      <c r="I2625" s="5"/>
    </row>
    <row r="2629" spans="2:9" x14ac:dyDescent="0.2">
      <c r="C2629" s="11"/>
      <c r="D2629" s="1"/>
      <c r="E2629" s="5"/>
      <c r="F2629" s="5"/>
      <c r="G2629" s="5"/>
      <c r="H2629" s="5"/>
      <c r="I2629" s="5"/>
    </row>
    <row r="2633" spans="2:9" x14ac:dyDescent="0.2">
      <c r="B2633" s="2"/>
      <c r="C2633" s="11"/>
      <c r="D2633" s="1"/>
      <c r="E2633" s="5"/>
      <c r="F2633" s="5"/>
      <c r="G2633" s="5"/>
      <c r="H2633" s="5"/>
      <c r="I2633" s="5"/>
    </row>
    <row r="2635" spans="2:9" x14ac:dyDescent="0.2">
      <c r="B2635" s="2"/>
      <c r="C2635" s="11"/>
      <c r="D2635" s="1"/>
      <c r="E2635" s="5"/>
      <c r="F2635" s="5"/>
      <c r="G2635" s="5"/>
      <c r="H2635" s="5"/>
      <c r="I2635" s="5"/>
    </row>
    <row r="2642" spans="2:9" x14ac:dyDescent="0.2">
      <c r="B2642" s="2"/>
      <c r="C2642" s="11"/>
      <c r="D2642" s="1"/>
      <c r="E2642" s="5"/>
      <c r="F2642" s="5"/>
      <c r="G2642" s="5"/>
      <c r="H2642" s="5"/>
      <c r="I2642" s="5"/>
    </row>
    <row r="2644" spans="2:9" x14ac:dyDescent="0.2">
      <c r="B2644" s="2"/>
      <c r="C2644" s="11"/>
      <c r="D2644" s="1"/>
      <c r="E2644" s="5"/>
      <c r="F2644" s="5"/>
      <c r="G2644" s="5"/>
      <c r="H2644" s="5"/>
      <c r="I2644" s="5"/>
    </row>
    <row r="2646" spans="2:9" x14ac:dyDescent="0.2">
      <c r="B2646" s="2"/>
      <c r="C2646" s="11"/>
      <c r="D2646" s="1"/>
      <c r="E2646" s="5"/>
      <c r="F2646" s="5"/>
      <c r="G2646" s="5"/>
      <c r="H2646" s="5"/>
      <c r="I2646" s="5"/>
    </row>
    <row r="2649" spans="2:9" x14ac:dyDescent="0.2">
      <c r="B2649" s="2"/>
      <c r="C2649" s="11"/>
      <c r="D2649" s="1"/>
      <c r="E2649" s="5"/>
      <c r="F2649" s="5"/>
      <c r="G2649" s="5"/>
      <c r="H2649" s="5"/>
      <c r="I2649" s="5"/>
    </row>
    <row r="2651" spans="2:9" x14ac:dyDescent="0.2">
      <c r="B2651" s="2"/>
      <c r="C2651" s="11"/>
      <c r="D2651" s="1"/>
      <c r="E2651" s="5"/>
      <c r="F2651" s="5"/>
      <c r="G2651" s="5"/>
      <c r="H2651" s="5"/>
      <c r="I2651" s="5"/>
    </row>
    <row r="2653" spans="2:9" x14ac:dyDescent="0.2">
      <c r="B2653" s="2"/>
      <c r="C2653" s="11"/>
      <c r="D2653" s="1"/>
      <c r="E2653" s="5"/>
      <c r="F2653" s="5"/>
      <c r="G2653" s="5"/>
      <c r="H2653" s="5"/>
      <c r="I2653" s="5"/>
    </row>
    <row r="2655" spans="2:9" x14ac:dyDescent="0.2">
      <c r="B2655" s="2"/>
      <c r="C2655" s="11"/>
      <c r="D2655" s="1"/>
      <c r="E2655" s="5"/>
      <c r="F2655" s="5"/>
      <c r="G2655" s="5"/>
      <c r="H2655" s="5"/>
      <c r="I2655" s="5"/>
    </row>
    <row r="2658" spans="2:9" x14ac:dyDescent="0.2">
      <c r="B2658" s="2"/>
      <c r="C2658" s="11"/>
      <c r="D2658" s="1"/>
      <c r="E2658" s="5"/>
      <c r="F2658" s="5"/>
      <c r="G2658" s="5"/>
      <c r="H2658" s="5"/>
      <c r="I2658" s="5"/>
    </row>
    <row r="2660" spans="2:9" x14ac:dyDescent="0.2">
      <c r="B2660" s="2"/>
      <c r="C2660" s="11"/>
      <c r="D2660" s="1"/>
      <c r="E2660" s="5"/>
      <c r="F2660" s="5"/>
      <c r="G2660" s="5"/>
      <c r="H2660" s="5"/>
      <c r="I2660" s="5"/>
    </row>
    <row r="2664" spans="2:9" x14ac:dyDescent="0.2">
      <c r="B2664" s="2"/>
      <c r="C2664" s="11"/>
      <c r="D2664" s="1"/>
      <c r="E2664" s="5"/>
      <c r="F2664" s="5"/>
      <c r="G2664" s="5"/>
      <c r="H2664" s="5"/>
      <c r="I2664" s="5"/>
    </row>
    <row r="2666" spans="2:9" x14ac:dyDescent="0.2">
      <c r="B2666" s="2"/>
      <c r="C2666" s="11"/>
      <c r="D2666" s="6"/>
      <c r="E2666" s="6"/>
      <c r="F2666" s="6"/>
      <c r="G2666" s="6"/>
      <c r="H2666" s="6"/>
      <c r="I2666" s="6"/>
    </row>
    <row r="2669" spans="2:9" x14ac:dyDescent="0.2">
      <c r="B2669" s="2"/>
      <c r="C2669" s="11"/>
      <c r="D2669" s="6"/>
      <c r="E2669" s="6"/>
      <c r="F2669" s="6"/>
      <c r="G2669" s="6"/>
      <c r="H2669" s="6"/>
      <c r="I2669" s="6"/>
    </row>
    <row r="2671" spans="2:9" x14ac:dyDescent="0.2">
      <c r="B2671" s="2"/>
      <c r="C2671" s="11"/>
      <c r="D2671" s="6"/>
      <c r="E2671" s="6"/>
      <c r="F2671" s="6"/>
      <c r="G2671" s="6"/>
      <c r="H2671" s="6"/>
      <c r="I2671" s="6"/>
    </row>
    <row r="2673" spans="2:9" x14ac:dyDescent="0.2">
      <c r="B2673" s="2"/>
      <c r="C2673" s="11"/>
      <c r="D2673" s="6"/>
      <c r="E2673" s="6"/>
      <c r="F2673" s="6"/>
      <c r="G2673" s="6"/>
      <c r="H2673" s="6"/>
      <c r="I2673" s="6"/>
    </row>
    <row r="2677" spans="2:9" x14ac:dyDescent="0.2">
      <c r="B2677" s="2"/>
      <c r="C2677" s="11"/>
      <c r="D2677" s="6"/>
      <c r="E2677" s="6"/>
      <c r="F2677" s="6"/>
      <c r="G2677" s="6"/>
      <c r="H2677" s="6"/>
      <c r="I2677" s="6"/>
    </row>
    <row r="2690" spans="2:9" x14ac:dyDescent="0.2">
      <c r="B2690" s="2"/>
      <c r="C2690" s="11"/>
      <c r="D2690" s="6"/>
      <c r="E2690" s="6"/>
      <c r="F2690" s="6"/>
      <c r="G2690" s="6"/>
      <c r="H2690" s="6"/>
      <c r="I2690" s="6"/>
    </row>
    <row r="2692" spans="2:9" x14ac:dyDescent="0.2">
      <c r="B2692" s="2"/>
      <c r="C2692" s="11"/>
      <c r="D2692" s="6"/>
      <c r="E2692" s="6"/>
      <c r="F2692" s="6"/>
      <c r="G2692" s="6"/>
      <c r="H2692" s="6"/>
      <c r="I2692" s="6"/>
    </row>
    <row r="2693" spans="2:9" x14ac:dyDescent="0.2">
      <c r="B2693" s="2"/>
      <c r="C2693" s="11"/>
      <c r="D2693" s="6"/>
      <c r="E2693" s="6"/>
      <c r="F2693" s="6"/>
      <c r="G2693" s="6"/>
      <c r="H2693" s="6"/>
      <c r="I2693" s="6"/>
    </row>
    <row r="2695" spans="2:9" x14ac:dyDescent="0.2">
      <c r="B2695" s="2"/>
      <c r="C2695" s="11"/>
      <c r="D2695" s="6"/>
      <c r="E2695" s="6"/>
      <c r="F2695" s="6"/>
      <c r="G2695" s="6"/>
      <c r="H2695" s="6"/>
      <c r="I2695" s="6"/>
    </row>
    <row r="2698" spans="2:9" x14ac:dyDescent="0.2">
      <c r="B2698" s="2"/>
      <c r="C2698" s="11"/>
      <c r="D2698" s="6"/>
      <c r="E2698" s="6"/>
      <c r="F2698" s="6"/>
      <c r="G2698" s="6"/>
      <c r="H2698" s="6"/>
      <c r="I2698" s="6"/>
    </row>
    <row r="2700" spans="2:9" x14ac:dyDescent="0.2">
      <c r="B2700" s="2"/>
      <c r="C2700" s="11"/>
      <c r="D2700" s="6"/>
      <c r="E2700" s="6"/>
      <c r="F2700" s="6"/>
      <c r="G2700" s="6"/>
      <c r="H2700" s="6"/>
      <c r="I2700" s="6"/>
    </row>
    <row r="2762" spans="2:9" x14ac:dyDescent="0.2">
      <c r="B2762" s="2"/>
      <c r="C2762" s="11"/>
      <c r="D2762" s="6"/>
      <c r="E2762" s="6"/>
      <c r="F2762" s="6"/>
      <c r="G2762" s="6"/>
      <c r="H2762" s="6"/>
      <c r="I2762" s="6"/>
    </row>
    <row r="2763" spans="2:9" x14ac:dyDescent="0.2">
      <c r="B2763" s="2"/>
      <c r="C2763" s="11"/>
      <c r="D2763" s="6"/>
      <c r="E2763" s="6"/>
      <c r="F2763" s="6"/>
      <c r="G2763" s="6"/>
      <c r="H2763" s="6"/>
      <c r="I2763" s="6"/>
    </row>
    <row r="2767" spans="2:9" x14ac:dyDescent="0.2">
      <c r="B2767" s="2"/>
      <c r="C2767" s="11"/>
      <c r="D2767" s="6"/>
      <c r="E2767" s="6"/>
      <c r="F2767" s="6"/>
      <c r="G2767" s="6"/>
      <c r="H2767" s="6"/>
      <c r="I2767" s="6"/>
    </row>
    <row r="2770" spans="2:9" x14ac:dyDescent="0.2">
      <c r="B2770" s="2"/>
      <c r="C2770" s="11"/>
      <c r="D2770" s="6"/>
      <c r="E2770" s="6"/>
      <c r="F2770" s="6"/>
      <c r="G2770" s="6"/>
      <c r="H2770" s="6"/>
      <c r="I2770" s="6"/>
    </row>
    <row r="2775" spans="2:9" x14ac:dyDescent="0.2">
      <c r="B2775" s="2"/>
      <c r="C2775" s="11"/>
      <c r="D2775" s="6"/>
      <c r="E2775" s="6"/>
      <c r="F2775" s="6"/>
      <c r="G2775" s="6"/>
      <c r="H2775" s="6"/>
      <c r="I2775" s="6"/>
    </row>
    <row r="2777" spans="2:9" x14ac:dyDescent="0.2">
      <c r="B2777" s="2"/>
      <c r="C2777" s="11"/>
      <c r="D2777" s="6"/>
      <c r="E2777" s="6"/>
      <c r="F2777" s="6"/>
      <c r="G2777" s="6"/>
      <c r="H2777" s="6"/>
      <c r="I2777" s="6"/>
    </row>
    <row r="2779" spans="2:9" x14ac:dyDescent="0.2">
      <c r="B2779" s="2"/>
      <c r="C2779" s="11"/>
      <c r="D2779" s="6"/>
      <c r="E2779" s="6"/>
      <c r="F2779" s="6"/>
      <c r="G2779" s="6"/>
      <c r="H2779" s="6"/>
      <c r="I2779" s="6"/>
    </row>
  </sheetData>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ellIs" priority="1" operator="equal" id="{3345DEC3-6FF5-4E8A-81D0-E1356B3DDE92}">
            <xm:f>Sheet1!$A$2</xm:f>
            <x14:dxf>
              <font>
                <color rgb="FF006100"/>
              </font>
              <fill>
                <patternFill>
                  <bgColor rgb="FFC6EFCE"/>
                </patternFill>
              </fill>
            </x14:dxf>
          </x14:cfRule>
          <x14:cfRule type="cellIs" priority="2" operator="equal" id="{B70C486A-727E-4E8D-A0C4-BC8CA00396FC}">
            <xm:f>Sheet1!$A$3</xm:f>
            <x14:dxf>
              <font>
                <color rgb="FF9C0006"/>
              </font>
              <fill>
                <patternFill>
                  <bgColor rgb="FFFFC7CE"/>
                </patternFill>
              </fill>
            </x14:dxf>
          </x14:cfRule>
          <xm:sqref>J2:J428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BD40161C-9DE5-4F9D-9FD3-C4B53FD1CD60}">
          <x14:formula1>
            <xm:f>Sheet1!$A$2:$A$3</xm:f>
          </x14:formula1>
          <xm:sqref>J2:J428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4D6F8-E829-4CD3-896B-83FB2160AF23}">
  <dimension ref="A1:E1"/>
  <sheetViews>
    <sheetView tabSelected="1" workbookViewId="0">
      <selection activeCell="D5" sqref="D5"/>
    </sheetView>
  </sheetViews>
  <sheetFormatPr baseColWidth="10" defaultRowHeight="12.9" x14ac:dyDescent="0.2"/>
  <sheetData>
    <row r="1" spans="1:5" ht="40.75" x14ac:dyDescent="0.2">
      <c r="A1" s="15" t="s">
        <v>3735</v>
      </c>
      <c r="B1" s="15" t="s">
        <v>3</v>
      </c>
      <c r="C1" s="17" t="s">
        <v>6</v>
      </c>
      <c r="D1" s="17" t="s">
        <v>3733</v>
      </c>
      <c r="E1" s="17" t="s">
        <v>3734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9DB8D-58F6-42EF-9610-350FE7168230}">
  <sheetPr codeName="Hoja1"/>
  <dimension ref="A1:AA2779"/>
  <sheetViews>
    <sheetView topLeftCell="B1" zoomScale="75" zoomScaleNormal="75" workbookViewId="0">
      <pane ySplit="1" topLeftCell="A2" activePane="bottomLeft" state="frozen"/>
      <selection pane="bottomLeft" activeCell="I75" sqref="I75"/>
    </sheetView>
  </sheetViews>
  <sheetFormatPr baseColWidth="10" defaultColWidth="9.125" defaultRowHeight="12.9" x14ac:dyDescent="0.2"/>
  <cols>
    <col min="1" max="1" width="17.875" style="12" hidden="1" customWidth="1"/>
    <col min="2" max="2" width="15.25" style="4" customWidth="1"/>
    <col min="3" max="3" width="21.375" style="7" customWidth="1"/>
    <col min="4" max="4" width="41.25" style="4" customWidth="1"/>
    <col min="5" max="5" width="22.875" style="4" hidden="1" customWidth="1"/>
    <col min="6" max="6" width="20.875" style="4" hidden="1" customWidth="1"/>
    <col min="7" max="7" width="13.375" style="4" hidden="1" customWidth="1"/>
    <col min="8" max="8" width="22.125" style="4" customWidth="1"/>
    <col min="9" max="9" width="27.75" style="4" customWidth="1"/>
    <col min="10" max="10" width="39.75" style="4" hidden="1" customWidth="1"/>
    <col min="11" max="11" width="37.875" style="4" customWidth="1"/>
    <col min="12" max="12" width="29.25" style="4" customWidth="1"/>
    <col min="13" max="13" width="25.375" style="4" customWidth="1"/>
    <col min="14" max="14" width="15.375" style="4" customWidth="1"/>
    <col min="15" max="15" width="14.375" style="4" hidden="1" customWidth="1"/>
    <col min="16" max="16" width="27.375" style="4" customWidth="1"/>
    <col min="17" max="17" width="25.375" style="4" hidden="1" customWidth="1"/>
    <col min="18" max="18" width="12.25" style="4" hidden="1" customWidth="1"/>
    <col min="19" max="19" width="17.75" style="4" customWidth="1"/>
    <col min="20" max="20" width="20.75" style="4" customWidth="1"/>
    <col min="21" max="21" width="13.75" style="4" customWidth="1"/>
    <col min="22" max="16384" width="9.125" style="4"/>
  </cols>
  <sheetData>
    <row r="1" spans="1:27" s="9" customFormat="1" ht="40.950000000000003" customHeight="1" x14ac:dyDescent="0.2">
      <c r="A1" s="14" t="s">
        <v>0</v>
      </c>
      <c r="B1" s="44" t="s">
        <v>1</v>
      </c>
      <c r="C1" s="44" t="s">
        <v>2</v>
      </c>
      <c r="D1" s="44" t="s">
        <v>3</v>
      </c>
      <c r="E1" s="44" t="s">
        <v>4</v>
      </c>
      <c r="F1" s="44" t="s">
        <v>5</v>
      </c>
      <c r="G1" s="44"/>
      <c r="H1" s="45" t="s">
        <v>2280</v>
      </c>
      <c r="I1" s="46" t="s">
        <v>2281</v>
      </c>
      <c r="J1" s="47" t="s">
        <v>2282</v>
      </c>
      <c r="K1" s="47" t="s">
        <v>2283</v>
      </c>
      <c r="L1" s="47" t="s">
        <v>2284</v>
      </c>
      <c r="M1" s="47" t="s">
        <v>2285</v>
      </c>
      <c r="N1" s="47" t="s">
        <v>2286</v>
      </c>
      <c r="O1" s="47" t="s">
        <v>2287</v>
      </c>
      <c r="P1" s="47" t="s">
        <v>2288</v>
      </c>
      <c r="Q1" s="47" t="s">
        <v>2289</v>
      </c>
      <c r="R1" s="48" t="s">
        <v>2290</v>
      </c>
      <c r="S1" s="47" t="s">
        <v>2291</v>
      </c>
      <c r="T1" s="49" t="s">
        <v>10</v>
      </c>
      <c r="U1" s="9" t="s">
        <v>2292</v>
      </c>
      <c r="AA1"/>
    </row>
    <row r="2" spans="1:27" ht="251.15" customHeight="1" x14ac:dyDescent="0.2">
      <c r="A2" s="12" t="s">
        <v>11</v>
      </c>
      <c r="B2" s="12" t="s">
        <v>12</v>
      </c>
      <c r="C2" s="37" t="s">
        <v>13</v>
      </c>
      <c r="D2" s="12" t="s">
        <v>14</v>
      </c>
      <c r="E2" s="8" t="s">
        <v>15</v>
      </c>
      <c r="F2" s="8" t="s">
        <v>16</v>
      </c>
      <c r="G2" s="8" t="str">
        <f>SUBSTITUTE(B2,"BRDP-","")</f>
        <v>S1-00001</v>
      </c>
      <c r="H2" s="52" t="e">
        <f>VLOOKUP(G2,#REF!, 2)</f>
        <v>#REF!</v>
      </c>
      <c r="I2" s="52" t="e">
        <f>VLOOKUP(G2,#REF!, 4)</f>
        <v>#REF!</v>
      </c>
      <c r="J2" s="23" t="s">
        <v>17</v>
      </c>
      <c r="K2" s="18" t="s">
        <v>2293</v>
      </c>
      <c r="L2" s="18" t="s">
        <v>2294</v>
      </c>
      <c r="M2" s="18" t="s">
        <v>2295</v>
      </c>
      <c r="N2" s="18" t="s">
        <v>2296</v>
      </c>
      <c r="O2" s="18" t="s">
        <v>2297</v>
      </c>
      <c r="P2" s="18" t="e">
        <f>IF(Q2=0,"",Q2)</f>
        <v>#REF!</v>
      </c>
      <c r="Q2" s="19" t="e">
        <f>IF(R2=0,VLOOKUP(G2,#REF!, 3),R2)</f>
        <v>#REF!</v>
      </c>
      <c r="R2" s="13" t="e">
        <f>VLOOKUP(G2,#REF!, 5)</f>
        <v>#REF!</v>
      </c>
      <c r="S2" s="19" t="s">
        <v>18</v>
      </c>
      <c r="T2" s="42" t="s">
        <v>2298</v>
      </c>
      <c r="U2" s="4" t="s">
        <v>2299</v>
      </c>
      <c r="V2" s="4" t="s">
        <v>2300</v>
      </c>
      <c r="AA2"/>
    </row>
    <row r="3" spans="1:27" ht="51.65" x14ac:dyDescent="0.2">
      <c r="A3" s="12" t="s">
        <v>20</v>
      </c>
      <c r="B3" s="12" t="s">
        <v>21</v>
      </c>
      <c r="C3" s="51" t="s">
        <v>22</v>
      </c>
      <c r="D3" s="39" t="s">
        <v>23</v>
      </c>
      <c r="E3" s="10" t="s">
        <v>15</v>
      </c>
      <c r="F3" s="10" t="s">
        <v>24</v>
      </c>
      <c r="G3" s="8" t="str">
        <f t="shared" ref="G3:G66" si="0">SUBSTITUTE(B3,"BRDP-","")</f>
        <v>S1-00002</v>
      </c>
      <c r="H3" s="52" t="e">
        <f>VLOOKUP(G3,#REF!, 2)</f>
        <v>#REF!</v>
      </c>
      <c r="I3" s="52" t="e">
        <f>VLOOKUP(G3,#REF!, 4)</f>
        <v>#REF!</v>
      </c>
      <c r="J3" s="22" t="s">
        <v>25</v>
      </c>
      <c r="K3" s="22" t="s">
        <v>2301</v>
      </c>
      <c r="L3" s="22" t="s">
        <v>2302</v>
      </c>
      <c r="M3" s="22"/>
      <c r="N3" s="22" t="s">
        <v>2303</v>
      </c>
      <c r="O3" s="22" t="s">
        <v>2297</v>
      </c>
      <c r="P3" s="18" t="e">
        <f t="shared" ref="P3:P66" si="1">IF(Q3=0,"",Q3)</f>
        <v>#REF!</v>
      </c>
      <c r="Q3" s="19" t="e">
        <f>IF(R3=0,VLOOKUP(G3,#REF!, 3),R3)</f>
        <v>#REF!</v>
      </c>
      <c r="R3" s="13" t="e">
        <f>VLOOKUP(G3,#REF!, 5)</f>
        <v>#REF!</v>
      </c>
      <c r="S3" s="19" t="s">
        <v>18</v>
      </c>
      <c r="T3" s="42"/>
      <c r="AA3"/>
    </row>
    <row r="4" spans="1:27" ht="25.85" x14ac:dyDescent="0.2">
      <c r="A4" s="12" t="s">
        <v>27</v>
      </c>
      <c r="B4" s="12" t="s">
        <v>28</v>
      </c>
      <c r="C4" s="51" t="s">
        <v>29</v>
      </c>
      <c r="D4" s="39" t="s">
        <v>30</v>
      </c>
      <c r="E4" s="10" t="s">
        <v>31</v>
      </c>
      <c r="F4" s="10" t="s">
        <v>32</v>
      </c>
      <c r="G4" s="8" t="str">
        <f t="shared" si="0"/>
        <v>S1-00003</v>
      </c>
      <c r="H4" s="52" t="e">
        <f>VLOOKUP(G4,#REF!, 2)</f>
        <v>#REF!</v>
      </c>
      <c r="I4" s="52" t="e">
        <f>VLOOKUP(G4,#REF!, 4)</f>
        <v>#REF!</v>
      </c>
      <c r="J4" s="22" t="s">
        <v>33</v>
      </c>
      <c r="K4" s="22" t="s">
        <v>2304</v>
      </c>
      <c r="L4" s="22"/>
      <c r="M4" s="22"/>
      <c r="N4" s="22"/>
      <c r="O4" s="22"/>
      <c r="P4" s="18" t="e">
        <f t="shared" si="1"/>
        <v>#REF!</v>
      </c>
      <c r="Q4" s="19" t="e">
        <f>IF(R4=0,VLOOKUP(G4,#REF!, 3),R4)</f>
        <v>#REF!</v>
      </c>
      <c r="R4" s="13" t="e">
        <f>VLOOKUP(G4,#REF!, 5)</f>
        <v>#REF!</v>
      </c>
      <c r="S4" s="19" t="s">
        <v>18</v>
      </c>
      <c r="T4" s="42"/>
      <c r="AA4"/>
    </row>
    <row r="5" spans="1:27" ht="335.55" x14ac:dyDescent="0.2">
      <c r="A5" s="12" t="s">
        <v>27</v>
      </c>
      <c r="B5" s="12" t="s">
        <v>34</v>
      </c>
      <c r="C5" s="11" t="s">
        <v>35</v>
      </c>
      <c r="D5" s="1" t="s">
        <v>36</v>
      </c>
      <c r="E5" s="10" t="s">
        <v>31</v>
      </c>
      <c r="F5" s="10" t="s">
        <v>32</v>
      </c>
      <c r="G5" s="8" t="str">
        <f t="shared" si="0"/>
        <v>S1-00004</v>
      </c>
      <c r="H5" s="8" t="e">
        <f>VLOOKUP(G5,#REF!, 2)</f>
        <v>#REF!</v>
      </c>
      <c r="I5" s="8" t="e">
        <f>VLOOKUP(G5,#REF!, 4)</f>
        <v>#REF!</v>
      </c>
      <c r="J5" s="22" t="s">
        <v>37</v>
      </c>
      <c r="K5" s="22" t="s">
        <v>2305</v>
      </c>
      <c r="L5" s="36" t="s">
        <v>2306</v>
      </c>
      <c r="M5" s="22" t="s">
        <v>2307</v>
      </c>
      <c r="N5" s="36"/>
      <c r="O5" s="36"/>
      <c r="P5" s="18" t="e">
        <f t="shared" si="1"/>
        <v>#REF!</v>
      </c>
      <c r="Q5" s="19" t="e">
        <f>IF(R5=0,VLOOKUP(G5,#REF!, 3),R5)</f>
        <v>#REF!</v>
      </c>
      <c r="R5" s="13" t="e">
        <f>VLOOKUP(G5,#REF!, 5)</f>
        <v>#REF!</v>
      </c>
      <c r="S5" s="19" t="s">
        <v>18</v>
      </c>
      <c r="T5" s="42" t="s">
        <v>2308</v>
      </c>
      <c r="U5" s="4" t="s">
        <v>2309</v>
      </c>
      <c r="AA5"/>
    </row>
    <row r="6" spans="1:27" ht="77.45" x14ac:dyDescent="0.2">
      <c r="A6" s="12" t="s">
        <v>27</v>
      </c>
      <c r="B6" s="12" t="s">
        <v>39</v>
      </c>
      <c r="C6" s="51" t="s">
        <v>40</v>
      </c>
      <c r="D6" s="39" t="s">
        <v>41</v>
      </c>
      <c r="E6" s="10" t="s">
        <v>31</v>
      </c>
      <c r="F6" s="10" t="s">
        <v>32</v>
      </c>
      <c r="G6" s="8" t="str">
        <f t="shared" si="0"/>
        <v>S1-00005</v>
      </c>
      <c r="H6" s="52" t="e">
        <f>VLOOKUP(G6,#REF!, 2)</f>
        <v>#REF!</v>
      </c>
      <c r="I6" s="52" t="e">
        <f>VLOOKUP(G6,#REF!, 4)</f>
        <v>#REF!</v>
      </c>
      <c r="J6" s="22" t="s">
        <v>42</v>
      </c>
      <c r="K6" s="22" t="s">
        <v>2310</v>
      </c>
      <c r="L6" s="22" t="s">
        <v>2311</v>
      </c>
      <c r="M6" s="22"/>
      <c r="N6" s="22"/>
      <c r="O6" s="36"/>
      <c r="P6" s="18" t="e">
        <f t="shared" si="1"/>
        <v>#REF!</v>
      </c>
      <c r="Q6" s="19" t="e">
        <f>IF(R6=0,VLOOKUP(G6,#REF!, 3),R6)</f>
        <v>#REF!</v>
      </c>
      <c r="R6" s="13" t="e">
        <f>VLOOKUP(G6,#REF!, 5)</f>
        <v>#REF!</v>
      </c>
      <c r="S6" s="19" t="s">
        <v>18</v>
      </c>
      <c r="T6" s="42"/>
      <c r="AA6"/>
    </row>
    <row r="7" spans="1:27" ht="409.6" x14ac:dyDescent="0.2">
      <c r="A7" s="12" t="s">
        <v>27</v>
      </c>
      <c r="B7" s="4" t="s">
        <v>43</v>
      </c>
      <c r="C7" s="7" t="s">
        <v>44</v>
      </c>
      <c r="D7" s="4" t="s">
        <v>45</v>
      </c>
      <c r="E7" s="8" t="s">
        <v>31</v>
      </c>
      <c r="F7" s="8" t="s">
        <v>32</v>
      </c>
      <c r="G7" s="8" t="str">
        <f t="shared" si="0"/>
        <v>S1-00006</v>
      </c>
      <c r="H7" s="8" t="e">
        <f>VLOOKUP(G7,#REF!, 2)</f>
        <v>#REF!</v>
      </c>
      <c r="I7" s="8" t="e">
        <f>VLOOKUP(G7,#REF!, 4)</f>
        <v>#REF!</v>
      </c>
      <c r="J7" s="18" t="s">
        <v>46</v>
      </c>
      <c r="K7" s="18" t="s">
        <v>2312</v>
      </c>
      <c r="L7" s="35" t="s">
        <v>2313</v>
      </c>
      <c r="M7" s="18" t="s">
        <v>2314</v>
      </c>
      <c r="N7" s="22" t="s">
        <v>2315</v>
      </c>
      <c r="O7" s="19" t="s">
        <v>2297</v>
      </c>
      <c r="P7" s="18" t="e">
        <f t="shared" si="1"/>
        <v>#REF!</v>
      </c>
      <c r="Q7" s="19" t="e">
        <f>IF(R7=0,VLOOKUP(G7,#REF!, 3),R7)</f>
        <v>#REF!</v>
      </c>
      <c r="R7" s="13" t="e">
        <f>VLOOKUP(G7,#REF!, 5)</f>
        <v>#REF!</v>
      </c>
      <c r="S7" s="19" t="s">
        <v>18</v>
      </c>
      <c r="T7" s="42" t="s">
        <v>2316</v>
      </c>
      <c r="U7" s="4" t="s">
        <v>2309</v>
      </c>
      <c r="AA7"/>
    </row>
    <row r="8" spans="1:27" ht="64.55" x14ac:dyDescent="0.2">
      <c r="A8" s="12" t="s">
        <v>27</v>
      </c>
      <c r="B8" s="12" t="s">
        <v>47</v>
      </c>
      <c r="C8" s="37" t="s">
        <v>48</v>
      </c>
      <c r="D8" s="12" t="s">
        <v>49</v>
      </c>
      <c r="E8" s="8" t="s">
        <v>31</v>
      </c>
      <c r="F8" s="8" t="s">
        <v>32</v>
      </c>
      <c r="G8" s="8" t="str">
        <f t="shared" si="0"/>
        <v>S1-00007</v>
      </c>
      <c r="H8" s="52" t="e">
        <f>VLOOKUP(G8,#REF!, 2)</f>
        <v>#REF!</v>
      </c>
      <c r="I8" s="52" t="e">
        <f>VLOOKUP(G8,#REF!, 4)</f>
        <v>#REF!</v>
      </c>
      <c r="J8" s="18" t="s">
        <v>50</v>
      </c>
      <c r="K8" s="18" t="s">
        <v>2317</v>
      </c>
      <c r="L8" s="18" t="s">
        <v>2318</v>
      </c>
      <c r="M8" s="19" t="s">
        <v>2319</v>
      </c>
      <c r="N8" s="18"/>
      <c r="O8" s="35"/>
      <c r="P8" s="18" t="e">
        <f t="shared" si="1"/>
        <v>#REF!</v>
      </c>
      <c r="Q8" s="19" t="e">
        <f>IF(R8=0,VLOOKUP(G8,#REF!, 3),R8)</f>
        <v>#REF!</v>
      </c>
      <c r="R8" s="13" t="e">
        <f>VLOOKUP(G8,#REF!, 5)</f>
        <v>#REF!</v>
      </c>
      <c r="S8" s="19" t="s">
        <v>18</v>
      </c>
      <c r="T8" s="42" t="s">
        <v>2320</v>
      </c>
      <c r="U8" s="4" t="s">
        <v>2321</v>
      </c>
      <c r="V8" s="4" t="s">
        <v>2300</v>
      </c>
      <c r="AA8"/>
    </row>
    <row r="9" spans="1:27" ht="160.15" customHeight="1" x14ac:dyDescent="0.2">
      <c r="A9" s="12" t="s">
        <v>27</v>
      </c>
      <c r="B9" s="12" t="s">
        <v>51</v>
      </c>
      <c r="C9" s="37" t="s">
        <v>52</v>
      </c>
      <c r="D9" s="12" t="s">
        <v>53</v>
      </c>
      <c r="E9" s="8" t="s">
        <v>31</v>
      </c>
      <c r="F9" s="8" t="s">
        <v>32</v>
      </c>
      <c r="G9" s="8" t="str">
        <f t="shared" si="0"/>
        <v>S1-00008</v>
      </c>
      <c r="H9" s="52" t="e">
        <f>VLOOKUP(G9,#REF!, 2)</f>
        <v>#REF!</v>
      </c>
      <c r="I9" s="52" t="e">
        <f>VLOOKUP(G9,#REF!, 4)</f>
        <v>#REF!</v>
      </c>
      <c r="J9" s="18" t="s">
        <v>54</v>
      </c>
      <c r="K9" s="18" t="s">
        <v>2322</v>
      </c>
      <c r="L9" s="18" t="s">
        <v>2323</v>
      </c>
      <c r="M9" s="19" t="s">
        <v>2324</v>
      </c>
      <c r="N9" s="18"/>
      <c r="O9" s="35"/>
      <c r="P9" s="18" t="e">
        <f t="shared" si="1"/>
        <v>#REF!</v>
      </c>
      <c r="Q9" s="19" t="e">
        <f>IF(R9=0,VLOOKUP(G9,#REF!, 3),R9)</f>
        <v>#REF!</v>
      </c>
      <c r="R9" s="13" t="e">
        <f>VLOOKUP(G9,#REF!, 5)</f>
        <v>#REF!</v>
      </c>
      <c r="S9" s="19" t="s">
        <v>18</v>
      </c>
      <c r="T9" s="42" t="s">
        <v>2325</v>
      </c>
      <c r="U9" s="4" t="s">
        <v>2299</v>
      </c>
      <c r="V9" s="4" t="s">
        <v>2300</v>
      </c>
      <c r="AA9"/>
    </row>
    <row r="10" spans="1:27" ht="148.94999999999999" customHeight="1" x14ac:dyDescent="0.2">
      <c r="A10" s="12" t="s">
        <v>55</v>
      </c>
      <c r="B10" s="12" t="s">
        <v>56</v>
      </c>
      <c r="C10" s="51" t="s">
        <v>57</v>
      </c>
      <c r="D10" s="39" t="s">
        <v>58</v>
      </c>
      <c r="E10" s="10" t="s">
        <v>31</v>
      </c>
      <c r="F10" s="10" t="s">
        <v>59</v>
      </c>
      <c r="G10" s="8" t="str">
        <f t="shared" si="0"/>
        <v>S1-00009</v>
      </c>
      <c r="H10" s="52" t="e">
        <f>VLOOKUP(G10,#REF!, 2)</f>
        <v>#REF!</v>
      </c>
      <c r="I10" s="52" t="e">
        <f>VLOOKUP(G10,#REF!, 4)</f>
        <v>#REF!</v>
      </c>
      <c r="J10" s="22" t="s">
        <v>60</v>
      </c>
      <c r="K10" s="22" t="s">
        <v>2326</v>
      </c>
      <c r="L10" s="22" t="s">
        <v>2327</v>
      </c>
      <c r="M10" s="22"/>
      <c r="N10" s="22"/>
      <c r="O10" s="22"/>
      <c r="P10" s="18" t="e">
        <f t="shared" si="1"/>
        <v>#REF!</v>
      </c>
      <c r="Q10" s="19" t="e">
        <f>IF(R10=0,VLOOKUP(G10,#REF!, 3),R10)</f>
        <v>#REF!</v>
      </c>
      <c r="R10" s="13" t="e">
        <f>VLOOKUP(G10,#REF!, 5)</f>
        <v>#REF!</v>
      </c>
      <c r="S10" s="19" t="s">
        <v>18</v>
      </c>
      <c r="T10" s="42"/>
      <c r="AA10"/>
    </row>
    <row r="11" spans="1:27" ht="25.85" x14ac:dyDescent="0.2">
      <c r="A11" s="12" t="s">
        <v>61</v>
      </c>
      <c r="B11" s="12" t="s">
        <v>62</v>
      </c>
      <c r="C11" s="37" t="s">
        <v>63</v>
      </c>
      <c r="D11" s="12" t="s">
        <v>64</v>
      </c>
      <c r="E11" s="8" t="s">
        <v>65</v>
      </c>
      <c r="F11" s="8" t="s">
        <v>66</v>
      </c>
      <c r="G11" s="8" t="str">
        <f t="shared" si="0"/>
        <v>S1-00010</v>
      </c>
      <c r="H11" s="52" t="e">
        <f>VLOOKUP(G11,#REF!, 2)</f>
        <v>#REF!</v>
      </c>
      <c r="I11" s="52" t="e">
        <f>VLOOKUP(G11,#REF!, 4)</f>
        <v>#REF!</v>
      </c>
      <c r="J11" s="18" t="s">
        <v>67</v>
      </c>
      <c r="K11" s="18" t="s">
        <v>2328</v>
      </c>
      <c r="L11" s="18" t="s">
        <v>2329</v>
      </c>
      <c r="M11" s="18"/>
      <c r="N11" s="18" t="s">
        <v>2330</v>
      </c>
      <c r="O11" s="18" t="s">
        <v>2331</v>
      </c>
      <c r="P11" s="18" t="e">
        <f t="shared" si="1"/>
        <v>#REF!</v>
      </c>
      <c r="Q11" s="19" t="e">
        <f>IF(R11=0,VLOOKUP(G11,#REF!, 3),R11)</f>
        <v>#REF!</v>
      </c>
      <c r="R11" s="13" t="e">
        <f>VLOOKUP(G11,#REF!, 5)</f>
        <v>#REF!</v>
      </c>
      <c r="S11" s="19" t="s">
        <v>18</v>
      </c>
      <c r="T11" s="42"/>
      <c r="AA11"/>
    </row>
    <row r="12" spans="1:27" ht="77.45" x14ac:dyDescent="0.2">
      <c r="A12" s="12" t="s">
        <v>70</v>
      </c>
      <c r="B12" s="12" t="s">
        <v>71</v>
      </c>
      <c r="C12" s="51" t="s">
        <v>72</v>
      </c>
      <c r="D12" s="39" t="s">
        <v>73</v>
      </c>
      <c r="E12" s="10" t="s">
        <v>65</v>
      </c>
      <c r="F12" s="10" t="s">
        <v>74</v>
      </c>
      <c r="G12" s="8" t="str">
        <f t="shared" si="0"/>
        <v>S1-00011</v>
      </c>
      <c r="H12" s="52" t="e">
        <f>VLOOKUP(G12,#REF!, 2)</f>
        <v>#REF!</v>
      </c>
      <c r="I12" s="52" t="e">
        <f>VLOOKUP(G12,#REF!, 4)</f>
        <v>#REF!</v>
      </c>
      <c r="J12" s="22" t="s">
        <v>75</v>
      </c>
      <c r="K12" s="18" t="s">
        <v>2328</v>
      </c>
      <c r="L12" s="22" t="s">
        <v>2332</v>
      </c>
      <c r="M12" s="22"/>
      <c r="N12" s="22" t="s">
        <v>2333</v>
      </c>
      <c r="O12" s="22" t="s">
        <v>2297</v>
      </c>
      <c r="P12" s="18" t="e">
        <f t="shared" si="1"/>
        <v>#REF!</v>
      </c>
      <c r="Q12" s="19" t="e">
        <f>IF(R12=0,VLOOKUP(G12,#REF!, 3),R12)</f>
        <v>#REF!</v>
      </c>
      <c r="R12" s="13" t="e">
        <f>VLOOKUP(G12,#REF!, 5)</f>
        <v>#REF!</v>
      </c>
      <c r="S12" s="19" t="s">
        <v>18</v>
      </c>
      <c r="T12" s="42"/>
      <c r="AA12"/>
    </row>
    <row r="13" spans="1:27" ht="129.1" x14ac:dyDescent="0.2">
      <c r="A13" s="12" t="s">
        <v>77</v>
      </c>
      <c r="B13" s="12" t="s">
        <v>78</v>
      </c>
      <c r="C13" s="51" t="s">
        <v>79</v>
      </c>
      <c r="D13" s="39" t="s">
        <v>80</v>
      </c>
      <c r="E13" s="10" t="s">
        <v>81</v>
      </c>
      <c r="F13" s="10" t="s">
        <v>82</v>
      </c>
      <c r="G13" s="8" t="str">
        <f t="shared" si="0"/>
        <v>S1-00016</v>
      </c>
      <c r="H13" s="52" t="e">
        <f>VLOOKUP(G13,#REF!, 2)</f>
        <v>#REF!</v>
      </c>
      <c r="I13" s="52" t="e">
        <f>VLOOKUP(G13,#REF!, 4)</f>
        <v>#REF!</v>
      </c>
      <c r="J13" s="22" t="s">
        <v>83</v>
      </c>
      <c r="K13" s="22" t="s">
        <v>2334</v>
      </c>
      <c r="L13" s="22"/>
      <c r="M13" s="22"/>
      <c r="N13" s="22" t="s">
        <v>2335</v>
      </c>
      <c r="O13" s="22" t="s">
        <v>2297</v>
      </c>
      <c r="P13" s="18" t="e">
        <f t="shared" si="1"/>
        <v>#REF!</v>
      </c>
      <c r="Q13" s="19" t="e">
        <f>IF(R13=0,VLOOKUP(G13,#REF!, 3),R13)</f>
        <v>#REF!</v>
      </c>
      <c r="R13" s="13" t="e">
        <f>VLOOKUP(G13,#REF!, 5)</f>
        <v>#REF!</v>
      </c>
      <c r="S13" s="19" t="s">
        <v>18</v>
      </c>
      <c r="T13" s="42"/>
      <c r="AA13"/>
    </row>
    <row r="14" spans="1:27" ht="201.25" customHeight="1" x14ac:dyDescent="0.2">
      <c r="A14" s="12" t="s">
        <v>86</v>
      </c>
      <c r="B14" s="12" t="s">
        <v>87</v>
      </c>
      <c r="C14" s="51" t="s">
        <v>88</v>
      </c>
      <c r="D14" s="39" t="s">
        <v>89</v>
      </c>
      <c r="E14" s="10" t="s">
        <v>81</v>
      </c>
      <c r="F14" s="10" t="s">
        <v>90</v>
      </c>
      <c r="G14" s="8" t="str">
        <f t="shared" si="0"/>
        <v>S1-00013</v>
      </c>
      <c r="H14" s="52" t="e">
        <f>VLOOKUP(G14,#REF!, 2)</f>
        <v>#REF!</v>
      </c>
      <c r="I14" s="52" t="e">
        <f>VLOOKUP(G14,#REF!, 4)</f>
        <v>#REF!</v>
      </c>
      <c r="J14" s="22" t="s">
        <v>91</v>
      </c>
      <c r="K14" s="22" t="s">
        <v>2336</v>
      </c>
      <c r="L14" s="22" t="s">
        <v>2337</v>
      </c>
      <c r="M14" s="50" t="s">
        <v>2338</v>
      </c>
      <c r="N14" s="22" t="s">
        <v>2339</v>
      </c>
      <c r="O14" s="22" t="s">
        <v>2297</v>
      </c>
      <c r="P14" s="18" t="e">
        <f t="shared" si="1"/>
        <v>#REF!</v>
      </c>
      <c r="Q14" s="19" t="e">
        <f>IF(R14=0,VLOOKUP(G14,#REF!, 3),R14)</f>
        <v>#REF!</v>
      </c>
      <c r="R14" s="13" t="e">
        <f>VLOOKUP(G14,#REF!, 5)</f>
        <v>#REF!</v>
      </c>
      <c r="S14" s="19" t="s">
        <v>18</v>
      </c>
      <c r="T14" s="42" t="s">
        <v>2340</v>
      </c>
      <c r="U14" s="4" t="s">
        <v>2299</v>
      </c>
      <c r="V14" s="12" t="s">
        <v>2300</v>
      </c>
      <c r="AA14"/>
    </row>
    <row r="15" spans="1:27" ht="51.65" x14ac:dyDescent="0.2">
      <c r="A15" s="12" t="s">
        <v>86</v>
      </c>
      <c r="B15" s="12" t="s">
        <v>94</v>
      </c>
      <c r="C15" s="37" t="s">
        <v>95</v>
      </c>
      <c r="D15" s="12" t="s">
        <v>96</v>
      </c>
      <c r="E15" s="8" t="s">
        <v>81</v>
      </c>
      <c r="F15" s="8" t="s">
        <v>90</v>
      </c>
      <c r="G15" s="8" t="str">
        <f t="shared" si="0"/>
        <v>S1-00014</v>
      </c>
      <c r="H15" s="52" t="e">
        <f>VLOOKUP(G15,#REF!, 2)</f>
        <v>#REF!</v>
      </c>
      <c r="I15" s="52" t="e">
        <f>VLOOKUP(G15,#REF!, 4)</f>
        <v>#REF!</v>
      </c>
      <c r="J15" s="18" t="s">
        <v>97</v>
      </c>
      <c r="K15" s="18" t="s">
        <v>2341</v>
      </c>
      <c r="L15" s="18" t="s">
        <v>2342</v>
      </c>
      <c r="M15" s="18"/>
      <c r="N15" s="18"/>
      <c r="O15" s="18"/>
      <c r="P15" s="18" t="e">
        <f t="shared" si="1"/>
        <v>#REF!</v>
      </c>
      <c r="Q15" s="19" t="e">
        <f>IF(R15=0,VLOOKUP(G15,#REF!, 3),R15)</f>
        <v>#REF!</v>
      </c>
      <c r="R15" s="13" t="e">
        <f>VLOOKUP(G15,#REF!, 5)</f>
        <v>#REF!</v>
      </c>
      <c r="S15" s="19" t="s">
        <v>18</v>
      </c>
      <c r="T15" s="42"/>
      <c r="AA15"/>
    </row>
    <row r="16" spans="1:27" ht="38.75" x14ac:dyDescent="0.2">
      <c r="A16" s="12" t="s">
        <v>99</v>
      </c>
      <c r="B16" s="12" t="s">
        <v>100</v>
      </c>
      <c r="C16" s="37" t="s">
        <v>101</v>
      </c>
      <c r="D16" s="12" t="s">
        <v>102</v>
      </c>
      <c r="E16" s="8" t="s">
        <v>81</v>
      </c>
      <c r="F16" s="8" t="s">
        <v>103</v>
      </c>
      <c r="G16" s="8" t="str">
        <f t="shared" si="0"/>
        <v>S1-00015</v>
      </c>
      <c r="H16" s="52" t="e">
        <f>VLOOKUP(G16,#REF!, 2)</f>
        <v>#REF!</v>
      </c>
      <c r="I16" s="52" t="e">
        <f>VLOOKUP(G16,#REF!, 4)</f>
        <v>#REF!</v>
      </c>
      <c r="J16" s="18" t="s">
        <v>104</v>
      </c>
      <c r="K16" s="18" t="s">
        <v>2343</v>
      </c>
      <c r="L16" s="18" t="s">
        <v>2344</v>
      </c>
      <c r="M16" s="18"/>
      <c r="N16" s="18"/>
      <c r="O16" s="18"/>
      <c r="P16" s="18" t="e">
        <f t="shared" si="1"/>
        <v>#REF!</v>
      </c>
      <c r="Q16" s="19" t="e">
        <f>IF(R16=0,VLOOKUP(G16,#REF!, 3),R16)</f>
        <v>#REF!</v>
      </c>
      <c r="R16" s="13" t="e">
        <f>VLOOKUP(G16,#REF!, 5)</f>
        <v>#REF!</v>
      </c>
      <c r="S16" s="19" t="s">
        <v>18</v>
      </c>
      <c r="T16" s="42"/>
      <c r="AA16"/>
    </row>
    <row r="17" spans="1:27" ht="409.1" customHeight="1" x14ac:dyDescent="0.2">
      <c r="A17" s="12" t="s">
        <v>99</v>
      </c>
      <c r="B17" s="12" t="s">
        <v>106</v>
      </c>
      <c r="C17" s="37" t="s">
        <v>107</v>
      </c>
      <c r="D17" s="12" t="s">
        <v>108</v>
      </c>
      <c r="E17" s="8" t="s">
        <v>81</v>
      </c>
      <c r="F17" s="8" t="s">
        <v>103</v>
      </c>
      <c r="G17" s="8" t="str">
        <f t="shared" si="0"/>
        <v>S1-00553</v>
      </c>
      <c r="H17" s="52" t="e">
        <f>VLOOKUP(G17,#REF!, 2)</f>
        <v>#REF!</v>
      </c>
      <c r="I17" s="52" t="e">
        <f>VLOOKUP(G17,#REF!, 4)</f>
        <v>#REF!</v>
      </c>
      <c r="J17" s="18" t="s">
        <v>109</v>
      </c>
      <c r="K17" s="18" t="s">
        <v>2345</v>
      </c>
      <c r="L17" s="18" t="s">
        <v>2346</v>
      </c>
      <c r="M17" s="18"/>
      <c r="N17" s="18"/>
      <c r="O17" s="18"/>
      <c r="P17" s="18" t="e">
        <f t="shared" si="1"/>
        <v>#REF!</v>
      </c>
      <c r="Q17" s="19" t="e">
        <f>IF(R17=0,VLOOKUP(G17,#REF!, 3),R17)</f>
        <v>#REF!</v>
      </c>
      <c r="R17" s="13" t="e">
        <f>VLOOKUP(G17,#REF!, 5)</f>
        <v>#REF!</v>
      </c>
      <c r="S17" s="18" t="s">
        <v>18</v>
      </c>
      <c r="T17" s="42"/>
      <c r="AA17"/>
    </row>
    <row r="18" spans="1:27" ht="77.45" x14ac:dyDescent="0.2">
      <c r="A18" s="12" t="s">
        <v>111</v>
      </c>
      <c r="B18" s="12" t="s">
        <v>112</v>
      </c>
      <c r="C18" s="37" t="s">
        <v>113</v>
      </c>
      <c r="D18" s="12" t="s">
        <v>114</v>
      </c>
      <c r="E18" s="8" t="s">
        <v>115</v>
      </c>
      <c r="F18" s="8" t="s">
        <v>116</v>
      </c>
      <c r="G18" s="8" t="str">
        <f t="shared" si="0"/>
        <v>S1-00017</v>
      </c>
      <c r="H18" s="52" t="e">
        <f>VLOOKUP(G18,#REF!, 2)</f>
        <v>#REF!</v>
      </c>
      <c r="I18" s="52" t="e">
        <f>VLOOKUP(G18,#REF!, 4)</f>
        <v>#REF!</v>
      </c>
      <c r="J18" s="18" t="s">
        <v>117</v>
      </c>
      <c r="K18" s="18" t="s">
        <v>2347</v>
      </c>
      <c r="L18" s="18" t="s">
        <v>2348</v>
      </c>
      <c r="M18" s="18"/>
      <c r="N18" s="18" t="s">
        <v>2349</v>
      </c>
      <c r="O18" s="18" t="s">
        <v>2297</v>
      </c>
      <c r="P18" s="18" t="e">
        <f t="shared" si="1"/>
        <v>#REF!</v>
      </c>
      <c r="Q18" s="19" t="e">
        <f>IF(R18=0,VLOOKUP(G18,#REF!, 3),R18)</f>
        <v>#REF!</v>
      </c>
      <c r="R18" s="13" t="e">
        <f>VLOOKUP(G18,#REF!, 5)</f>
        <v>#REF!</v>
      </c>
      <c r="S18" s="19" t="s">
        <v>18</v>
      </c>
      <c r="T18" s="42"/>
      <c r="AA18"/>
    </row>
    <row r="19" spans="1:27" ht="64.55" x14ac:dyDescent="0.2">
      <c r="A19" s="12" t="s">
        <v>118</v>
      </c>
      <c r="B19" s="12" t="s">
        <v>119</v>
      </c>
      <c r="C19" s="37" t="s">
        <v>120</v>
      </c>
      <c r="D19" s="12" t="s">
        <v>121</v>
      </c>
      <c r="E19" s="8" t="s">
        <v>115</v>
      </c>
      <c r="F19" s="8" t="s">
        <v>122</v>
      </c>
      <c r="G19" s="8" t="str">
        <f t="shared" si="0"/>
        <v>S1-00018</v>
      </c>
      <c r="H19" s="52" t="e">
        <f>VLOOKUP(G19,#REF!, 2)</f>
        <v>#REF!</v>
      </c>
      <c r="I19" s="52" t="e">
        <f>VLOOKUP(G19,#REF!, 4)</f>
        <v>#REF!</v>
      </c>
      <c r="J19" s="18" t="s">
        <v>117</v>
      </c>
      <c r="K19" s="18" t="s">
        <v>2347</v>
      </c>
      <c r="L19" s="18"/>
      <c r="M19" s="18"/>
      <c r="N19" s="18"/>
      <c r="O19" s="18"/>
      <c r="P19" s="18" t="e">
        <f t="shared" si="1"/>
        <v>#REF!</v>
      </c>
      <c r="Q19" s="19" t="e">
        <f>IF(R19=0,VLOOKUP(G19,#REF!, 3),R19)</f>
        <v>#REF!</v>
      </c>
      <c r="R19" s="13" t="e">
        <f>VLOOKUP(G19,#REF!, 5)</f>
        <v>#REF!</v>
      </c>
      <c r="S19" s="19" t="s">
        <v>18</v>
      </c>
      <c r="T19" s="42"/>
      <c r="AA19"/>
    </row>
    <row r="20" spans="1:27" ht="161.5" customHeight="1" x14ac:dyDescent="0.2">
      <c r="A20" s="12" t="s">
        <v>123</v>
      </c>
      <c r="B20" s="12" t="s">
        <v>124</v>
      </c>
      <c r="C20" s="37" t="s">
        <v>125</v>
      </c>
      <c r="D20" s="12" t="s">
        <v>2350</v>
      </c>
      <c r="E20" s="8" t="s">
        <v>115</v>
      </c>
      <c r="F20" s="8" t="s">
        <v>90</v>
      </c>
      <c r="G20" s="8" t="str">
        <f t="shared" si="0"/>
        <v>S1-00019</v>
      </c>
      <c r="H20" s="52" t="e">
        <f>VLOOKUP(G20,#REF!, 2)</f>
        <v>#REF!</v>
      </c>
      <c r="I20" s="52" t="e">
        <f>VLOOKUP(G20,#REF!, 4)</f>
        <v>#REF!</v>
      </c>
      <c r="J20" s="18" t="s">
        <v>127</v>
      </c>
      <c r="K20" s="18" t="s">
        <v>2351</v>
      </c>
      <c r="L20" s="18" t="s">
        <v>2352</v>
      </c>
      <c r="M20" s="18"/>
      <c r="N20" s="18"/>
      <c r="O20" s="18"/>
      <c r="P20" s="18" t="e">
        <f t="shared" si="1"/>
        <v>#REF!</v>
      </c>
      <c r="Q20" s="19" t="e">
        <f>IF(R20=0,VLOOKUP(G20,#REF!, 3),R20)</f>
        <v>#REF!</v>
      </c>
      <c r="R20" s="13" t="e">
        <f>VLOOKUP(G20,#REF!, 5)</f>
        <v>#REF!</v>
      </c>
      <c r="S20" s="19" t="s">
        <v>18</v>
      </c>
      <c r="T20" s="42"/>
      <c r="AA20"/>
    </row>
    <row r="21" spans="1:27" ht="25.85" x14ac:dyDescent="0.2">
      <c r="A21" s="12" t="s">
        <v>129</v>
      </c>
      <c r="B21" s="12" t="s">
        <v>130</v>
      </c>
      <c r="C21" s="37" t="s">
        <v>131</v>
      </c>
      <c r="D21" s="12" t="s">
        <v>132</v>
      </c>
      <c r="E21" s="8" t="s">
        <v>133</v>
      </c>
      <c r="F21" s="8" t="s">
        <v>116</v>
      </c>
      <c r="G21" s="8" t="str">
        <f t="shared" si="0"/>
        <v>S1-00020</v>
      </c>
      <c r="H21" s="52" t="e">
        <f>VLOOKUP(G21,#REF!, 2)</f>
        <v>#REF!</v>
      </c>
      <c r="I21" s="52" t="e">
        <f>VLOOKUP(G21,#REF!, 4)</f>
        <v>#REF!</v>
      </c>
      <c r="J21" s="18" t="s">
        <v>134</v>
      </c>
      <c r="K21" s="18" t="s">
        <v>2353</v>
      </c>
      <c r="L21" s="18"/>
      <c r="M21" s="18"/>
      <c r="N21" s="18" t="s">
        <v>2354</v>
      </c>
      <c r="O21" s="19" t="s">
        <v>2297</v>
      </c>
      <c r="P21" s="18" t="e">
        <f t="shared" si="1"/>
        <v>#REF!</v>
      </c>
      <c r="Q21" s="19" t="e">
        <f>IF(R21=0,VLOOKUP(G21,#REF!, 3),R21)</f>
        <v>#REF!</v>
      </c>
      <c r="R21" s="13" t="e">
        <f>VLOOKUP(G21,#REF!, 5)</f>
        <v>#REF!</v>
      </c>
      <c r="S21" s="19" t="s">
        <v>18</v>
      </c>
      <c r="T21" s="42"/>
      <c r="AA21"/>
    </row>
    <row r="22" spans="1:27" ht="64.55" x14ac:dyDescent="0.2">
      <c r="A22" s="12" t="s">
        <v>129</v>
      </c>
      <c r="B22" s="12" t="s">
        <v>135</v>
      </c>
      <c r="C22" s="37" t="s">
        <v>136</v>
      </c>
      <c r="D22" s="12" t="s">
        <v>137</v>
      </c>
      <c r="E22" s="8" t="s">
        <v>133</v>
      </c>
      <c r="F22" s="8" t="s">
        <v>116</v>
      </c>
      <c r="G22" s="8" t="str">
        <f t="shared" si="0"/>
        <v>S1-00021</v>
      </c>
      <c r="H22" s="52" t="e">
        <f>VLOOKUP(G22,#REF!, 2)</f>
        <v>#REF!</v>
      </c>
      <c r="I22" s="52" t="e">
        <f>VLOOKUP(G22,#REF!, 4)</f>
        <v>#REF!</v>
      </c>
      <c r="J22" s="18" t="s">
        <v>138</v>
      </c>
      <c r="K22" s="18" t="s">
        <v>2355</v>
      </c>
      <c r="L22" s="18" t="s">
        <v>2356</v>
      </c>
      <c r="M22" s="18"/>
      <c r="N22" s="19" t="s">
        <v>2357</v>
      </c>
      <c r="O22" s="19" t="s">
        <v>2297</v>
      </c>
      <c r="P22" s="18" t="e">
        <f t="shared" si="1"/>
        <v>#REF!</v>
      </c>
      <c r="Q22" s="19" t="e">
        <f>IF(R22=0,VLOOKUP(G22,#REF!, 3),R22)</f>
        <v>#REF!</v>
      </c>
      <c r="R22" s="13" t="e">
        <f>VLOOKUP(G22,#REF!, 5)</f>
        <v>#REF!</v>
      </c>
      <c r="S22" s="19" t="s">
        <v>18</v>
      </c>
      <c r="T22" s="42"/>
      <c r="AA22"/>
    </row>
    <row r="23" spans="1:27" ht="116.15" x14ac:dyDescent="0.2">
      <c r="A23" s="12" t="s">
        <v>129</v>
      </c>
      <c r="B23" s="12" t="s">
        <v>140</v>
      </c>
      <c r="C23" s="37" t="s">
        <v>141</v>
      </c>
      <c r="D23" s="12" t="s">
        <v>142</v>
      </c>
      <c r="E23" s="8" t="s">
        <v>133</v>
      </c>
      <c r="F23" s="8" t="s">
        <v>116</v>
      </c>
      <c r="G23" s="8" t="str">
        <f t="shared" si="0"/>
        <v>S1-00022</v>
      </c>
      <c r="H23" s="52" t="e">
        <f>VLOOKUP(G23,#REF!, 2)</f>
        <v>#REF!</v>
      </c>
      <c r="I23" s="52" t="e">
        <f>VLOOKUP(G23,#REF!, 4)</f>
        <v>#REF!</v>
      </c>
      <c r="J23" s="18" t="s">
        <v>143</v>
      </c>
      <c r="K23" s="18" t="s">
        <v>2358</v>
      </c>
      <c r="L23" s="18"/>
      <c r="M23" s="18" t="s">
        <v>2359</v>
      </c>
      <c r="N23" s="19" t="s">
        <v>2360</v>
      </c>
      <c r="O23" s="19" t="s">
        <v>2297</v>
      </c>
      <c r="P23" s="18" t="e">
        <f t="shared" si="1"/>
        <v>#REF!</v>
      </c>
      <c r="Q23" s="19" t="e">
        <f>IF(R23=0,VLOOKUP(G23,#REF!, 3),R23)</f>
        <v>#REF!</v>
      </c>
      <c r="R23" s="13" t="e">
        <f>VLOOKUP(G23,#REF!, 5)</f>
        <v>#REF!</v>
      </c>
      <c r="S23" s="19" t="s">
        <v>18</v>
      </c>
      <c r="T23" s="42" t="s">
        <v>2320</v>
      </c>
      <c r="U23" s="4" t="s">
        <v>2299</v>
      </c>
      <c r="V23" s="4" t="s">
        <v>2300</v>
      </c>
      <c r="AA23"/>
    </row>
    <row r="24" spans="1:27" ht="38.75" x14ac:dyDescent="0.2">
      <c r="A24" s="12" t="s">
        <v>129</v>
      </c>
      <c r="B24" s="12" t="s">
        <v>144</v>
      </c>
      <c r="C24" s="37" t="s">
        <v>145</v>
      </c>
      <c r="D24" s="12" t="s">
        <v>146</v>
      </c>
      <c r="E24" s="8" t="s">
        <v>133</v>
      </c>
      <c r="F24" s="8" t="s">
        <v>116</v>
      </c>
      <c r="G24" s="8" t="str">
        <f t="shared" si="0"/>
        <v>S1-00023</v>
      </c>
      <c r="H24" s="52" t="e">
        <f>VLOOKUP(G24,#REF!, 2)</f>
        <v>#REF!</v>
      </c>
      <c r="I24" s="52" t="e">
        <f>VLOOKUP(G24,#REF!, 4)</f>
        <v>#REF!</v>
      </c>
      <c r="J24" s="18" t="s">
        <v>147</v>
      </c>
      <c r="K24" s="18" t="s">
        <v>2361</v>
      </c>
      <c r="L24" s="18" t="s">
        <v>2362</v>
      </c>
      <c r="M24" s="18"/>
      <c r="N24" s="18"/>
      <c r="O24" s="18"/>
      <c r="P24" s="18" t="e">
        <f t="shared" si="1"/>
        <v>#REF!</v>
      </c>
      <c r="Q24" s="19" t="e">
        <f>IF(R24=0,VLOOKUP(G24,#REF!, 3),R24)</f>
        <v>#REF!</v>
      </c>
      <c r="R24" s="13" t="e">
        <f>VLOOKUP(G24,#REF!, 5)</f>
        <v>#REF!</v>
      </c>
      <c r="S24" s="19" t="s">
        <v>18</v>
      </c>
      <c r="T24" s="43"/>
      <c r="AA24"/>
    </row>
    <row r="25" spans="1:27" ht="51.65" x14ac:dyDescent="0.2">
      <c r="A25" s="12" t="s">
        <v>149</v>
      </c>
      <c r="B25" s="12" t="s">
        <v>150</v>
      </c>
      <c r="C25" s="37" t="s">
        <v>151</v>
      </c>
      <c r="D25" s="12" t="s">
        <v>152</v>
      </c>
      <c r="E25" s="8" t="s">
        <v>133</v>
      </c>
      <c r="F25" s="8" t="s">
        <v>153</v>
      </c>
      <c r="G25" s="8" t="str">
        <f t="shared" si="0"/>
        <v>S1-00024</v>
      </c>
      <c r="H25" s="52" t="e">
        <f>VLOOKUP(G25,#REF!, 2)</f>
        <v>#REF!</v>
      </c>
      <c r="I25" s="52" t="e">
        <f>VLOOKUP(G25,#REF!, 4)</f>
        <v>#REF!</v>
      </c>
      <c r="J25" s="18" t="s">
        <v>154</v>
      </c>
      <c r="K25" s="18" t="s">
        <v>2363</v>
      </c>
      <c r="L25" s="18" t="s">
        <v>2364</v>
      </c>
      <c r="M25" s="18"/>
      <c r="N25" s="18" t="s">
        <v>2365</v>
      </c>
      <c r="O25" s="18" t="s">
        <v>2297</v>
      </c>
      <c r="P25" s="18" t="e">
        <f t="shared" si="1"/>
        <v>#REF!</v>
      </c>
      <c r="Q25" s="19" t="e">
        <f>IF(R25=0,VLOOKUP(G25,#REF!, 3),R25)</f>
        <v>#REF!</v>
      </c>
      <c r="R25" s="13" t="e">
        <f>VLOOKUP(G25,#REF!, 5)</f>
        <v>#REF!</v>
      </c>
      <c r="S25" s="18" t="s">
        <v>18</v>
      </c>
      <c r="T25" s="43"/>
      <c r="AA25"/>
    </row>
    <row r="26" spans="1:27" ht="51.65" x14ac:dyDescent="0.2">
      <c r="A26" s="12" t="s">
        <v>156</v>
      </c>
      <c r="B26" s="12" t="s">
        <v>157</v>
      </c>
      <c r="C26" s="37" t="s">
        <v>158</v>
      </c>
      <c r="D26" s="12" t="s">
        <v>159</v>
      </c>
      <c r="E26" s="8" t="s">
        <v>133</v>
      </c>
      <c r="F26" s="8" t="s">
        <v>103</v>
      </c>
      <c r="G26" s="8" t="str">
        <f t="shared" si="0"/>
        <v>S1-00025</v>
      </c>
      <c r="H26" s="52" t="e">
        <f>VLOOKUP(G26,#REF!, 2)</f>
        <v>#REF!</v>
      </c>
      <c r="I26" s="52" t="e">
        <f>VLOOKUP(G26,#REF!, 4)</f>
        <v>#REF!</v>
      </c>
      <c r="J26" s="18" t="s">
        <v>160</v>
      </c>
      <c r="K26" s="18" t="s">
        <v>2366</v>
      </c>
      <c r="L26" s="19" t="s">
        <v>2367</v>
      </c>
      <c r="M26" s="19"/>
      <c r="N26" s="19" t="s">
        <v>2368</v>
      </c>
      <c r="O26" s="19" t="s">
        <v>2297</v>
      </c>
      <c r="P26" s="18" t="e">
        <f t="shared" si="1"/>
        <v>#REF!</v>
      </c>
      <c r="Q26" s="19" t="e">
        <f>IF(R26=0,VLOOKUP(G26,#REF!, 3),R26)</f>
        <v>#REF!</v>
      </c>
      <c r="R26" s="13" t="e">
        <f>VLOOKUP(G26,#REF!, 5)</f>
        <v>#REF!</v>
      </c>
      <c r="S26" s="19" t="s">
        <v>18</v>
      </c>
      <c r="T26" s="43"/>
      <c r="AA26"/>
    </row>
    <row r="27" spans="1:27" ht="64.55" x14ac:dyDescent="0.2">
      <c r="A27" s="12" t="s">
        <v>161</v>
      </c>
      <c r="B27" s="12" t="s">
        <v>162</v>
      </c>
      <c r="C27" s="37" t="s">
        <v>163</v>
      </c>
      <c r="D27" s="12" t="s">
        <v>164</v>
      </c>
      <c r="E27" s="8" t="s">
        <v>133</v>
      </c>
      <c r="F27" s="8" t="s">
        <v>165</v>
      </c>
      <c r="G27" s="8" t="str">
        <f t="shared" si="0"/>
        <v>S1-00026</v>
      </c>
      <c r="H27" s="52" t="e">
        <f>VLOOKUP(G27,#REF!, 2)</f>
        <v>#REF!</v>
      </c>
      <c r="I27" s="52" t="e">
        <f>VLOOKUP(G27,#REF!, 4)</f>
        <v>#REF!</v>
      </c>
      <c r="J27" s="18" t="s">
        <v>166</v>
      </c>
      <c r="K27" s="18" t="s">
        <v>2369</v>
      </c>
      <c r="L27" s="18"/>
      <c r="M27" s="18" t="s">
        <v>2370</v>
      </c>
      <c r="N27" s="19" t="s">
        <v>2371</v>
      </c>
      <c r="O27" s="19" t="s">
        <v>2297</v>
      </c>
      <c r="P27" s="18" t="e">
        <f t="shared" si="1"/>
        <v>#REF!</v>
      </c>
      <c r="Q27" s="19" t="e">
        <f>IF(R27=0,VLOOKUP(G27,#REF!, 3),R27)</f>
        <v>#REF!</v>
      </c>
      <c r="R27" s="13" t="e">
        <f>VLOOKUP(G27,#REF!, 5)</f>
        <v>#REF!</v>
      </c>
      <c r="S27" s="19" t="s">
        <v>18</v>
      </c>
      <c r="T27" s="42" t="s">
        <v>2320</v>
      </c>
      <c r="U27" s="4" t="s">
        <v>2299</v>
      </c>
      <c r="V27" s="4" t="s">
        <v>2300</v>
      </c>
      <c r="AA27"/>
    </row>
    <row r="28" spans="1:27" ht="38.75" x14ac:dyDescent="0.2">
      <c r="A28" s="12" t="s">
        <v>168</v>
      </c>
      <c r="B28" s="12" t="s">
        <v>169</v>
      </c>
      <c r="C28" s="37" t="s">
        <v>170</v>
      </c>
      <c r="D28" s="12" t="s">
        <v>171</v>
      </c>
      <c r="E28" s="8" t="s">
        <v>172</v>
      </c>
      <c r="F28" s="8" t="s">
        <v>173</v>
      </c>
      <c r="G28" s="8" t="str">
        <f t="shared" si="0"/>
        <v>S1-00027</v>
      </c>
      <c r="H28" s="52" t="e">
        <f>VLOOKUP(G28,#REF!, 2)</f>
        <v>#REF!</v>
      </c>
      <c r="I28" s="52" t="e">
        <f>VLOOKUP(G28,#REF!, 4)</f>
        <v>#REF!</v>
      </c>
      <c r="J28" s="18" t="s">
        <v>174</v>
      </c>
      <c r="K28" s="18" t="s">
        <v>2372</v>
      </c>
      <c r="L28" s="18"/>
      <c r="M28" s="18"/>
      <c r="N28" s="18"/>
      <c r="O28" s="18"/>
      <c r="P28" s="18" t="e">
        <f t="shared" si="1"/>
        <v>#REF!</v>
      </c>
      <c r="Q28" s="19" t="e">
        <f>IF(R28=0,VLOOKUP(G28,#REF!, 3),R28)</f>
        <v>#REF!</v>
      </c>
      <c r="R28" s="13" t="e">
        <f>VLOOKUP(G28,#REF!, 5)</f>
        <v>#REF!</v>
      </c>
      <c r="S28" s="18" t="s">
        <v>18</v>
      </c>
      <c r="T28" s="43"/>
      <c r="AA28"/>
    </row>
    <row r="29" spans="1:27" ht="64.55" x14ac:dyDescent="0.2">
      <c r="A29" s="12" t="s">
        <v>175</v>
      </c>
      <c r="B29" s="12" t="s">
        <v>176</v>
      </c>
      <c r="C29" s="37" t="s">
        <v>177</v>
      </c>
      <c r="D29" s="12" t="s">
        <v>2373</v>
      </c>
      <c r="E29" s="8" t="s">
        <v>179</v>
      </c>
      <c r="F29" s="8" t="s">
        <v>66</v>
      </c>
      <c r="G29" s="8" t="str">
        <f t="shared" si="0"/>
        <v>S1-00028</v>
      </c>
      <c r="H29" s="52" t="e">
        <f>VLOOKUP(G29,#REF!, 2)</f>
        <v>#REF!</v>
      </c>
      <c r="I29" s="52" t="e">
        <f>VLOOKUP(G29,#REF!, 4)</f>
        <v>#REF!</v>
      </c>
      <c r="J29" s="18" t="s">
        <v>180</v>
      </c>
      <c r="K29" s="18" t="s">
        <v>2374</v>
      </c>
      <c r="L29" s="18" t="s">
        <v>2375</v>
      </c>
      <c r="M29" s="18"/>
      <c r="N29" s="19" t="s">
        <v>2376</v>
      </c>
      <c r="O29" s="19" t="s">
        <v>2377</v>
      </c>
      <c r="P29" s="18" t="e">
        <f t="shared" si="1"/>
        <v>#REF!</v>
      </c>
      <c r="Q29" s="19" t="e">
        <f>IF(R29=0,VLOOKUP(G29,#REF!, 3),R29)</f>
        <v>#REF!</v>
      </c>
      <c r="R29" s="13" t="e">
        <f>VLOOKUP(G29,#REF!, 5)</f>
        <v>#REF!</v>
      </c>
      <c r="S29" s="18" t="s">
        <v>18</v>
      </c>
      <c r="T29" s="43"/>
      <c r="AA29"/>
    </row>
    <row r="30" spans="1:27" ht="129.1" x14ac:dyDescent="0.2">
      <c r="A30" s="12" t="s">
        <v>181</v>
      </c>
      <c r="B30" s="12" t="s">
        <v>182</v>
      </c>
      <c r="C30" s="37" t="s">
        <v>183</v>
      </c>
      <c r="D30" s="12" t="s">
        <v>184</v>
      </c>
      <c r="E30" s="8" t="s">
        <v>179</v>
      </c>
      <c r="F30" s="8" t="s">
        <v>185</v>
      </c>
      <c r="G30" s="8" t="str">
        <f t="shared" si="0"/>
        <v>S1-00029</v>
      </c>
      <c r="H30" s="52" t="e">
        <f>VLOOKUP(G30,#REF!, 2)</f>
        <v>#REF!</v>
      </c>
      <c r="I30" s="52" t="e">
        <f>VLOOKUP(G30,#REF!, 4)</f>
        <v>#REF!</v>
      </c>
      <c r="J30" s="18" t="s">
        <v>186</v>
      </c>
      <c r="K30" s="18" t="s">
        <v>2378</v>
      </c>
      <c r="L30" s="18" t="s">
        <v>2379</v>
      </c>
      <c r="M30" s="19" t="s">
        <v>2380</v>
      </c>
      <c r="N30" s="19" t="s">
        <v>2381</v>
      </c>
      <c r="O30" s="19"/>
      <c r="P30" s="18" t="e">
        <f t="shared" si="1"/>
        <v>#REF!</v>
      </c>
      <c r="Q30" s="19" t="e">
        <f>IF(R30=0,VLOOKUP(G30,#REF!, 3),R30)</f>
        <v>#REF!</v>
      </c>
      <c r="R30" s="13" t="e">
        <f>VLOOKUP(G30,#REF!, 5)</f>
        <v>#REF!</v>
      </c>
      <c r="S30" s="18" t="s">
        <v>18</v>
      </c>
      <c r="T30" s="43" t="s">
        <v>2382</v>
      </c>
      <c r="U30" s="4" t="s">
        <v>2299</v>
      </c>
      <c r="V30" s="4" t="s">
        <v>2300</v>
      </c>
      <c r="AA30"/>
    </row>
    <row r="31" spans="1:27" ht="109.9" customHeight="1" x14ac:dyDescent="0.2">
      <c r="A31" s="12" t="s">
        <v>188</v>
      </c>
      <c r="B31" s="12" t="s">
        <v>189</v>
      </c>
      <c r="C31" s="37" t="s">
        <v>190</v>
      </c>
      <c r="D31" s="12" t="s">
        <v>191</v>
      </c>
      <c r="E31" s="8" t="s">
        <v>179</v>
      </c>
      <c r="F31" s="8" t="s">
        <v>192</v>
      </c>
      <c r="G31" s="8" t="str">
        <f t="shared" si="0"/>
        <v>S1-00554</v>
      </c>
      <c r="H31" s="52" t="e">
        <f>VLOOKUP(G31,#REF!, 2)</f>
        <v>#REF!</v>
      </c>
      <c r="I31" s="52" t="e">
        <f>VLOOKUP(G31,#REF!, 4)</f>
        <v>#REF!</v>
      </c>
      <c r="J31" s="18" t="s">
        <v>2383</v>
      </c>
      <c r="K31" s="22" t="s">
        <v>2384</v>
      </c>
      <c r="L31" s="18" t="s">
        <v>2385</v>
      </c>
      <c r="M31" s="18" t="s">
        <v>2386</v>
      </c>
      <c r="N31" s="19" t="s">
        <v>2387</v>
      </c>
      <c r="O31" s="19" t="s">
        <v>2377</v>
      </c>
      <c r="P31" s="18" t="e">
        <f t="shared" si="1"/>
        <v>#REF!</v>
      </c>
      <c r="Q31" s="19" t="e">
        <f>IF(R31=0,VLOOKUP(G31,#REF!, 3),R31)</f>
        <v>#REF!</v>
      </c>
      <c r="R31" s="13" t="e">
        <f>VLOOKUP(G31,#REF!, 5)</f>
        <v>#REF!</v>
      </c>
      <c r="S31" s="18" t="s">
        <v>18</v>
      </c>
      <c r="T31" s="42" t="s">
        <v>2320</v>
      </c>
      <c r="U31" s="4" t="s">
        <v>2299</v>
      </c>
      <c r="V31" s="4" t="s">
        <v>2300</v>
      </c>
      <c r="AA31"/>
    </row>
    <row r="32" spans="1:27" ht="90.35" x14ac:dyDescent="0.2">
      <c r="A32" s="12" t="s">
        <v>195</v>
      </c>
      <c r="B32" s="12" t="s">
        <v>196</v>
      </c>
      <c r="C32" s="37" t="s">
        <v>197</v>
      </c>
      <c r="D32" s="12" t="s">
        <v>198</v>
      </c>
      <c r="E32" s="8" t="s">
        <v>179</v>
      </c>
      <c r="F32" s="8" t="s">
        <v>199</v>
      </c>
      <c r="G32" s="8" t="str">
        <f t="shared" si="0"/>
        <v>S1-00555</v>
      </c>
      <c r="H32" s="52" t="e">
        <f>VLOOKUP(G32,#REF!, 2)</f>
        <v>#REF!</v>
      </c>
      <c r="I32" s="52" t="e">
        <f>VLOOKUP(G32,#REF!, 4)</f>
        <v>#REF!</v>
      </c>
      <c r="J32" s="18" t="s">
        <v>2388</v>
      </c>
      <c r="K32" s="22" t="s">
        <v>2389</v>
      </c>
      <c r="L32" s="18" t="s">
        <v>2390</v>
      </c>
      <c r="M32" s="18" t="s">
        <v>2391</v>
      </c>
      <c r="N32" s="18" t="s">
        <v>2392</v>
      </c>
      <c r="O32" s="19" t="s">
        <v>2377</v>
      </c>
      <c r="P32" s="18" t="e">
        <f t="shared" si="1"/>
        <v>#REF!</v>
      </c>
      <c r="Q32" s="19" t="e">
        <f>IF(R32=0,VLOOKUP(G32,#REF!, 3),R32)</f>
        <v>#REF!</v>
      </c>
      <c r="R32" s="13" t="e">
        <f>VLOOKUP(G32,#REF!, 5)</f>
        <v>#REF!</v>
      </c>
      <c r="S32" s="18" t="s">
        <v>18</v>
      </c>
      <c r="T32" s="43" t="s">
        <v>2393</v>
      </c>
      <c r="U32" s="4" t="s">
        <v>2299</v>
      </c>
      <c r="AA32"/>
    </row>
    <row r="33" spans="1:27" ht="272.75" customHeight="1" x14ac:dyDescent="0.2">
      <c r="A33" s="12" t="s">
        <v>202</v>
      </c>
      <c r="B33" s="12" t="s">
        <v>203</v>
      </c>
      <c r="C33" s="37" t="s">
        <v>204</v>
      </c>
      <c r="D33" s="12" t="s">
        <v>205</v>
      </c>
      <c r="E33" s="8" t="s">
        <v>206</v>
      </c>
      <c r="F33" s="8" t="s">
        <v>207</v>
      </c>
      <c r="G33" s="8" t="str">
        <f t="shared" si="0"/>
        <v>S1-00556</v>
      </c>
      <c r="H33" s="52" t="e">
        <f>VLOOKUP(G33,#REF!, 2)</f>
        <v>#REF!</v>
      </c>
      <c r="I33" s="52" t="e">
        <f>VLOOKUP(G33,#REF!, 4)</f>
        <v>#REF!</v>
      </c>
      <c r="J33" s="18" t="s">
        <v>186</v>
      </c>
      <c r="K33" s="22" t="s">
        <v>2394</v>
      </c>
      <c r="L33" s="18" t="s">
        <v>2395</v>
      </c>
      <c r="M33" s="19" t="s">
        <v>2396</v>
      </c>
      <c r="N33" s="19" t="s">
        <v>2397</v>
      </c>
      <c r="O33" s="19" t="s">
        <v>2377</v>
      </c>
      <c r="P33" s="18" t="e">
        <f t="shared" si="1"/>
        <v>#REF!</v>
      </c>
      <c r="Q33" s="19" t="e">
        <f>IF(R33=0,VLOOKUP(G33,#REF!, 3),R33)</f>
        <v>#REF!</v>
      </c>
      <c r="R33" s="13" t="e">
        <f>VLOOKUP(G33,#REF!, 5)</f>
        <v>#REF!</v>
      </c>
      <c r="S33" s="18" t="s">
        <v>18</v>
      </c>
      <c r="T33" s="43" t="s">
        <v>2398</v>
      </c>
      <c r="U33" s="4" t="s">
        <v>2299</v>
      </c>
      <c r="AA33"/>
    </row>
    <row r="34" spans="1:27" ht="288" customHeight="1" x14ac:dyDescent="0.2">
      <c r="A34" s="12" t="s">
        <v>208</v>
      </c>
      <c r="B34" s="12" t="s">
        <v>209</v>
      </c>
      <c r="C34" s="37" t="s">
        <v>210</v>
      </c>
      <c r="D34" s="12" t="s">
        <v>211</v>
      </c>
      <c r="E34" s="8" t="s">
        <v>212</v>
      </c>
      <c r="F34" s="8" t="s">
        <v>213</v>
      </c>
      <c r="G34" s="8" t="str">
        <f t="shared" si="0"/>
        <v>S1-00557</v>
      </c>
      <c r="H34" s="52" t="e">
        <f>VLOOKUP(G34,#REF!, 2)</f>
        <v>#REF!</v>
      </c>
      <c r="I34" s="52" t="e">
        <f>VLOOKUP(G34,#REF!, 4)</f>
        <v>#REF!</v>
      </c>
      <c r="J34" s="18" t="s">
        <v>214</v>
      </c>
      <c r="K34" s="22" t="s">
        <v>214</v>
      </c>
      <c r="L34" s="18" t="s">
        <v>2399</v>
      </c>
      <c r="M34" s="19" t="s">
        <v>2400</v>
      </c>
      <c r="N34" s="18"/>
      <c r="O34" s="18"/>
      <c r="P34" s="18" t="e">
        <f t="shared" si="1"/>
        <v>#REF!</v>
      </c>
      <c r="Q34" s="19" t="e">
        <f>IF(R34=0,VLOOKUP(G34,#REF!, 3),R34)</f>
        <v>#REF!</v>
      </c>
      <c r="R34" s="13" t="e">
        <f>VLOOKUP(G34,#REF!, 5)</f>
        <v>#REF!</v>
      </c>
      <c r="S34" s="18" t="s">
        <v>18</v>
      </c>
      <c r="T34" s="43" t="s">
        <v>2401</v>
      </c>
      <c r="U34" s="4" t="s">
        <v>2299</v>
      </c>
      <c r="AA34"/>
    </row>
    <row r="35" spans="1:27" ht="253.2" customHeight="1" x14ac:dyDescent="0.2">
      <c r="A35" s="12" t="s">
        <v>215</v>
      </c>
      <c r="B35" s="12" t="s">
        <v>216</v>
      </c>
      <c r="C35" s="37" t="s">
        <v>217</v>
      </c>
      <c r="D35" s="12" t="s">
        <v>218</v>
      </c>
      <c r="E35" s="8" t="s">
        <v>219</v>
      </c>
      <c r="F35" s="8" t="s">
        <v>66</v>
      </c>
      <c r="G35" s="8" t="str">
        <f t="shared" si="0"/>
        <v>S1-00030</v>
      </c>
      <c r="H35" s="52" t="e">
        <f>VLOOKUP(G35,#REF!, 2)</f>
        <v>#REF!</v>
      </c>
      <c r="I35" s="52" t="e">
        <f>VLOOKUP(G35,#REF!, 4)</f>
        <v>#REF!</v>
      </c>
      <c r="J35" s="18" t="s">
        <v>220</v>
      </c>
      <c r="K35" s="18" t="s">
        <v>2402</v>
      </c>
      <c r="L35" s="18" t="s">
        <v>2403</v>
      </c>
      <c r="M35" s="18" t="s">
        <v>2404</v>
      </c>
      <c r="N35" s="19" t="s">
        <v>2405</v>
      </c>
      <c r="O35" s="18" t="s">
        <v>2297</v>
      </c>
      <c r="P35" s="18" t="e">
        <f t="shared" si="1"/>
        <v>#REF!</v>
      </c>
      <c r="Q35" s="19" t="e">
        <f>IF(R35=0,VLOOKUP(G35,#REF!, 3),R35)</f>
        <v>#REF!</v>
      </c>
      <c r="R35" s="13" t="e">
        <f>VLOOKUP(G35,#REF!, 5)</f>
        <v>#REF!</v>
      </c>
      <c r="S35" s="18" t="s">
        <v>18</v>
      </c>
      <c r="T35" s="43" t="s">
        <v>2406</v>
      </c>
      <c r="U35" s="4" t="s">
        <v>2309</v>
      </c>
      <c r="AA35"/>
    </row>
    <row r="36" spans="1:27" ht="51.65" x14ac:dyDescent="0.2">
      <c r="A36" s="12" t="s">
        <v>215</v>
      </c>
      <c r="B36" s="12" t="s">
        <v>222</v>
      </c>
      <c r="C36" s="51" t="s">
        <v>223</v>
      </c>
      <c r="D36" s="39" t="s">
        <v>224</v>
      </c>
      <c r="E36" s="10" t="s">
        <v>219</v>
      </c>
      <c r="F36" s="10" t="s">
        <v>66</v>
      </c>
      <c r="G36" s="8" t="str">
        <f t="shared" si="0"/>
        <v>S1-00031</v>
      </c>
      <c r="H36" s="52" t="e">
        <f>VLOOKUP(G36,#REF!, 2)</f>
        <v>#REF!</v>
      </c>
      <c r="I36" s="52" t="e">
        <f>VLOOKUP(G36,#REF!, 4)</f>
        <v>#REF!</v>
      </c>
      <c r="J36" s="22" t="s">
        <v>225</v>
      </c>
      <c r="K36" s="22" t="s">
        <v>2407</v>
      </c>
      <c r="L36" s="22"/>
      <c r="M36" s="22"/>
      <c r="N36" s="19" t="s">
        <v>2408</v>
      </c>
      <c r="O36" s="18" t="s">
        <v>2297</v>
      </c>
      <c r="P36" s="18"/>
      <c r="Q36" s="19" t="e">
        <f>IF(R36=0,VLOOKUP(G36,#REF!, 3),R36)</f>
        <v>#REF!</v>
      </c>
      <c r="R36" s="13" t="e">
        <f>VLOOKUP(G36,#REF!, 5)</f>
        <v>#REF!</v>
      </c>
      <c r="S36" s="18" t="s">
        <v>18</v>
      </c>
      <c r="T36" s="43"/>
      <c r="AA36"/>
    </row>
    <row r="37" spans="1:27" ht="64.55" x14ac:dyDescent="0.2">
      <c r="A37" s="12" t="s">
        <v>227</v>
      </c>
      <c r="B37" s="12" t="s">
        <v>228</v>
      </c>
      <c r="C37" s="37" t="s">
        <v>229</v>
      </c>
      <c r="D37" s="12" t="s">
        <v>230</v>
      </c>
      <c r="E37" s="8" t="s">
        <v>219</v>
      </c>
      <c r="F37" s="8" t="s">
        <v>116</v>
      </c>
      <c r="G37" s="8" t="str">
        <f t="shared" si="0"/>
        <v>S1-00032</v>
      </c>
      <c r="H37" s="52" t="e">
        <f>VLOOKUP(G37,#REF!, 2)</f>
        <v>#REF!</v>
      </c>
      <c r="I37" s="52" t="e">
        <f>VLOOKUP(G37,#REF!, 4)</f>
        <v>#REF!</v>
      </c>
      <c r="J37" s="18" t="s">
        <v>231</v>
      </c>
      <c r="K37" s="18" t="s">
        <v>2409</v>
      </c>
      <c r="L37" s="18" t="s">
        <v>2410</v>
      </c>
      <c r="M37" s="18"/>
      <c r="N37" s="18"/>
      <c r="O37" s="18"/>
      <c r="P37" s="18" t="e">
        <f t="shared" si="1"/>
        <v>#REF!</v>
      </c>
      <c r="Q37" s="19" t="e">
        <f>IF(R37=0,VLOOKUP(G37,#REF!, 3),R37)</f>
        <v>#REF!</v>
      </c>
      <c r="R37" s="13" t="e">
        <f>VLOOKUP(G37,#REF!, 5)</f>
        <v>#REF!</v>
      </c>
      <c r="S37" s="18" t="s">
        <v>18</v>
      </c>
      <c r="T37" s="43"/>
      <c r="AA37"/>
    </row>
    <row r="38" spans="1:27" ht="38.75" x14ac:dyDescent="0.2">
      <c r="A38" s="12" t="s">
        <v>227</v>
      </c>
      <c r="B38" s="12" t="s">
        <v>233</v>
      </c>
      <c r="C38" s="37" t="s">
        <v>234</v>
      </c>
      <c r="D38" s="12" t="s">
        <v>235</v>
      </c>
      <c r="E38" s="8" t="s">
        <v>219</v>
      </c>
      <c r="F38" s="8" t="s">
        <v>116</v>
      </c>
      <c r="G38" s="8" t="str">
        <f t="shared" si="0"/>
        <v>S1-00033</v>
      </c>
      <c r="H38" s="52" t="e">
        <f>VLOOKUP(G38,#REF!, 2)</f>
        <v>#REF!</v>
      </c>
      <c r="I38" s="52" t="e">
        <f>VLOOKUP(G38,#REF!, 4)</f>
        <v>#REF!</v>
      </c>
      <c r="J38" s="18" t="s">
        <v>236</v>
      </c>
      <c r="K38" s="18" t="s">
        <v>2411</v>
      </c>
      <c r="L38" s="18"/>
      <c r="M38" s="18"/>
      <c r="N38" s="18"/>
      <c r="O38" s="18"/>
      <c r="P38" s="18" t="e">
        <f t="shared" si="1"/>
        <v>#REF!</v>
      </c>
      <c r="Q38" s="19" t="e">
        <f>IF(R38=0,VLOOKUP(G38,#REF!, 3),R38)</f>
        <v>#REF!</v>
      </c>
      <c r="R38" s="13" t="e">
        <f>VLOOKUP(G38,#REF!, 5)</f>
        <v>#REF!</v>
      </c>
      <c r="S38" s="18" t="s">
        <v>18</v>
      </c>
      <c r="T38" s="43"/>
      <c r="AA38"/>
    </row>
    <row r="39" spans="1:27" ht="25.85" x14ac:dyDescent="0.2">
      <c r="A39" s="12" t="s">
        <v>237</v>
      </c>
      <c r="B39" s="12" t="s">
        <v>238</v>
      </c>
      <c r="C39" s="51" t="s">
        <v>239</v>
      </c>
      <c r="D39" s="39" t="s">
        <v>240</v>
      </c>
      <c r="E39" s="10" t="s">
        <v>219</v>
      </c>
      <c r="F39" s="10" t="s">
        <v>153</v>
      </c>
      <c r="G39" s="8" t="str">
        <f t="shared" si="0"/>
        <v>S1-00034</v>
      </c>
      <c r="H39" s="52" t="e">
        <f>VLOOKUP(G39,#REF!, 2)</f>
        <v>#REF!</v>
      </c>
      <c r="I39" s="52" t="e">
        <f>VLOOKUP(G39,#REF!, 4)</f>
        <v>#REF!</v>
      </c>
      <c r="J39" s="22" t="s">
        <v>241</v>
      </c>
      <c r="K39" s="22" t="s">
        <v>2412</v>
      </c>
      <c r="L39" s="22"/>
      <c r="M39" s="22"/>
      <c r="N39" s="22"/>
      <c r="O39" s="22"/>
      <c r="P39" s="18" t="e">
        <f t="shared" si="1"/>
        <v>#REF!</v>
      </c>
      <c r="Q39" s="19" t="e">
        <f>IF(R39=0,VLOOKUP(G39,#REF!, 3),R39)</f>
        <v>#REF!</v>
      </c>
      <c r="R39" s="13" t="e">
        <f>VLOOKUP(G39,#REF!, 5)</f>
        <v>#REF!</v>
      </c>
      <c r="S39" s="18" t="s">
        <v>18</v>
      </c>
      <c r="T39" s="43"/>
      <c r="AA39"/>
    </row>
    <row r="40" spans="1:27" ht="265.95" customHeight="1" x14ac:dyDescent="0.2">
      <c r="A40" s="12" t="s">
        <v>242</v>
      </c>
      <c r="B40" s="12" t="s">
        <v>243</v>
      </c>
      <c r="C40" s="37" t="s">
        <v>244</v>
      </c>
      <c r="D40" s="12" t="s">
        <v>245</v>
      </c>
      <c r="E40" s="8" t="s">
        <v>219</v>
      </c>
      <c r="F40" s="8" t="s">
        <v>246</v>
      </c>
      <c r="G40" s="8" t="str">
        <f t="shared" si="0"/>
        <v>S1-00035</v>
      </c>
      <c r="H40" s="52" t="e">
        <f>VLOOKUP(G40,#REF!, 2)</f>
        <v>#REF!</v>
      </c>
      <c r="I40" s="52" t="e">
        <f>VLOOKUP(G40,#REF!, 4)</f>
        <v>#REF!</v>
      </c>
      <c r="J40" s="18" t="s">
        <v>247</v>
      </c>
      <c r="K40" s="18" t="s">
        <v>2413</v>
      </c>
      <c r="L40" s="18" t="s">
        <v>2414</v>
      </c>
      <c r="M40" s="18"/>
      <c r="N40" s="18"/>
      <c r="O40" s="35"/>
      <c r="P40" s="18" t="e">
        <f t="shared" si="1"/>
        <v>#REF!</v>
      </c>
      <c r="Q40" s="19" t="e">
        <f>IF(R40=0,VLOOKUP(G40,#REF!, 3),R40)</f>
        <v>#REF!</v>
      </c>
      <c r="R40" s="13" t="e">
        <f>VLOOKUP(G40,#REF!, 5)</f>
        <v>#REF!</v>
      </c>
      <c r="S40" s="18" t="s">
        <v>18</v>
      </c>
      <c r="T40" s="43"/>
      <c r="AA40"/>
    </row>
    <row r="41" spans="1:27" ht="163.9" customHeight="1" x14ac:dyDescent="0.2">
      <c r="A41" s="12" t="s">
        <v>248</v>
      </c>
      <c r="B41" s="12" t="s">
        <v>249</v>
      </c>
      <c r="C41" s="37" t="s">
        <v>250</v>
      </c>
      <c r="D41" s="12" t="s">
        <v>251</v>
      </c>
      <c r="E41" s="8" t="s">
        <v>252</v>
      </c>
      <c r="F41" s="8" t="s">
        <v>246</v>
      </c>
      <c r="G41" s="8" t="str">
        <f t="shared" si="0"/>
        <v>S1-00037</v>
      </c>
      <c r="H41" s="52" t="e">
        <f>VLOOKUP(G41,#REF!, 2)</f>
        <v>#REF!</v>
      </c>
      <c r="I41" s="52" t="e">
        <f>VLOOKUP(G41,#REF!, 4)</f>
        <v>#REF!</v>
      </c>
      <c r="J41" s="18" t="s">
        <v>253</v>
      </c>
      <c r="K41" s="18" t="s">
        <v>2415</v>
      </c>
      <c r="L41" s="18" t="s">
        <v>2416</v>
      </c>
      <c r="M41" s="19" t="s">
        <v>2417</v>
      </c>
      <c r="N41" s="18" t="s">
        <v>2418</v>
      </c>
      <c r="O41" s="18" t="s">
        <v>2297</v>
      </c>
      <c r="P41" s="18" t="e">
        <f t="shared" si="1"/>
        <v>#REF!</v>
      </c>
      <c r="Q41" s="19" t="e">
        <f>IF(R41=0,VLOOKUP(G41,#REF!, 3),R41)</f>
        <v>#REF!</v>
      </c>
      <c r="R41" s="13" t="e">
        <f>VLOOKUP(G41,#REF!, 5)</f>
        <v>#REF!</v>
      </c>
      <c r="S41" s="18" t="s">
        <v>18</v>
      </c>
      <c r="T41" s="43" t="s">
        <v>2419</v>
      </c>
      <c r="U41" s="4" t="s">
        <v>2309</v>
      </c>
      <c r="AA41"/>
    </row>
    <row r="42" spans="1:27" ht="142" x14ac:dyDescent="0.2">
      <c r="A42" s="12" t="s">
        <v>255</v>
      </c>
      <c r="B42" s="12" t="s">
        <v>256</v>
      </c>
      <c r="C42" s="37" t="s">
        <v>257</v>
      </c>
      <c r="D42" s="12" t="s">
        <v>258</v>
      </c>
      <c r="E42" s="8" t="s">
        <v>252</v>
      </c>
      <c r="F42" s="8" t="s">
        <v>259</v>
      </c>
      <c r="G42" s="8" t="str">
        <f t="shared" si="0"/>
        <v>S1-00042</v>
      </c>
      <c r="H42" s="52" t="e">
        <f>VLOOKUP(G42,#REF!, 2)</f>
        <v>#REF!</v>
      </c>
      <c r="I42" s="52" t="e">
        <f>VLOOKUP(G42,#REF!, 4)</f>
        <v>#REF!</v>
      </c>
      <c r="J42" s="18" t="s">
        <v>260</v>
      </c>
      <c r="K42" s="18" t="s">
        <v>260</v>
      </c>
      <c r="L42" s="18" t="s">
        <v>2420</v>
      </c>
      <c r="M42" s="18"/>
      <c r="N42" s="18" t="s">
        <v>2421</v>
      </c>
      <c r="O42" s="18" t="s">
        <v>2297</v>
      </c>
      <c r="P42" s="18" t="e">
        <f t="shared" si="1"/>
        <v>#REF!</v>
      </c>
      <c r="Q42" s="19" t="e">
        <f>IF(R42=0,VLOOKUP(G42,#REF!, 3),R42)</f>
        <v>#REF!</v>
      </c>
      <c r="R42" s="13" t="e">
        <f>VLOOKUP(G42,#REF!, 5)</f>
        <v>#REF!</v>
      </c>
      <c r="S42" s="18" t="s">
        <v>18</v>
      </c>
      <c r="T42" s="43"/>
      <c r="AA42"/>
    </row>
    <row r="43" spans="1:27" ht="266.95" customHeight="1" x14ac:dyDescent="0.2">
      <c r="A43" s="12" t="s">
        <v>261</v>
      </c>
      <c r="B43" s="12" t="s">
        <v>262</v>
      </c>
      <c r="C43" s="51" t="s">
        <v>263</v>
      </c>
      <c r="D43" s="39" t="s">
        <v>264</v>
      </c>
      <c r="E43" s="10" t="s">
        <v>252</v>
      </c>
      <c r="F43" s="10" t="s">
        <v>265</v>
      </c>
      <c r="G43" s="8" t="str">
        <f t="shared" si="0"/>
        <v>S1-00046</v>
      </c>
      <c r="H43" s="52" t="e">
        <f>VLOOKUP(G43,#REF!, 2)</f>
        <v>#REF!</v>
      </c>
      <c r="I43" s="52" t="e">
        <f>VLOOKUP(G43,#REF!, 4)</f>
        <v>#REF!</v>
      </c>
      <c r="J43" s="22" t="s">
        <v>266</v>
      </c>
      <c r="K43" s="22" t="s">
        <v>2422</v>
      </c>
      <c r="L43" s="22" t="s">
        <v>2423</v>
      </c>
      <c r="M43" s="22"/>
      <c r="N43" s="18" t="s">
        <v>2424</v>
      </c>
      <c r="O43" s="22" t="s">
        <v>2297</v>
      </c>
      <c r="P43" s="18" t="e">
        <f t="shared" si="1"/>
        <v>#REF!</v>
      </c>
      <c r="Q43" s="19" t="e">
        <f>IF(R43=0,VLOOKUP(G43,#REF!, 3),R43)</f>
        <v>#REF!</v>
      </c>
      <c r="R43" s="13" t="e">
        <f>VLOOKUP(G43,#REF!, 5)</f>
        <v>#REF!</v>
      </c>
      <c r="S43" s="18" t="s">
        <v>18</v>
      </c>
      <c r="T43" s="43"/>
      <c r="AA43"/>
    </row>
    <row r="44" spans="1:27" ht="77.45" x14ac:dyDescent="0.2">
      <c r="A44" s="12" t="s">
        <v>261</v>
      </c>
      <c r="B44" s="12" t="s">
        <v>268</v>
      </c>
      <c r="C44" s="37" t="s">
        <v>269</v>
      </c>
      <c r="D44" s="12" t="s">
        <v>2425</v>
      </c>
      <c r="E44" s="8" t="s">
        <v>252</v>
      </c>
      <c r="F44" s="8" t="s">
        <v>265</v>
      </c>
      <c r="G44" s="8" t="str">
        <f t="shared" si="0"/>
        <v>S1-00305</v>
      </c>
      <c r="H44" s="52" t="e">
        <f>VLOOKUP(G44,#REF!, 2)</f>
        <v>#REF!</v>
      </c>
      <c r="I44" s="52" t="e">
        <f>VLOOKUP(G44,#REF!, 4)</f>
        <v>#REF!</v>
      </c>
      <c r="J44" s="18" t="s">
        <v>271</v>
      </c>
      <c r="K44" s="18" t="s">
        <v>2345</v>
      </c>
      <c r="L44" s="22" t="s">
        <v>2426</v>
      </c>
      <c r="M44" s="22"/>
      <c r="N44" s="22"/>
      <c r="O44" s="22"/>
      <c r="P44" s="18" t="e">
        <f t="shared" si="1"/>
        <v>#REF!</v>
      </c>
      <c r="Q44" s="19" t="e">
        <f>IF(R44=0,VLOOKUP(G44,#REF!, 3),R44)</f>
        <v>#REF!</v>
      </c>
      <c r="R44" s="13" t="e">
        <f>VLOOKUP(G44,#REF!, 5)</f>
        <v>#REF!</v>
      </c>
      <c r="S44" s="18" t="s">
        <v>18</v>
      </c>
      <c r="T44" s="43"/>
      <c r="AA44"/>
    </row>
    <row r="45" spans="1:27" ht="38.75" x14ac:dyDescent="0.2">
      <c r="A45" s="12" t="s">
        <v>261</v>
      </c>
      <c r="B45" s="12" t="s">
        <v>272</v>
      </c>
      <c r="C45" s="37" t="s">
        <v>273</v>
      </c>
      <c r="D45" s="12" t="s">
        <v>274</v>
      </c>
      <c r="E45" s="8" t="s">
        <v>252</v>
      </c>
      <c r="F45" s="8" t="s">
        <v>265</v>
      </c>
      <c r="G45" s="8" t="str">
        <f t="shared" si="0"/>
        <v>S1-00307</v>
      </c>
      <c r="H45" s="52" t="e">
        <f>VLOOKUP(G45,#REF!, 2)</f>
        <v>#REF!</v>
      </c>
      <c r="I45" s="52" t="e">
        <f>VLOOKUP(G45,#REF!, 4)</f>
        <v>#REF!</v>
      </c>
      <c r="J45" s="18" t="s">
        <v>271</v>
      </c>
      <c r="K45" s="18" t="s">
        <v>2345</v>
      </c>
      <c r="L45" s="22" t="s">
        <v>2427</v>
      </c>
      <c r="M45" s="22"/>
      <c r="N45" s="22" t="s">
        <v>2428</v>
      </c>
      <c r="O45" s="22"/>
      <c r="P45" s="18" t="e">
        <f t="shared" si="1"/>
        <v>#REF!</v>
      </c>
      <c r="Q45" s="19" t="e">
        <f>IF(R45=0,VLOOKUP(G45,#REF!, 3),R45)</f>
        <v>#REF!</v>
      </c>
      <c r="R45" s="13" t="e">
        <f>VLOOKUP(G45,#REF!, 5)</f>
        <v>#REF!</v>
      </c>
      <c r="S45" s="18" t="s">
        <v>18</v>
      </c>
      <c r="T45" s="43"/>
      <c r="AA45"/>
    </row>
    <row r="46" spans="1:27" ht="255.25" customHeight="1" x14ac:dyDescent="0.2">
      <c r="A46" s="12" t="s">
        <v>275</v>
      </c>
      <c r="B46" s="12" t="s">
        <v>276</v>
      </c>
      <c r="C46" s="51" t="s">
        <v>277</v>
      </c>
      <c r="D46" s="39" t="s">
        <v>278</v>
      </c>
      <c r="E46" s="10" t="s">
        <v>279</v>
      </c>
      <c r="F46" s="10" t="s">
        <v>280</v>
      </c>
      <c r="G46" s="8" t="str">
        <f t="shared" si="0"/>
        <v>S1-00049</v>
      </c>
      <c r="H46" s="52" t="e">
        <f>VLOOKUP(G46,#REF!, 2)</f>
        <v>#REF!</v>
      </c>
      <c r="I46" s="52" t="e">
        <f>VLOOKUP(G46,#REF!, 4)</f>
        <v>#REF!</v>
      </c>
      <c r="J46" s="22" t="s">
        <v>281</v>
      </c>
      <c r="K46" s="22" t="s">
        <v>2429</v>
      </c>
      <c r="L46" s="22" t="s">
        <v>2430</v>
      </c>
      <c r="M46" s="50" t="s">
        <v>2431</v>
      </c>
      <c r="N46" s="22" t="s">
        <v>2432</v>
      </c>
      <c r="O46" s="22" t="s">
        <v>2297</v>
      </c>
      <c r="P46" s="18" t="e">
        <f t="shared" si="1"/>
        <v>#REF!</v>
      </c>
      <c r="Q46" s="19" t="e">
        <f>IF(R46=0,VLOOKUP(G46,#REF!, 3),R46)</f>
        <v>#REF!</v>
      </c>
      <c r="R46" s="13" t="e">
        <f>VLOOKUP(G46,#REF!, 5)</f>
        <v>#REF!</v>
      </c>
      <c r="S46" s="18" t="s">
        <v>18</v>
      </c>
      <c r="T46" s="43" t="s">
        <v>2433</v>
      </c>
      <c r="U46" s="4" t="s">
        <v>2299</v>
      </c>
      <c r="AA46"/>
    </row>
    <row r="47" spans="1:27" ht="103.25" x14ac:dyDescent="0.2">
      <c r="A47" s="12" t="s">
        <v>283</v>
      </c>
      <c r="B47" s="12" t="s">
        <v>284</v>
      </c>
      <c r="C47" s="37" t="s">
        <v>285</v>
      </c>
      <c r="D47" s="12" t="s">
        <v>286</v>
      </c>
      <c r="E47" s="8" t="s">
        <v>279</v>
      </c>
      <c r="F47" s="8" t="s">
        <v>287</v>
      </c>
      <c r="G47" s="8" t="str">
        <f t="shared" si="0"/>
        <v>S1-00052</v>
      </c>
      <c r="H47" s="52" t="e">
        <f>VLOOKUP(G47,#REF!, 2)</f>
        <v>#REF!</v>
      </c>
      <c r="I47" s="52" t="e">
        <f>VLOOKUP(G47,#REF!, 4)</f>
        <v>#REF!</v>
      </c>
      <c r="J47" s="22" t="s">
        <v>2434</v>
      </c>
      <c r="K47" s="22" t="s">
        <v>2435</v>
      </c>
      <c r="L47" s="18" t="s">
        <v>2436</v>
      </c>
      <c r="M47" s="18"/>
      <c r="N47" s="18" t="s">
        <v>2437</v>
      </c>
      <c r="O47" s="18" t="s">
        <v>2297</v>
      </c>
      <c r="P47" s="18" t="e">
        <f t="shared" si="1"/>
        <v>#REF!</v>
      </c>
      <c r="Q47" s="19" t="e">
        <f>IF(R47=0,VLOOKUP(G47,#REF!, 3),R47)</f>
        <v>#REF!</v>
      </c>
      <c r="R47" s="13" t="e">
        <f>VLOOKUP(G47,#REF!, 5)</f>
        <v>#REF!</v>
      </c>
      <c r="S47" s="18" t="s">
        <v>18</v>
      </c>
      <c r="T47" s="43"/>
      <c r="AA47"/>
    </row>
    <row r="48" spans="1:27" ht="156.25" customHeight="1" x14ac:dyDescent="0.2">
      <c r="A48" s="12" t="s">
        <v>289</v>
      </c>
      <c r="B48" s="12" t="s">
        <v>290</v>
      </c>
      <c r="C48" s="37" t="s">
        <v>291</v>
      </c>
      <c r="D48" s="12" t="s">
        <v>292</v>
      </c>
      <c r="E48" s="8" t="s">
        <v>279</v>
      </c>
      <c r="F48" s="8" t="s">
        <v>153</v>
      </c>
      <c r="G48" s="8" t="str">
        <f t="shared" si="0"/>
        <v>S1-00053</v>
      </c>
      <c r="H48" s="52" t="e">
        <f>VLOOKUP(G48,#REF!, 2)</f>
        <v>#REF!</v>
      </c>
      <c r="I48" s="52" t="e">
        <f>VLOOKUP(G48,#REF!, 4)</f>
        <v>#REF!</v>
      </c>
      <c r="J48" s="18" t="s">
        <v>2438</v>
      </c>
      <c r="K48" s="18" t="s">
        <v>2439</v>
      </c>
      <c r="L48" s="18" t="s">
        <v>2440</v>
      </c>
      <c r="M48" s="18"/>
      <c r="N48" s="18" t="s">
        <v>2441</v>
      </c>
      <c r="O48" s="18" t="s">
        <v>2297</v>
      </c>
      <c r="P48" s="18" t="e">
        <f t="shared" si="1"/>
        <v>#REF!</v>
      </c>
      <c r="Q48" s="19" t="e">
        <f>IF(R48=0,VLOOKUP(G48,#REF!, 3),R48)</f>
        <v>#REF!</v>
      </c>
      <c r="R48" s="13" t="e">
        <f>VLOOKUP(G48,#REF!, 5)</f>
        <v>#REF!</v>
      </c>
      <c r="S48" s="18" t="s">
        <v>18</v>
      </c>
      <c r="T48" s="43"/>
      <c r="AA48"/>
    </row>
    <row r="49" spans="1:27" ht="146.75" customHeight="1" x14ac:dyDescent="0.2">
      <c r="A49" s="12" t="s">
        <v>295</v>
      </c>
      <c r="B49" s="12" t="s">
        <v>296</v>
      </c>
      <c r="C49" s="37" t="s">
        <v>297</v>
      </c>
      <c r="D49" s="12" t="s">
        <v>298</v>
      </c>
      <c r="E49" s="8" t="s">
        <v>279</v>
      </c>
      <c r="F49" s="8" t="s">
        <v>207</v>
      </c>
      <c r="G49" s="8" t="str">
        <f t="shared" si="0"/>
        <v>S1-00054</v>
      </c>
      <c r="H49" s="52" t="e">
        <f>VLOOKUP(G49,#REF!, 2)</f>
        <v>#REF!</v>
      </c>
      <c r="I49" s="52" t="e">
        <f>VLOOKUP(G49,#REF!, 4)</f>
        <v>#REF!</v>
      </c>
      <c r="J49" s="18" t="s">
        <v>299</v>
      </c>
      <c r="K49" s="18" t="s">
        <v>2442</v>
      </c>
      <c r="L49" s="18" t="s">
        <v>2443</v>
      </c>
      <c r="M49" s="18"/>
      <c r="N49" s="18" t="s">
        <v>2444</v>
      </c>
      <c r="O49" s="18" t="s">
        <v>2297</v>
      </c>
      <c r="P49" s="18" t="e">
        <f t="shared" si="1"/>
        <v>#REF!</v>
      </c>
      <c r="Q49" s="19" t="e">
        <f>IF(R49=0,VLOOKUP(G49,#REF!, 3),R49)</f>
        <v>#REF!</v>
      </c>
      <c r="R49" s="13" t="e">
        <f>VLOOKUP(G49,#REF!, 5)</f>
        <v>#REF!</v>
      </c>
      <c r="S49" s="18" t="s">
        <v>18</v>
      </c>
      <c r="T49" s="43"/>
      <c r="AA49"/>
    </row>
    <row r="50" spans="1:27" ht="409.6" customHeight="1" x14ac:dyDescent="0.2">
      <c r="A50" s="12" t="s">
        <v>295</v>
      </c>
      <c r="B50" s="12" t="s">
        <v>300</v>
      </c>
      <c r="C50" s="37" t="s">
        <v>301</v>
      </c>
      <c r="D50" s="12" t="s">
        <v>302</v>
      </c>
      <c r="E50" s="8" t="s">
        <v>279</v>
      </c>
      <c r="F50" s="8" t="s">
        <v>207</v>
      </c>
      <c r="G50" s="8" t="str">
        <f t="shared" si="0"/>
        <v>S1-00055</v>
      </c>
      <c r="H50" s="52" t="e">
        <f>VLOOKUP(G50,#REF!, 2)</f>
        <v>#REF!</v>
      </c>
      <c r="I50" s="52" t="e">
        <f>VLOOKUP(G50,#REF!, 4)</f>
        <v>#REF!</v>
      </c>
      <c r="J50" s="18" t="s">
        <v>271</v>
      </c>
      <c r="K50" s="18" t="s">
        <v>2445</v>
      </c>
      <c r="L50" s="18" t="s">
        <v>2446</v>
      </c>
      <c r="M50" s="18"/>
      <c r="N50" s="18" t="s">
        <v>2444</v>
      </c>
      <c r="O50" s="18" t="s">
        <v>2297</v>
      </c>
      <c r="P50" s="18" t="e">
        <f t="shared" si="1"/>
        <v>#REF!</v>
      </c>
      <c r="Q50" s="19" t="e">
        <f>IF(R50=0,VLOOKUP(G50,#REF!, 3),R50)</f>
        <v>#REF!</v>
      </c>
      <c r="R50" s="13" t="e">
        <f>VLOOKUP(G50,#REF!, 5)</f>
        <v>#REF!</v>
      </c>
      <c r="S50" s="18" t="s">
        <v>18</v>
      </c>
      <c r="T50" s="43"/>
      <c r="AA50"/>
    </row>
    <row r="51" spans="1:27" ht="116.15" x14ac:dyDescent="0.2">
      <c r="A51" s="12" t="s">
        <v>303</v>
      </c>
      <c r="B51" s="12" t="s">
        <v>304</v>
      </c>
      <c r="C51" s="51" t="s">
        <v>305</v>
      </c>
      <c r="D51" s="39" t="s">
        <v>306</v>
      </c>
      <c r="E51" s="10" t="s">
        <v>279</v>
      </c>
      <c r="F51" s="10" t="s">
        <v>307</v>
      </c>
      <c r="G51" s="8" t="str">
        <f t="shared" si="0"/>
        <v>S1-00558</v>
      </c>
      <c r="H51" s="52" t="e">
        <f>VLOOKUP(G51,#REF!, 2)</f>
        <v>#REF!</v>
      </c>
      <c r="I51" s="52" t="e">
        <f>VLOOKUP(G51,#REF!, 4)</f>
        <v>#REF!</v>
      </c>
      <c r="J51" s="22" t="s">
        <v>308</v>
      </c>
      <c r="K51" s="22" t="s">
        <v>308</v>
      </c>
      <c r="L51" s="22" t="s">
        <v>2447</v>
      </c>
      <c r="M51" s="19" t="s">
        <v>2448</v>
      </c>
      <c r="N51" s="22"/>
      <c r="O51" s="36"/>
      <c r="P51" s="18" t="e">
        <f t="shared" si="1"/>
        <v>#REF!</v>
      </c>
      <c r="Q51" s="19" t="e">
        <f>IF(R51=0,VLOOKUP(G51,#REF!, 3),R51)</f>
        <v>#REF!</v>
      </c>
      <c r="R51" s="13" t="e">
        <f>VLOOKUP(G51,#REF!, 5)</f>
        <v>#REF!</v>
      </c>
      <c r="S51" s="18" t="s">
        <v>18</v>
      </c>
      <c r="T51" s="43" t="s">
        <v>2449</v>
      </c>
      <c r="U51" s="4" t="s">
        <v>2299</v>
      </c>
      <c r="AA51"/>
    </row>
    <row r="52" spans="1:27" ht="374.3" x14ac:dyDescent="0.2">
      <c r="A52" s="12" t="s">
        <v>309</v>
      </c>
      <c r="B52" s="12" t="s">
        <v>310</v>
      </c>
      <c r="C52" s="37" t="s">
        <v>311</v>
      </c>
      <c r="D52" s="12" t="s">
        <v>312</v>
      </c>
      <c r="E52" s="8" t="s">
        <v>279</v>
      </c>
      <c r="F52" s="8" t="s">
        <v>313</v>
      </c>
      <c r="G52" s="8" t="str">
        <f t="shared" si="0"/>
        <v>S1-00065</v>
      </c>
      <c r="H52" s="52" t="e">
        <f>VLOOKUP(G52,#REF!, 2)</f>
        <v>#REF!</v>
      </c>
      <c r="I52" s="52" t="e">
        <f>VLOOKUP(G52,#REF!, 4)</f>
        <v>#REF!</v>
      </c>
      <c r="J52" s="18" t="s">
        <v>2450</v>
      </c>
      <c r="K52" s="18" t="s">
        <v>2451</v>
      </c>
      <c r="L52" s="18" t="s">
        <v>2452</v>
      </c>
      <c r="M52" s="18"/>
      <c r="N52" s="19" t="s">
        <v>2453</v>
      </c>
      <c r="O52" s="19" t="s">
        <v>2297</v>
      </c>
      <c r="P52" s="18" t="e">
        <f t="shared" si="1"/>
        <v>#REF!</v>
      </c>
      <c r="Q52" s="19" t="e">
        <f>IF(R52=0,VLOOKUP(G52,#REF!, 3),R52)</f>
        <v>#REF!</v>
      </c>
      <c r="R52" s="13" t="e">
        <f>VLOOKUP(G52,#REF!, 5)</f>
        <v>#REF!</v>
      </c>
      <c r="S52" s="18" t="s">
        <v>18</v>
      </c>
      <c r="T52" s="43"/>
      <c r="AA52"/>
    </row>
    <row r="53" spans="1:27" ht="193.95" customHeight="1" x14ac:dyDescent="0.2">
      <c r="A53" s="12" t="s">
        <v>309</v>
      </c>
      <c r="B53" s="12" t="s">
        <v>317</v>
      </c>
      <c r="C53" s="51" t="s">
        <v>318</v>
      </c>
      <c r="D53" s="39" t="s">
        <v>319</v>
      </c>
      <c r="E53" s="10" t="s">
        <v>279</v>
      </c>
      <c r="F53" s="10" t="s">
        <v>313</v>
      </c>
      <c r="G53" s="8" t="str">
        <f t="shared" si="0"/>
        <v>S1-00066</v>
      </c>
      <c r="H53" s="52" t="e">
        <f>VLOOKUP(G53,#REF!, 2)</f>
        <v>#REF!</v>
      </c>
      <c r="I53" s="52" t="e">
        <f>VLOOKUP(G53,#REF!, 4)</f>
        <v>#REF!</v>
      </c>
      <c r="J53" s="22" t="s">
        <v>2454</v>
      </c>
      <c r="K53" s="22" t="s">
        <v>2455</v>
      </c>
      <c r="L53" s="22" t="s">
        <v>2456</v>
      </c>
      <c r="M53" s="22"/>
      <c r="N53" s="22" t="s">
        <v>2457</v>
      </c>
      <c r="O53" s="22" t="s">
        <v>2297</v>
      </c>
      <c r="P53" s="18" t="e">
        <f t="shared" si="1"/>
        <v>#REF!</v>
      </c>
      <c r="Q53" s="19" t="e">
        <f>IF(R53=0,VLOOKUP(G53,#REF!, 3),R53)</f>
        <v>#REF!</v>
      </c>
      <c r="R53" s="13" t="e">
        <f>VLOOKUP(G53,#REF!, 5)</f>
        <v>#REF!</v>
      </c>
      <c r="S53" s="18" t="s">
        <v>18</v>
      </c>
      <c r="T53" s="43"/>
      <c r="AA53"/>
    </row>
    <row r="54" spans="1:27" ht="148.1" customHeight="1" x14ac:dyDescent="0.2">
      <c r="A54" s="12" t="s">
        <v>323</v>
      </c>
      <c r="B54" s="12" t="s">
        <v>324</v>
      </c>
      <c r="C54" s="37" t="s">
        <v>325</v>
      </c>
      <c r="D54" s="12" t="s">
        <v>326</v>
      </c>
      <c r="E54" s="8" t="s">
        <v>279</v>
      </c>
      <c r="F54" s="8" t="s">
        <v>327</v>
      </c>
      <c r="G54" s="8" t="str">
        <f t="shared" si="0"/>
        <v>S1-00070</v>
      </c>
      <c r="H54" s="52" t="e">
        <f>VLOOKUP(G54,#REF!, 2)</f>
        <v>#REF!</v>
      </c>
      <c r="I54" s="52" t="e">
        <f>VLOOKUP(G54,#REF!, 4)</f>
        <v>#REF!</v>
      </c>
      <c r="J54" s="18" t="s">
        <v>2458</v>
      </c>
      <c r="K54" s="18" t="s">
        <v>2459</v>
      </c>
      <c r="L54" s="18" t="s">
        <v>2460</v>
      </c>
      <c r="M54" s="18"/>
      <c r="N54" s="18" t="s">
        <v>2461</v>
      </c>
      <c r="O54" s="18" t="s">
        <v>2297</v>
      </c>
      <c r="P54" s="18" t="e">
        <f t="shared" si="1"/>
        <v>#REF!</v>
      </c>
      <c r="Q54" s="19" t="e">
        <f>IF(R54=0,VLOOKUP(G54,#REF!, 3),R54)</f>
        <v>#REF!</v>
      </c>
      <c r="R54" s="13" t="e">
        <f>VLOOKUP(G54,#REF!, 5)</f>
        <v>#REF!</v>
      </c>
      <c r="S54" s="18" t="s">
        <v>18</v>
      </c>
      <c r="T54" s="43"/>
      <c r="AA54"/>
    </row>
    <row r="55" spans="1:27" ht="409.6" customHeight="1" x14ac:dyDescent="0.2">
      <c r="A55" s="12" t="s">
        <v>330</v>
      </c>
      <c r="B55" s="12" t="s">
        <v>331</v>
      </c>
      <c r="C55" s="37" t="s">
        <v>332</v>
      </c>
      <c r="D55" s="12" t="s">
        <v>333</v>
      </c>
      <c r="E55" s="8" t="s">
        <v>279</v>
      </c>
      <c r="F55" s="8" t="s">
        <v>334</v>
      </c>
      <c r="G55" s="8" t="str">
        <f t="shared" si="0"/>
        <v>S1-00071</v>
      </c>
      <c r="H55" s="52" t="e">
        <f>VLOOKUP(G55,#REF!, 2)</f>
        <v>#REF!</v>
      </c>
      <c r="I55" s="52" t="e">
        <f>VLOOKUP(G55,#REF!, 4)</f>
        <v>#REF!</v>
      </c>
      <c r="J55" s="18" t="s">
        <v>335</v>
      </c>
      <c r="K55" s="18" t="s">
        <v>2462</v>
      </c>
      <c r="L55" s="18" t="s">
        <v>2463</v>
      </c>
      <c r="M55" s="18"/>
      <c r="N55" s="18" t="s">
        <v>2464</v>
      </c>
      <c r="O55" s="18" t="s">
        <v>2297</v>
      </c>
      <c r="P55" s="18" t="e">
        <f t="shared" si="1"/>
        <v>#REF!</v>
      </c>
      <c r="Q55" s="19" t="e">
        <f>IF(R55=0,VLOOKUP(G55,#REF!, 3),R55)</f>
        <v>#REF!</v>
      </c>
      <c r="R55" s="13" t="e">
        <f>VLOOKUP(G55,#REF!, 5)</f>
        <v>#REF!</v>
      </c>
      <c r="S55" s="18" t="s">
        <v>18</v>
      </c>
      <c r="T55" s="43"/>
      <c r="AA55"/>
    </row>
    <row r="56" spans="1:27" ht="119.75" customHeight="1" x14ac:dyDescent="0.2">
      <c r="A56" s="12" t="s">
        <v>336</v>
      </c>
      <c r="B56" s="12" t="s">
        <v>337</v>
      </c>
      <c r="C56" s="37" t="s">
        <v>338</v>
      </c>
      <c r="D56" s="12" t="s">
        <v>339</v>
      </c>
      <c r="E56" s="8" t="s">
        <v>279</v>
      </c>
      <c r="F56" s="8" t="s">
        <v>340</v>
      </c>
      <c r="G56" s="8" t="str">
        <f t="shared" si="0"/>
        <v>S1-00077</v>
      </c>
      <c r="H56" s="52" t="e">
        <f>VLOOKUP(G56,#REF!, 2)</f>
        <v>#REF!</v>
      </c>
      <c r="I56" s="52" t="e">
        <f>VLOOKUP(G56,#REF!, 4)</f>
        <v>#REF!</v>
      </c>
      <c r="J56" s="18" t="s">
        <v>341</v>
      </c>
      <c r="K56" s="18" t="s">
        <v>2465</v>
      </c>
      <c r="L56" s="18" t="s">
        <v>2466</v>
      </c>
      <c r="M56" s="18"/>
      <c r="N56" s="18" t="s">
        <v>2349</v>
      </c>
      <c r="O56" s="18" t="s">
        <v>2297</v>
      </c>
      <c r="P56" s="18" t="e">
        <f t="shared" si="1"/>
        <v>#REF!</v>
      </c>
      <c r="Q56" s="19" t="e">
        <f>IF(R56=0,VLOOKUP(G56,#REF!, 3),R56)</f>
        <v>#REF!</v>
      </c>
      <c r="R56" s="13" t="e">
        <f>VLOOKUP(G56,#REF!, 5)</f>
        <v>#REF!</v>
      </c>
      <c r="S56" s="18" t="s">
        <v>18</v>
      </c>
      <c r="T56" s="43"/>
      <c r="AA56"/>
    </row>
    <row r="57" spans="1:27" ht="206.5" customHeight="1" x14ac:dyDescent="0.2">
      <c r="A57" s="12" t="s">
        <v>342</v>
      </c>
      <c r="B57" s="12" t="s">
        <v>343</v>
      </c>
      <c r="C57" s="51" t="s">
        <v>344</v>
      </c>
      <c r="D57" s="39" t="s">
        <v>2467</v>
      </c>
      <c r="E57" s="10" t="s">
        <v>346</v>
      </c>
      <c r="F57" s="10" t="s">
        <v>153</v>
      </c>
      <c r="G57" s="8" t="str">
        <f t="shared" si="0"/>
        <v>S1-00089</v>
      </c>
      <c r="H57" s="52" t="e">
        <f>VLOOKUP(G57,#REF!, 2)</f>
        <v>#REF!</v>
      </c>
      <c r="I57" s="52" t="e">
        <f>VLOOKUP(G57,#REF!, 4)</f>
        <v>#REF!</v>
      </c>
      <c r="J57" s="22" t="s">
        <v>2468</v>
      </c>
      <c r="K57" s="22" t="s">
        <v>2469</v>
      </c>
      <c r="L57" s="22" t="s">
        <v>2470</v>
      </c>
      <c r="M57" s="22" t="s">
        <v>2471</v>
      </c>
      <c r="N57" s="19" t="s">
        <v>2472</v>
      </c>
      <c r="O57" s="19" t="s">
        <v>2297</v>
      </c>
      <c r="P57" s="18" t="e">
        <f t="shared" si="1"/>
        <v>#REF!</v>
      </c>
      <c r="Q57" s="19" t="e">
        <f>IF(R57=0,VLOOKUP(G57,#REF!, 3),R57)</f>
        <v>#REF!</v>
      </c>
      <c r="R57" s="13" t="e">
        <f>VLOOKUP(G57,#REF!, 5)</f>
        <v>#REF!</v>
      </c>
      <c r="S57" s="18" t="s">
        <v>18</v>
      </c>
      <c r="T57" s="43" t="s">
        <v>2473</v>
      </c>
      <c r="U57" s="4" t="s">
        <v>2299</v>
      </c>
      <c r="AA57"/>
    </row>
    <row r="58" spans="1:27" ht="38.75" x14ac:dyDescent="0.2">
      <c r="A58" s="12" t="s">
        <v>342</v>
      </c>
      <c r="B58" s="12" t="s">
        <v>349</v>
      </c>
      <c r="C58" s="37" t="s">
        <v>350</v>
      </c>
      <c r="D58" s="12" t="s">
        <v>351</v>
      </c>
      <c r="E58" s="8" t="s">
        <v>346</v>
      </c>
      <c r="F58" s="8" t="s">
        <v>153</v>
      </c>
      <c r="G58" s="8" t="str">
        <f t="shared" si="0"/>
        <v>S1-00090</v>
      </c>
      <c r="H58" s="52" t="e">
        <f>VLOOKUP(G58,#REF!, 2)</f>
        <v>#REF!</v>
      </c>
      <c r="I58" s="52" t="e">
        <f>VLOOKUP(G58,#REF!, 4)</f>
        <v>#REF!</v>
      </c>
      <c r="J58" s="18" t="s">
        <v>352</v>
      </c>
      <c r="K58" s="18" t="s">
        <v>2474</v>
      </c>
      <c r="L58" s="18" t="s">
        <v>2475</v>
      </c>
      <c r="M58" s="18"/>
      <c r="N58" s="18" t="s">
        <v>2476</v>
      </c>
      <c r="O58" s="18" t="s">
        <v>2297</v>
      </c>
      <c r="P58" s="18" t="e">
        <f t="shared" si="1"/>
        <v>#REF!</v>
      </c>
      <c r="Q58" s="19" t="e">
        <f>IF(R58=0,VLOOKUP(G58,#REF!, 3),R58)</f>
        <v>#REF!</v>
      </c>
      <c r="R58" s="13" t="e">
        <f>VLOOKUP(G58,#REF!, 5)</f>
        <v>#REF!</v>
      </c>
      <c r="S58" s="18" t="s">
        <v>18</v>
      </c>
      <c r="T58" s="43"/>
      <c r="AA58"/>
    </row>
    <row r="59" spans="1:27" ht="38.75" x14ac:dyDescent="0.2">
      <c r="A59" s="12" t="s">
        <v>342</v>
      </c>
      <c r="B59" s="12" t="s">
        <v>353</v>
      </c>
      <c r="C59" s="37" t="s">
        <v>354</v>
      </c>
      <c r="D59" s="12" t="s">
        <v>355</v>
      </c>
      <c r="E59" s="8" t="s">
        <v>346</v>
      </c>
      <c r="F59" s="8" t="s">
        <v>153</v>
      </c>
      <c r="G59" s="8" t="str">
        <f t="shared" si="0"/>
        <v>S1-00091</v>
      </c>
      <c r="H59" s="52" t="e">
        <f>VLOOKUP(G59,#REF!, 2)</f>
        <v>#REF!</v>
      </c>
      <c r="I59" s="52" t="e">
        <f>VLOOKUP(G59,#REF!, 4)</f>
        <v>#REF!</v>
      </c>
      <c r="J59" s="18" t="s">
        <v>356</v>
      </c>
      <c r="K59" s="18" t="s">
        <v>2345</v>
      </c>
      <c r="L59" s="18"/>
      <c r="M59" s="18"/>
      <c r="N59" s="18" t="s">
        <v>2477</v>
      </c>
      <c r="O59" s="18" t="s">
        <v>2297</v>
      </c>
      <c r="P59" s="18" t="e">
        <f t="shared" si="1"/>
        <v>#REF!</v>
      </c>
      <c r="Q59" s="19" t="e">
        <f>IF(R59=0,VLOOKUP(G59,#REF!, 3),R59)</f>
        <v>#REF!</v>
      </c>
      <c r="R59" s="13" t="e">
        <f>VLOOKUP(G59,#REF!, 5)</f>
        <v>#REF!</v>
      </c>
      <c r="S59" s="18" t="s">
        <v>18</v>
      </c>
      <c r="T59" s="43"/>
      <c r="AA59"/>
    </row>
    <row r="60" spans="1:27" ht="245.75" customHeight="1" x14ac:dyDescent="0.2">
      <c r="A60" s="12" t="s">
        <v>357</v>
      </c>
      <c r="B60" s="12" t="s">
        <v>358</v>
      </c>
      <c r="C60" s="37" t="s">
        <v>359</v>
      </c>
      <c r="D60" s="12" t="s">
        <v>360</v>
      </c>
      <c r="E60" s="8" t="s">
        <v>346</v>
      </c>
      <c r="F60" s="8" t="s">
        <v>103</v>
      </c>
      <c r="G60" s="8" t="str">
        <f t="shared" si="0"/>
        <v>S1-00092</v>
      </c>
      <c r="H60" s="52" t="e">
        <f>VLOOKUP(G60,#REF!, 2)</f>
        <v>#REF!</v>
      </c>
      <c r="I60" s="52" t="e">
        <f>VLOOKUP(G60,#REF!, 4)</f>
        <v>#REF!</v>
      </c>
      <c r="J60" s="18" t="s">
        <v>2478</v>
      </c>
      <c r="K60" s="18" t="s">
        <v>2479</v>
      </c>
      <c r="L60" s="18" t="s">
        <v>2480</v>
      </c>
      <c r="M60" s="18"/>
      <c r="N60" s="19" t="s">
        <v>2481</v>
      </c>
      <c r="O60" s="19" t="s">
        <v>2297</v>
      </c>
      <c r="P60" s="18" t="e">
        <f t="shared" si="1"/>
        <v>#REF!</v>
      </c>
      <c r="Q60" s="19" t="e">
        <f>IF(R60=0,VLOOKUP(G60,#REF!, 3),R60)</f>
        <v>#REF!</v>
      </c>
      <c r="R60" s="13" t="e">
        <f>VLOOKUP(G60,#REF!, 5)</f>
        <v>#REF!</v>
      </c>
      <c r="S60" s="18" t="s">
        <v>18</v>
      </c>
      <c r="T60" s="43"/>
      <c r="AA60"/>
    </row>
    <row r="61" spans="1:27" ht="240.65" customHeight="1" x14ac:dyDescent="0.2">
      <c r="A61" s="12" t="s">
        <v>362</v>
      </c>
      <c r="B61" s="12" t="s">
        <v>363</v>
      </c>
      <c r="C61" s="51" t="s">
        <v>364</v>
      </c>
      <c r="D61" s="39" t="s">
        <v>365</v>
      </c>
      <c r="E61" s="10" t="s">
        <v>346</v>
      </c>
      <c r="F61" s="10" t="s">
        <v>366</v>
      </c>
      <c r="G61" s="8" t="str">
        <f t="shared" si="0"/>
        <v>S1-00093</v>
      </c>
      <c r="H61" s="52" t="e">
        <f>VLOOKUP(G61,#REF!, 2)</f>
        <v>#REF!</v>
      </c>
      <c r="I61" s="52" t="e">
        <f>VLOOKUP(G61,#REF!, 4)</f>
        <v>#REF!</v>
      </c>
      <c r="J61" s="18" t="s">
        <v>367</v>
      </c>
      <c r="K61" s="18" t="s">
        <v>2482</v>
      </c>
      <c r="L61" s="18" t="s">
        <v>2483</v>
      </c>
      <c r="M61" s="18"/>
      <c r="N61" s="18" t="s">
        <v>2484</v>
      </c>
      <c r="O61" s="18" t="s">
        <v>2377</v>
      </c>
      <c r="P61" s="18" t="e">
        <f t="shared" si="1"/>
        <v>#REF!</v>
      </c>
      <c r="Q61" s="19" t="e">
        <f>IF(R61=0,VLOOKUP(G61,#REF!, 3),R61)</f>
        <v>#REF!</v>
      </c>
      <c r="R61" s="13" t="e">
        <f>VLOOKUP(G61,#REF!, 5)</f>
        <v>#REF!</v>
      </c>
      <c r="S61" s="18" t="s">
        <v>18</v>
      </c>
      <c r="T61" s="43"/>
      <c r="AA61"/>
    </row>
    <row r="62" spans="1:27" ht="342.7" customHeight="1" x14ac:dyDescent="0.2">
      <c r="A62" s="12" t="s">
        <v>368</v>
      </c>
      <c r="B62" s="12" t="s">
        <v>369</v>
      </c>
      <c r="C62" s="37" t="s">
        <v>370</v>
      </c>
      <c r="D62" s="12" t="s">
        <v>2485</v>
      </c>
      <c r="E62" s="8" t="s">
        <v>372</v>
      </c>
      <c r="F62" s="8" t="s">
        <v>116</v>
      </c>
      <c r="G62" s="8" t="str">
        <f t="shared" si="0"/>
        <v>S1-00094</v>
      </c>
      <c r="H62" s="52" t="e">
        <f>VLOOKUP(G62,#REF!, 2)</f>
        <v>#REF!</v>
      </c>
      <c r="I62" s="52" t="e">
        <f>VLOOKUP(G62,#REF!, 4)</f>
        <v>#REF!</v>
      </c>
      <c r="J62" s="18" t="s">
        <v>2486</v>
      </c>
      <c r="K62" s="18" t="s">
        <v>2487</v>
      </c>
      <c r="L62" s="18" t="s">
        <v>2488</v>
      </c>
      <c r="M62" s="18"/>
      <c r="N62" s="18"/>
      <c r="O62" s="18"/>
      <c r="P62" s="18" t="e">
        <f t="shared" si="1"/>
        <v>#REF!</v>
      </c>
      <c r="Q62" s="19" t="e">
        <f>IF(R62=0,VLOOKUP(G62,#REF!, 3),R62)</f>
        <v>#REF!</v>
      </c>
      <c r="R62" s="13" t="e">
        <f>VLOOKUP(G62,#REF!, 5)</f>
        <v>#REF!</v>
      </c>
      <c r="S62" s="18" t="s">
        <v>18</v>
      </c>
      <c r="T62" s="43"/>
      <c r="AA62"/>
    </row>
    <row r="63" spans="1:27" ht="51.65" x14ac:dyDescent="0.2">
      <c r="A63" s="12" t="s">
        <v>368</v>
      </c>
      <c r="B63" s="12" t="s">
        <v>375</v>
      </c>
      <c r="C63" s="37" t="s">
        <v>376</v>
      </c>
      <c r="D63" s="12" t="s">
        <v>377</v>
      </c>
      <c r="E63" s="8" t="s">
        <v>372</v>
      </c>
      <c r="F63" s="8" t="s">
        <v>116</v>
      </c>
      <c r="G63" s="8" t="str">
        <f t="shared" si="0"/>
        <v>S1-00095</v>
      </c>
      <c r="H63" s="52" t="e">
        <f>VLOOKUP(G63,#REF!, 2)</f>
        <v>#REF!</v>
      </c>
      <c r="I63" s="52" t="e">
        <f>VLOOKUP(G63,#REF!, 4)</f>
        <v>#REF!</v>
      </c>
      <c r="J63" s="18" t="s">
        <v>2489</v>
      </c>
      <c r="K63" s="18" t="s">
        <v>2490</v>
      </c>
      <c r="L63" s="18" t="s">
        <v>2491</v>
      </c>
      <c r="M63" s="18"/>
      <c r="N63" s="18" t="s">
        <v>2492</v>
      </c>
      <c r="O63" s="18" t="s">
        <v>2297</v>
      </c>
      <c r="P63" s="18" t="e">
        <f t="shared" si="1"/>
        <v>#REF!</v>
      </c>
      <c r="Q63" s="19" t="e">
        <f>IF(R63=0,VLOOKUP(G63,#REF!, 3),R63)</f>
        <v>#REF!</v>
      </c>
      <c r="R63" s="13" t="e">
        <f>VLOOKUP(G63,#REF!, 5)</f>
        <v>#REF!</v>
      </c>
      <c r="S63" s="18" t="s">
        <v>18</v>
      </c>
      <c r="T63" s="43"/>
      <c r="AA63"/>
    </row>
    <row r="64" spans="1:27" ht="51.65" x14ac:dyDescent="0.2">
      <c r="A64" s="12" t="s">
        <v>368</v>
      </c>
      <c r="B64" s="12" t="s">
        <v>380</v>
      </c>
      <c r="C64" s="37" t="s">
        <v>381</v>
      </c>
      <c r="D64" s="12" t="s">
        <v>2493</v>
      </c>
      <c r="E64" s="8" t="s">
        <v>372</v>
      </c>
      <c r="F64" s="8" t="s">
        <v>116</v>
      </c>
      <c r="G64" s="8" t="str">
        <f t="shared" si="0"/>
        <v>S1-00096</v>
      </c>
      <c r="H64" s="52" t="e">
        <f>VLOOKUP(G64,#REF!, 2)</f>
        <v>#REF!</v>
      </c>
      <c r="I64" s="52" t="e">
        <f>VLOOKUP(G64,#REF!, 4)</f>
        <v>#REF!</v>
      </c>
      <c r="J64" s="18" t="s">
        <v>2494</v>
      </c>
      <c r="K64" s="18" t="s">
        <v>2495</v>
      </c>
      <c r="L64" s="18" t="s">
        <v>2496</v>
      </c>
      <c r="M64" s="18"/>
      <c r="N64" s="18" t="s">
        <v>2492</v>
      </c>
      <c r="O64" s="18" t="s">
        <v>2297</v>
      </c>
      <c r="P64" s="18" t="e">
        <f t="shared" si="1"/>
        <v>#REF!</v>
      </c>
      <c r="Q64" s="19" t="e">
        <f>IF(R64=0,VLOOKUP(G64,#REF!, 3),R64)</f>
        <v>#REF!</v>
      </c>
      <c r="R64" s="13" t="e">
        <f>VLOOKUP(G64,#REF!, 5)</f>
        <v>#REF!</v>
      </c>
      <c r="S64" s="18" t="s">
        <v>18</v>
      </c>
      <c r="T64" s="43"/>
      <c r="AA64"/>
    </row>
    <row r="65" spans="1:27" ht="51.65" x14ac:dyDescent="0.2">
      <c r="A65" s="12" t="s">
        <v>368</v>
      </c>
      <c r="B65" s="12" t="s">
        <v>385</v>
      </c>
      <c r="C65" s="37" t="s">
        <v>386</v>
      </c>
      <c r="D65" s="12" t="s">
        <v>387</v>
      </c>
      <c r="E65" s="8" t="s">
        <v>372</v>
      </c>
      <c r="F65" s="8" t="s">
        <v>116</v>
      </c>
      <c r="G65" s="8" t="str">
        <f t="shared" si="0"/>
        <v>S1-00098</v>
      </c>
      <c r="H65" s="52" t="e">
        <f>VLOOKUP(G65,#REF!, 2)</f>
        <v>#REF!</v>
      </c>
      <c r="I65" s="52" t="e">
        <f>VLOOKUP(G65,#REF!, 4)</f>
        <v>#REF!</v>
      </c>
      <c r="J65" s="18" t="s">
        <v>388</v>
      </c>
      <c r="K65" s="18" t="s">
        <v>2497</v>
      </c>
      <c r="L65" s="18" t="s">
        <v>2498</v>
      </c>
      <c r="M65" s="18"/>
      <c r="N65" s="18" t="s">
        <v>2499</v>
      </c>
      <c r="O65" s="18" t="s">
        <v>2297</v>
      </c>
      <c r="P65" s="18" t="e">
        <f t="shared" si="1"/>
        <v>#REF!</v>
      </c>
      <c r="Q65" s="19" t="e">
        <f>IF(R65=0,VLOOKUP(G65,#REF!, 3),R65)</f>
        <v>#REF!</v>
      </c>
      <c r="R65" s="13" t="e">
        <f>VLOOKUP(G65,#REF!, 5)</f>
        <v>#REF!</v>
      </c>
      <c r="S65" s="18" t="s">
        <v>18</v>
      </c>
      <c r="T65" s="43"/>
      <c r="AA65"/>
    </row>
    <row r="66" spans="1:27" ht="260.14999999999998" x14ac:dyDescent="0.2">
      <c r="A66" s="12" t="s">
        <v>368</v>
      </c>
      <c r="B66" s="12" t="s">
        <v>389</v>
      </c>
      <c r="C66" s="37" t="s">
        <v>390</v>
      </c>
      <c r="D66" s="12" t="s">
        <v>391</v>
      </c>
      <c r="E66" s="8" t="s">
        <v>372</v>
      </c>
      <c r="F66" s="8" t="s">
        <v>116</v>
      </c>
      <c r="G66" s="8" t="str">
        <f t="shared" si="0"/>
        <v>S1-00099</v>
      </c>
      <c r="H66" s="52" t="e">
        <f>VLOOKUP(G66,#REF!, 2)</f>
        <v>#REF!</v>
      </c>
      <c r="I66" s="52" t="e">
        <f>VLOOKUP(G66,#REF!, 4)</f>
        <v>#REF!</v>
      </c>
      <c r="J66" s="18" t="s">
        <v>392</v>
      </c>
      <c r="K66" s="18" t="s">
        <v>2500</v>
      </c>
      <c r="L66" s="18" t="s">
        <v>2501</v>
      </c>
      <c r="M66" s="18"/>
      <c r="N66" s="19" t="s">
        <v>2502</v>
      </c>
      <c r="O66" s="19" t="s">
        <v>2297</v>
      </c>
      <c r="P66" s="18" t="e">
        <f t="shared" si="1"/>
        <v>#REF!</v>
      </c>
      <c r="Q66" s="19" t="e">
        <f>IF(R66=0,VLOOKUP(G66,#REF!, 3),R66)</f>
        <v>#REF!</v>
      </c>
      <c r="R66" s="13" t="e">
        <f>VLOOKUP(G66,#REF!, 5)</f>
        <v>#REF!</v>
      </c>
      <c r="S66" s="18" t="s">
        <v>18</v>
      </c>
      <c r="T66" s="43"/>
      <c r="AA66"/>
    </row>
    <row r="67" spans="1:27" ht="214.15" customHeight="1" x14ac:dyDescent="0.2">
      <c r="A67" s="12" t="s">
        <v>368</v>
      </c>
      <c r="B67" s="12" t="s">
        <v>393</v>
      </c>
      <c r="C67" s="37" t="s">
        <v>394</v>
      </c>
      <c r="D67" s="12" t="s">
        <v>395</v>
      </c>
      <c r="E67" s="8" t="s">
        <v>372</v>
      </c>
      <c r="F67" s="8" t="s">
        <v>116</v>
      </c>
      <c r="G67" s="8" t="str">
        <f t="shared" ref="G67:G130" si="2">SUBSTITUTE(B67,"BRDP-","")</f>
        <v>S1-00100</v>
      </c>
      <c r="H67" s="52" t="e">
        <f>VLOOKUP(G67,#REF!, 2)</f>
        <v>#REF!</v>
      </c>
      <c r="I67" s="52" t="e">
        <f>VLOOKUP(G67,#REF!, 4)</f>
        <v>#REF!</v>
      </c>
      <c r="J67" s="18" t="s">
        <v>2503</v>
      </c>
      <c r="K67" s="18" t="s">
        <v>2504</v>
      </c>
      <c r="L67" s="18"/>
      <c r="M67" s="18"/>
      <c r="N67" s="19" t="s">
        <v>2505</v>
      </c>
      <c r="O67" s="19" t="s">
        <v>2297</v>
      </c>
      <c r="P67" s="18" t="e">
        <f t="shared" ref="P67:P130" si="3">IF(Q67=0,"",Q67)</f>
        <v>#REF!</v>
      </c>
      <c r="Q67" s="19" t="e">
        <f>IF(R67=0,VLOOKUP(G67,#REF!, 3),R67)</f>
        <v>#REF!</v>
      </c>
      <c r="R67" s="13" t="e">
        <f>VLOOKUP(G67,#REF!, 5)</f>
        <v>#REF!</v>
      </c>
      <c r="S67" s="18" t="s">
        <v>18</v>
      </c>
      <c r="T67" s="43"/>
      <c r="AA67"/>
    </row>
    <row r="68" spans="1:27" ht="408.6" customHeight="1" x14ac:dyDescent="0.2">
      <c r="A68" s="12" t="s">
        <v>398</v>
      </c>
      <c r="B68" s="12" t="s">
        <v>399</v>
      </c>
      <c r="C68" s="37" t="s">
        <v>400</v>
      </c>
      <c r="D68" s="12" t="s">
        <v>401</v>
      </c>
      <c r="E68" s="8" t="s">
        <v>372</v>
      </c>
      <c r="F68" s="8" t="s">
        <v>74</v>
      </c>
      <c r="G68" s="8" t="str">
        <f t="shared" si="2"/>
        <v>S1-00101</v>
      </c>
      <c r="H68" s="52" t="e">
        <f>VLOOKUP(G68,#REF!, 2)</f>
        <v>#REF!</v>
      </c>
      <c r="I68" s="52" t="e">
        <f>VLOOKUP(G68,#REF!, 4)</f>
        <v>#REF!</v>
      </c>
      <c r="J68" s="18" t="s">
        <v>2506</v>
      </c>
      <c r="K68" s="18" t="s">
        <v>2507</v>
      </c>
      <c r="L68" s="19" t="s">
        <v>2508</v>
      </c>
      <c r="M68" s="19" t="s">
        <v>2509</v>
      </c>
      <c r="N68" s="19" t="s">
        <v>2510</v>
      </c>
      <c r="O68" s="19" t="s">
        <v>2297</v>
      </c>
      <c r="P68" s="18" t="e">
        <f t="shared" si="3"/>
        <v>#REF!</v>
      </c>
      <c r="Q68" s="19" t="e">
        <f>IF(R68=0,VLOOKUP(G68,#REF!, 3),R68)</f>
        <v>#REF!</v>
      </c>
      <c r="R68" s="13" t="e">
        <f>VLOOKUP(G68,#REF!, 5)</f>
        <v>#REF!</v>
      </c>
      <c r="S68" s="18" t="s">
        <v>18</v>
      </c>
      <c r="T68" s="43" t="s">
        <v>2511</v>
      </c>
      <c r="U68" s="4" t="s">
        <v>2309</v>
      </c>
      <c r="AA68"/>
    </row>
    <row r="69" spans="1:27" ht="356.45" customHeight="1" x14ac:dyDescent="0.2">
      <c r="A69" s="12" t="s">
        <v>404</v>
      </c>
      <c r="B69" s="12" t="s">
        <v>405</v>
      </c>
      <c r="C69" s="37" t="s">
        <v>406</v>
      </c>
      <c r="D69" s="12" t="s">
        <v>407</v>
      </c>
      <c r="E69" s="8" t="s">
        <v>372</v>
      </c>
      <c r="F69" s="8" t="s">
        <v>366</v>
      </c>
      <c r="G69" s="8" t="str">
        <f t="shared" si="2"/>
        <v>S1-00106</v>
      </c>
      <c r="H69" s="52" t="e">
        <f>VLOOKUP(G69,#REF!, 2)</f>
        <v>#REF!</v>
      </c>
      <c r="I69" s="52" t="e">
        <f>VLOOKUP(G69,#REF!, 4)</f>
        <v>#REF!</v>
      </c>
      <c r="J69" s="18" t="s">
        <v>2512</v>
      </c>
      <c r="K69" s="18" t="s">
        <v>2513</v>
      </c>
      <c r="L69" s="18" t="s">
        <v>2514</v>
      </c>
      <c r="M69" s="18"/>
      <c r="N69" s="18"/>
      <c r="O69" s="35"/>
      <c r="P69" s="18" t="e">
        <f t="shared" si="3"/>
        <v>#REF!</v>
      </c>
      <c r="Q69" s="19" t="e">
        <f>IF(R69=0,VLOOKUP(G69,#REF!, 3),R69)</f>
        <v>#REF!</v>
      </c>
      <c r="R69" s="13" t="e">
        <f>VLOOKUP(G69,#REF!, 5)</f>
        <v>#REF!</v>
      </c>
      <c r="S69" s="18" t="s">
        <v>18</v>
      </c>
      <c r="T69" s="43"/>
      <c r="AA69"/>
    </row>
    <row r="70" spans="1:27" ht="142" x14ac:dyDescent="0.2">
      <c r="A70" s="12" t="s">
        <v>410</v>
      </c>
      <c r="B70" s="12" t="s">
        <v>411</v>
      </c>
      <c r="C70" s="37" t="s">
        <v>412</v>
      </c>
      <c r="D70" s="12" t="s">
        <v>2515</v>
      </c>
      <c r="E70" s="8" t="s">
        <v>372</v>
      </c>
      <c r="F70" s="8" t="s">
        <v>414</v>
      </c>
      <c r="G70" s="8" t="str">
        <f t="shared" si="2"/>
        <v>S1-00107</v>
      </c>
      <c r="H70" s="52" t="e">
        <f>VLOOKUP(G70,#REF!, 2)</f>
        <v>#REF!</v>
      </c>
      <c r="I70" s="52" t="e">
        <f>VLOOKUP(G70,#REF!, 4)</f>
        <v>#REF!</v>
      </c>
      <c r="J70" s="18" t="s">
        <v>415</v>
      </c>
      <c r="K70" s="18" t="s">
        <v>2516</v>
      </c>
      <c r="L70" s="18" t="s">
        <v>2517</v>
      </c>
      <c r="M70" s="18"/>
      <c r="N70" s="19" t="s">
        <v>2518</v>
      </c>
      <c r="O70" s="19" t="s">
        <v>2297</v>
      </c>
      <c r="P70" s="18" t="e">
        <f t="shared" si="3"/>
        <v>#REF!</v>
      </c>
      <c r="Q70" s="19" t="e">
        <f>IF(R70=0,VLOOKUP(G70,#REF!, 3),R70)</f>
        <v>#REF!</v>
      </c>
      <c r="R70" s="13" t="e">
        <f>VLOOKUP(G70,#REF!, 5)</f>
        <v>#REF!</v>
      </c>
      <c r="S70" s="18" t="s">
        <v>18</v>
      </c>
      <c r="T70" s="43"/>
      <c r="AA70"/>
    </row>
    <row r="71" spans="1:27" ht="185.45" customHeight="1" x14ac:dyDescent="0.2">
      <c r="A71" s="12" t="s">
        <v>416</v>
      </c>
      <c r="B71" s="12" t="s">
        <v>417</v>
      </c>
      <c r="C71" s="51" t="s">
        <v>418</v>
      </c>
      <c r="D71" s="39" t="s">
        <v>419</v>
      </c>
      <c r="E71" s="10" t="s">
        <v>420</v>
      </c>
      <c r="F71" s="10" t="s">
        <v>421</v>
      </c>
      <c r="G71" s="8" t="str">
        <f t="shared" si="2"/>
        <v>S1-00559</v>
      </c>
      <c r="H71" s="52" t="e">
        <f>VLOOKUP(G71,#REF!, 2)</f>
        <v>#REF!</v>
      </c>
      <c r="I71" s="52" t="e">
        <f>VLOOKUP(G71,#REF!, 4)</f>
        <v>#REF!</v>
      </c>
      <c r="J71" s="22" t="s">
        <v>422</v>
      </c>
      <c r="K71" s="22" t="s">
        <v>422</v>
      </c>
      <c r="L71" s="22" t="s">
        <v>2519</v>
      </c>
      <c r="M71" s="19" t="s">
        <v>2520</v>
      </c>
      <c r="N71" s="22" t="s">
        <v>2521</v>
      </c>
      <c r="O71" s="22" t="s">
        <v>2297</v>
      </c>
      <c r="P71" s="18" t="e">
        <f t="shared" si="3"/>
        <v>#REF!</v>
      </c>
      <c r="Q71" s="19" t="e">
        <f>IF(R71=0,VLOOKUP(G71,#REF!, 3),R71)</f>
        <v>#REF!</v>
      </c>
      <c r="R71" s="13" t="e">
        <f>VLOOKUP(G71,#REF!, 5)</f>
        <v>#REF!</v>
      </c>
      <c r="S71" s="18" t="s">
        <v>18</v>
      </c>
      <c r="T71" s="43" t="s">
        <v>2522</v>
      </c>
      <c r="U71" s="4" t="s">
        <v>2299</v>
      </c>
      <c r="AA71"/>
    </row>
    <row r="72" spans="1:27" ht="361.4" x14ac:dyDescent="0.2">
      <c r="A72" s="12" t="s">
        <v>423</v>
      </c>
      <c r="B72" s="12" t="s">
        <v>424</v>
      </c>
      <c r="C72" s="51" t="s">
        <v>425</v>
      </c>
      <c r="D72" s="39" t="s">
        <v>426</v>
      </c>
      <c r="E72" s="10" t="s">
        <v>420</v>
      </c>
      <c r="F72" s="10" t="s">
        <v>427</v>
      </c>
      <c r="G72" s="8" t="str">
        <f t="shared" si="2"/>
        <v>S1-00117</v>
      </c>
      <c r="H72" s="52" t="e">
        <f>VLOOKUP(G72,#REF!, 2)</f>
        <v>#REF!</v>
      </c>
      <c r="I72" s="52" t="e">
        <f>VLOOKUP(G72,#REF!, 4)</f>
        <v>#REF!</v>
      </c>
      <c r="J72" s="22" t="s">
        <v>422</v>
      </c>
      <c r="K72" s="22" t="s">
        <v>422</v>
      </c>
      <c r="L72" s="22" t="s">
        <v>2523</v>
      </c>
      <c r="M72" s="22"/>
      <c r="N72" s="22"/>
      <c r="O72" s="22"/>
      <c r="P72" s="18" t="e">
        <f t="shared" si="3"/>
        <v>#REF!</v>
      </c>
      <c r="Q72" s="19" t="e">
        <f>IF(R72=0,VLOOKUP(G72,#REF!, 3),R72)</f>
        <v>#REF!</v>
      </c>
      <c r="R72" s="13" t="e">
        <f>VLOOKUP(G72,#REF!, 5)</f>
        <v>#REF!</v>
      </c>
      <c r="S72" s="18" t="s">
        <v>18</v>
      </c>
      <c r="T72" s="43"/>
      <c r="AA72"/>
    </row>
    <row r="73" spans="1:27" ht="124.15" customHeight="1" x14ac:dyDescent="0.2">
      <c r="A73" s="12" t="s">
        <v>428</v>
      </c>
      <c r="B73" s="12" t="s">
        <v>429</v>
      </c>
      <c r="C73" s="37" t="s">
        <v>430</v>
      </c>
      <c r="D73" s="12" t="s">
        <v>431</v>
      </c>
      <c r="E73" s="8" t="s">
        <v>432</v>
      </c>
      <c r="F73" s="8" t="s">
        <v>66</v>
      </c>
      <c r="G73" s="8" t="str">
        <f t="shared" si="2"/>
        <v>S1-00118</v>
      </c>
      <c r="H73" s="52" t="e">
        <f>VLOOKUP(G73,#REF!, 2)</f>
        <v>#REF!</v>
      </c>
      <c r="I73" s="52" t="e">
        <f>VLOOKUP(G73,#REF!, 4)</f>
        <v>#REF!</v>
      </c>
      <c r="J73" s="18" t="s">
        <v>2524</v>
      </c>
      <c r="K73" s="18" t="s">
        <v>2525</v>
      </c>
      <c r="L73" s="18" t="s">
        <v>2526</v>
      </c>
      <c r="M73" s="18"/>
      <c r="N73" s="22" t="s">
        <v>2527</v>
      </c>
      <c r="O73" s="19" t="s">
        <v>2331</v>
      </c>
      <c r="P73" s="18" t="e">
        <f t="shared" si="3"/>
        <v>#REF!</v>
      </c>
      <c r="Q73" s="19" t="e">
        <f>IF(R73=0,VLOOKUP(G73,#REF!, 3),R73)</f>
        <v>#REF!</v>
      </c>
      <c r="R73" s="13" t="e">
        <f>VLOOKUP(G73,#REF!, 5)</f>
        <v>#REF!</v>
      </c>
      <c r="S73" s="18" t="s">
        <v>18</v>
      </c>
      <c r="T73" s="43"/>
      <c r="AA73"/>
    </row>
    <row r="74" spans="1:27" ht="51.65" x14ac:dyDescent="0.2">
      <c r="A74" s="12" t="s">
        <v>428</v>
      </c>
      <c r="B74" s="12" t="s">
        <v>435</v>
      </c>
      <c r="C74" s="37" t="s">
        <v>436</v>
      </c>
      <c r="D74" s="12" t="s">
        <v>437</v>
      </c>
      <c r="E74" s="8" t="s">
        <v>432</v>
      </c>
      <c r="F74" s="8" t="s">
        <v>66</v>
      </c>
      <c r="G74" s="8" t="str">
        <f t="shared" si="2"/>
        <v>S1-00119</v>
      </c>
      <c r="H74" s="52" t="e">
        <f>VLOOKUP(G74,#REF!, 2)</f>
        <v>#REF!</v>
      </c>
      <c r="I74" s="52" t="e">
        <f>VLOOKUP(G74,#REF!, 4)</f>
        <v>#REF!</v>
      </c>
      <c r="J74" s="18" t="s">
        <v>2528</v>
      </c>
      <c r="K74" s="18" t="s">
        <v>2529</v>
      </c>
      <c r="L74" s="18" t="s">
        <v>2530</v>
      </c>
      <c r="M74" s="18"/>
      <c r="N74" s="18" t="s">
        <v>2492</v>
      </c>
      <c r="O74" s="18" t="s">
        <v>2297</v>
      </c>
      <c r="P74" s="18" t="e">
        <f t="shared" si="3"/>
        <v>#REF!</v>
      </c>
      <c r="Q74" s="19" t="e">
        <f>IF(R74=0,VLOOKUP(G74,#REF!, 3),R74)</f>
        <v>#REF!</v>
      </c>
      <c r="R74" s="13" t="e">
        <f>VLOOKUP(G74,#REF!, 5)</f>
        <v>#REF!</v>
      </c>
      <c r="S74" s="18" t="s">
        <v>18</v>
      </c>
      <c r="T74" s="43"/>
      <c r="AA74"/>
    </row>
    <row r="75" spans="1:27" ht="166.1" customHeight="1" x14ac:dyDescent="0.2">
      <c r="A75" s="12" t="s">
        <v>428</v>
      </c>
      <c r="B75" s="12" t="s">
        <v>440</v>
      </c>
      <c r="C75" s="37" t="s">
        <v>441</v>
      </c>
      <c r="D75" s="12" t="s">
        <v>442</v>
      </c>
      <c r="E75" s="8" t="s">
        <v>432</v>
      </c>
      <c r="F75" s="8" t="s">
        <v>66</v>
      </c>
      <c r="G75" s="8" t="str">
        <f t="shared" si="2"/>
        <v>S1-00120</v>
      </c>
      <c r="H75" s="52" t="e">
        <f>VLOOKUP(G75,#REF!, 2)</f>
        <v>#REF!</v>
      </c>
      <c r="I75" s="52" t="e">
        <f>VLOOKUP(G75,#REF!, 4)</f>
        <v>#REF!</v>
      </c>
      <c r="J75" s="18" t="s">
        <v>443</v>
      </c>
      <c r="K75" s="18" t="s">
        <v>2531</v>
      </c>
      <c r="L75" s="18" t="s">
        <v>2532</v>
      </c>
      <c r="M75" s="18" t="s">
        <v>2533</v>
      </c>
      <c r="N75" s="19" t="s">
        <v>2534</v>
      </c>
      <c r="O75" s="19" t="s">
        <v>2297</v>
      </c>
      <c r="P75" s="18" t="e">
        <f t="shared" si="3"/>
        <v>#REF!</v>
      </c>
      <c r="Q75" s="19" t="e">
        <f>IF(R75=0,VLOOKUP(G75,#REF!, 3),R75)</f>
        <v>#REF!</v>
      </c>
      <c r="R75" s="13" t="e">
        <f>VLOOKUP(G75,#REF!, 5)</f>
        <v>#REF!</v>
      </c>
      <c r="S75" s="18" t="s">
        <v>18</v>
      </c>
      <c r="T75" s="43" t="s">
        <v>2535</v>
      </c>
      <c r="U75" s="4" t="s">
        <v>2321</v>
      </c>
      <c r="AA75"/>
    </row>
    <row r="76" spans="1:27" ht="373.95" customHeight="1" x14ac:dyDescent="0.2">
      <c r="A76" s="12" t="s">
        <v>444</v>
      </c>
      <c r="B76" s="12" t="s">
        <v>445</v>
      </c>
      <c r="C76" s="37" t="s">
        <v>446</v>
      </c>
      <c r="D76" s="12" t="s">
        <v>447</v>
      </c>
      <c r="E76" s="8" t="s">
        <v>448</v>
      </c>
      <c r="F76" s="8" t="s">
        <v>246</v>
      </c>
      <c r="G76" s="8" t="str">
        <f t="shared" si="2"/>
        <v>S1-00121</v>
      </c>
      <c r="H76" s="52" t="e">
        <f>VLOOKUP(G76,#REF!, 2)</f>
        <v>#REF!</v>
      </c>
      <c r="I76" s="52" t="e">
        <f>VLOOKUP(G76,#REF!, 4)</f>
        <v>#REF!</v>
      </c>
      <c r="J76" s="18" t="s">
        <v>449</v>
      </c>
      <c r="K76" s="18" t="s">
        <v>2536</v>
      </c>
      <c r="L76" s="18" t="s">
        <v>2537</v>
      </c>
      <c r="M76" s="18"/>
      <c r="N76" s="18" t="s">
        <v>2538</v>
      </c>
      <c r="O76" s="18" t="s">
        <v>2297</v>
      </c>
      <c r="P76" s="18" t="e">
        <f t="shared" si="3"/>
        <v>#REF!</v>
      </c>
      <c r="Q76" s="19" t="e">
        <f>IF(R76=0,VLOOKUP(G76,#REF!, 3),R76)</f>
        <v>#REF!</v>
      </c>
      <c r="R76" s="13" t="e">
        <f>VLOOKUP(G76,#REF!, 5)</f>
        <v>#REF!</v>
      </c>
      <c r="S76" s="18" t="s">
        <v>18</v>
      </c>
      <c r="T76" s="43"/>
      <c r="AA76"/>
    </row>
    <row r="77" spans="1:27" ht="120.25" customHeight="1" x14ac:dyDescent="0.2">
      <c r="A77" s="12" t="s">
        <v>450</v>
      </c>
      <c r="B77" s="12" t="s">
        <v>451</v>
      </c>
      <c r="C77" s="37" t="s">
        <v>452</v>
      </c>
      <c r="D77" s="12" t="s">
        <v>453</v>
      </c>
      <c r="E77" s="8" t="s">
        <v>448</v>
      </c>
      <c r="F77" s="8" t="s">
        <v>90</v>
      </c>
      <c r="G77" s="8" t="str">
        <f t="shared" si="2"/>
        <v>S1-00122</v>
      </c>
      <c r="H77" s="52" t="e">
        <f>VLOOKUP(G77,#REF!, 2)</f>
        <v>#REF!</v>
      </c>
      <c r="I77" s="52" t="e">
        <f>VLOOKUP(G77,#REF!, 4)</f>
        <v>#REF!</v>
      </c>
      <c r="J77" s="18" t="s">
        <v>454</v>
      </c>
      <c r="K77" s="18" t="s">
        <v>2539</v>
      </c>
      <c r="L77" s="18" t="s">
        <v>2540</v>
      </c>
      <c r="M77" s="18"/>
      <c r="N77" s="18" t="s">
        <v>2541</v>
      </c>
      <c r="O77" s="18" t="s">
        <v>2297</v>
      </c>
      <c r="P77" s="18" t="e">
        <f t="shared" si="3"/>
        <v>#REF!</v>
      </c>
      <c r="Q77" s="19" t="e">
        <f>IF(R77=0,VLOOKUP(G77,#REF!, 3),R77)</f>
        <v>#REF!</v>
      </c>
      <c r="R77" s="13" t="e">
        <f>VLOOKUP(G77,#REF!, 5)</f>
        <v>#REF!</v>
      </c>
      <c r="S77" s="18" t="s">
        <v>18</v>
      </c>
      <c r="T77" s="43"/>
      <c r="AA77"/>
    </row>
    <row r="78" spans="1:27" ht="409.1" customHeight="1" x14ac:dyDescent="0.2">
      <c r="A78" s="12" t="s">
        <v>455</v>
      </c>
      <c r="B78" s="12" t="s">
        <v>456</v>
      </c>
      <c r="C78" s="37" t="s">
        <v>457</v>
      </c>
      <c r="D78" s="12" t="s">
        <v>458</v>
      </c>
      <c r="E78" s="8" t="s">
        <v>448</v>
      </c>
      <c r="F78" s="8" t="s">
        <v>366</v>
      </c>
      <c r="G78" s="8" t="str">
        <f t="shared" si="2"/>
        <v>S1-00123</v>
      </c>
      <c r="H78" s="52" t="e">
        <f>VLOOKUP(G78,#REF!, 2)</f>
        <v>#REF!</v>
      </c>
      <c r="I78" s="52" t="e">
        <f>VLOOKUP(G78,#REF!, 4)</f>
        <v>#REF!</v>
      </c>
      <c r="J78" s="18" t="s">
        <v>459</v>
      </c>
      <c r="K78" s="18" t="s">
        <v>2542</v>
      </c>
      <c r="L78" s="19" t="s">
        <v>2543</v>
      </c>
      <c r="M78" s="19" t="s">
        <v>2544</v>
      </c>
      <c r="N78" s="19" t="s">
        <v>2545</v>
      </c>
      <c r="O78" s="19" t="s">
        <v>2297</v>
      </c>
      <c r="P78" s="18" t="e">
        <f t="shared" si="3"/>
        <v>#REF!</v>
      </c>
      <c r="Q78" s="19" t="e">
        <f>IF(R78=0,VLOOKUP(G78,#REF!, 3),R78)</f>
        <v>#REF!</v>
      </c>
      <c r="R78" s="13" t="e">
        <f>VLOOKUP(G78,#REF!, 5)</f>
        <v>#REF!</v>
      </c>
      <c r="S78" s="18" t="s">
        <v>18</v>
      </c>
      <c r="T78" s="43" t="s">
        <v>2546</v>
      </c>
      <c r="U78" s="4" t="s">
        <v>2299</v>
      </c>
      <c r="V78" s="12" t="s">
        <v>2547</v>
      </c>
      <c r="AA78"/>
    </row>
    <row r="79" spans="1:27" ht="224.5" customHeight="1" x14ac:dyDescent="0.2">
      <c r="A79" s="12" t="s">
        <v>460</v>
      </c>
      <c r="B79" s="12" t="s">
        <v>461</v>
      </c>
      <c r="C79" s="37" t="s">
        <v>462</v>
      </c>
      <c r="D79" s="12" t="s">
        <v>2548</v>
      </c>
      <c r="E79" s="8" t="s">
        <v>464</v>
      </c>
      <c r="F79" s="8" t="s">
        <v>465</v>
      </c>
      <c r="G79" s="8" t="str">
        <f t="shared" si="2"/>
        <v>S1-00128</v>
      </c>
      <c r="H79" s="52" t="e">
        <f>VLOOKUP(G79,#REF!, 2)</f>
        <v>#REF!</v>
      </c>
      <c r="I79" s="52" t="e">
        <f>VLOOKUP(G79,#REF!, 4)</f>
        <v>#REF!</v>
      </c>
      <c r="J79" s="18" t="s">
        <v>2549</v>
      </c>
      <c r="K79" s="18" t="s">
        <v>2550</v>
      </c>
      <c r="L79" s="18" t="s">
        <v>2551</v>
      </c>
      <c r="M79" s="18"/>
      <c r="N79" s="19" t="s">
        <v>2552</v>
      </c>
      <c r="O79" s="19" t="s">
        <v>2331</v>
      </c>
      <c r="P79" s="18" t="e">
        <f t="shared" si="3"/>
        <v>#REF!</v>
      </c>
      <c r="Q79" s="19" t="e">
        <f>IF(R79=0,VLOOKUP(G79,#REF!, 3),R79)</f>
        <v>#REF!</v>
      </c>
      <c r="R79" s="13" t="e">
        <f>VLOOKUP(G79,#REF!, 5)</f>
        <v>#REF!</v>
      </c>
      <c r="S79" s="18" t="s">
        <v>18</v>
      </c>
      <c r="T79" s="43"/>
      <c r="AA79"/>
    </row>
    <row r="80" spans="1:27" ht="70.150000000000006" customHeight="1" x14ac:dyDescent="0.2">
      <c r="A80" s="12" t="s">
        <v>468</v>
      </c>
      <c r="B80" s="12" t="s">
        <v>469</v>
      </c>
      <c r="C80" s="51" t="s">
        <v>470</v>
      </c>
      <c r="D80" s="39" t="s">
        <v>471</v>
      </c>
      <c r="E80" s="10" t="s">
        <v>464</v>
      </c>
      <c r="F80" s="10" t="s">
        <v>472</v>
      </c>
      <c r="G80" s="8" t="str">
        <f t="shared" si="2"/>
        <v>S1-00129</v>
      </c>
      <c r="H80" s="52" t="e">
        <f>VLOOKUP(G80,#REF!, 2)</f>
        <v>#REF!</v>
      </c>
      <c r="I80" s="52" t="e">
        <f>VLOOKUP(G80,#REF!, 4)</f>
        <v>#REF!</v>
      </c>
      <c r="J80" s="22" t="s">
        <v>473</v>
      </c>
      <c r="K80" s="22" t="s">
        <v>2553</v>
      </c>
      <c r="L80" s="22"/>
      <c r="M80" s="22"/>
      <c r="N80" s="22"/>
      <c r="O80" s="22"/>
      <c r="P80" s="18" t="e">
        <f t="shared" si="3"/>
        <v>#REF!</v>
      </c>
      <c r="Q80" s="19" t="e">
        <f>IF(R80=0,VLOOKUP(G80,#REF!, 3),R80)</f>
        <v>#REF!</v>
      </c>
      <c r="R80" s="13" t="e">
        <f>VLOOKUP(G80,#REF!, 5)</f>
        <v>#REF!</v>
      </c>
      <c r="S80" s="18" t="s">
        <v>18</v>
      </c>
      <c r="T80" s="43"/>
      <c r="AA80"/>
    </row>
    <row r="81" spans="1:27" ht="102.25" customHeight="1" x14ac:dyDescent="0.2">
      <c r="A81" s="12" t="s">
        <v>474</v>
      </c>
      <c r="B81" s="12" t="s">
        <v>475</v>
      </c>
      <c r="C81" s="37" t="s">
        <v>476</v>
      </c>
      <c r="D81" s="12" t="s">
        <v>2554</v>
      </c>
      <c r="E81" s="8" t="s">
        <v>464</v>
      </c>
      <c r="F81" s="8" t="s">
        <v>478</v>
      </c>
      <c r="G81" s="8" t="str">
        <f t="shared" si="2"/>
        <v>S1-00130</v>
      </c>
      <c r="H81" s="52" t="e">
        <f>VLOOKUP(G81,#REF!, 2)</f>
        <v>#REF!</v>
      </c>
      <c r="I81" s="52" t="e">
        <f>VLOOKUP(G81,#REF!, 4)</f>
        <v>#REF!</v>
      </c>
      <c r="J81" s="18" t="s">
        <v>479</v>
      </c>
      <c r="K81" s="18" t="s">
        <v>2555</v>
      </c>
      <c r="L81" s="18" t="s">
        <v>2556</v>
      </c>
      <c r="M81" s="18"/>
      <c r="N81" s="18" t="s">
        <v>2557</v>
      </c>
      <c r="O81" s="18" t="s">
        <v>2331</v>
      </c>
      <c r="P81" s="18" t="e">
        <f t="shared" si="3"/>
        <v>#REF!</v>
      </c>
      <c r="Q81" s="19" t="e">
        <f>IF(R81=0,VLOOKUP(G81,#REF!, 3),R81)</f>
        <v>#REF!</v>
      </c>
      <c r="R81" s="13" t="e">
        <f>VLOOKUP(G81,#REF!, 5)</f>
        <v>#REF!</v>
      </c>
      <c r="S81" s="18" t="s">
        <v>18</v>
      </c>
      <c r="T81" s="43"/>
      <c r="AA81"/>
    </row>
    <row r="82" spans="1:27" ht="269.14999999999998" customHeight="1" x14ac:dyDescent="0.2">
      <c r="A82" s="12" t="s">
        <v>480</v>
      </c>
      <c r="B82" s="12" t="s">
        <v>481</v>
      </c>
      <c r="C82" s="37" t="s">
        <v>482</v>
      </c>
      <c r="D82" s="12" t="s">
        <v>483</v>
      </c>
      <c r="E82" s="8" t="s">
        <v>464</v>
      </c>
      <c r="F82" s="8" t="s">
        <v>90</v>
      </c>
      <c r="G82" s="8" t="str">
        <f t="shared" si="2"/>
        <v>S1-00131</v>
      </c>
      <c r="H82" s="52" t="e">
        <f>VLOOKUP(G82,#REF!, 2)</f>
        <v>#REF!</v>
      </c>
      <c r="I82" s="52" t="e">
        <f>VLOOKUP(G82,#REF!, 4)</f>
        <v>#REF!</v>
      </c>
      <c r="J82" s="18" t="s">
        <v>484</v>
      </c>
      <c r="K82" s="18" t="s">
        <v>2345</v>
      </c>
      <c r="L82" s="18" t="s">
        <v>2558</v>
      </c>
      <c r="M82" s="18"/>
      <c r="N82" s="18"/>
      <c r="O82" s="18"/>
      <c r="P82" s="18" t="e">
        <f t="shared" si="3"/>
        <v>#REF!</v>
      </c>
      <c r="Q82" s="19" t="e">
        <f>IF(R82=0,VLOOKUP(G82,#REF!, 3),R82)</f>
        <v>#REF!</v>
      </c>
      <c r="R82" s="13" t="e">
        <f>VLOOKUP(G82,#REF!, 5)</f>
        <v>#REF!</v>
      </c>
      <c r="S82" s="18" t="s">
        <v>18</v>
      </c>
      <c r="T82" s="43"/>
      <c r="AA82"/>
    </row>
    <row r="83" spans="1:27" ht="161.5" customHeight="1" x14ac:dyDescent="0.2">
      <c r="A83" s="12" t="s">
        <v>485</v>
      </c>
      <c r="B83" s="12" t="s">
        <v>486</v>
      </c>
      <c r="C83" s="51" t="s">
        <v>487</v>
      </c>
      <c r="D83" s="39" t="s">
        <v>2559</v>
      </c>
      <c r="E83" s="10" t="s">
        <v>489</v>
      </c>
      <c r="F83" s="10" t="s">
        <v>246</v>
      </c>
      <c r="G83" s="8" t="str">
        <f t="shared" si="2"/>
        <v>S1-00132</v>
      </c>
      <c r="H83" s="52" t="e">
        <f>VLOOKUP(G83,#REF!, 2)</f>
        <v>#REF!</v>
      </c>
      <c r="I83" s="52" t="e">
        <f>VLOOKUP(G83,#REF!, 4)</f>
        <v>#REF!</v>
      </c>
      <c r="J83" s="22" t="s">
        <v>2560</v>
      </c>
      <c r="K83" s="22" t="s">
        <v>2561</v>
      </c>
      <c r="L83" s="22" t="s">
        <v>2562</v>
      </c>
      <c r="M83" s="22" t="s">
        <v>2563</v>
      </c>
      <c r="N83" s="19" t="s">
        <v>2564</v>
      </c>
      <c r="O83" s="19" t="s">
        <v>2331</v>
      </c>
      <c r="P83" s="18" t="e">
        <f t="shared" si="3"/>
        <v>#REF!</v>
      </c>
      <c r="Q83" s="19" t="e">
        <f>IF(R83=0,VLOOKUP(G83,#REF!, 3),R83)</f>
        <v>#REF!</v>
      </c>
      <c r="R83" s="13" t="e">
        <f>VLOOKUP(G83,#REF!, 5)</f>
        <v>#REF!</v>
      </c>
      <c r="S83" s="18" t="s">
        <v>18</v>
      </c>
      <c r="T83" s="43" t="s">
        <v>2565</v>
      </c>
      <c r="U83" s="4" t="s">
        <v>2309</v>
      </c>
      <c r="AA83"/>
    </row>
    <row r="84" spans="1:27" ht="200.75" customHeight="1" x14ac:dyDescent="0.2">
      <c r="A84" s="12" t="s">
        <v>492</v>
      </c>
      <c r="B84" s="12" t="s">
        <v>493</v>
      </c>
      <c r="C84" s="37" t="s">
        <v>494</v>
      </c>
      <c r="D84" s="12" t="s">
        <v>2566</v>
      </c>
      <c r="E84" s="8" t="s">
        <v>489</v>
      </c>
      <c r="F84" s="8" t="s">
        <v>199</v>
      </c>
      <c r="G84" s="8" t="str">
        <f t="shared" si="2"/>
        <v>S1-00133</v>
      </c>
      <c r="H84" s="52" t="e">
        <f>VLOOKUP(G84,#REF!, 2)</f>
        <v>#REF!</v>
      </c>
      <c r="I84" s="52" t="e">
        <f>VLOOKUP(G84,#REF!, 4)</f>
        <v>#REF!</v>
      </c>
      <c r="J84" s="22" t="s">
        <v>496</v>
      </c>
      <c r="K84" s="22" t="s">
        <v>2345</v>
      </c>
      <c r="L84" s="22" t="s">
        <v>2567</v>
      </c>
      <c r="M84" s="22"/>
      <c r="N84" s="22" t="s">
        <v>2568</v>
      </c>
      <c r="O84" s="22" t="s">
        <v>2377</v>
      </c>
      <c r="P84" s="18" t="e">
        <f t="shared" si="3"/>
        <v>#REF!</v>
      </c>
      <c r="Q84" s="19" t="e">
        <f>IF(R84=0,VLOOKUP(G84,#REF!, 3),R84)</f>
        <v>#REF!</v>
      </c>
      <c r="R84" s="13" t="e">
        <f>VLOOKUP(G84,#REF!, 5)</f>
        <v>#REF!</v>
      </c>
      <c r="S84" s="18" t="s">
        <v>18</v>
      </c>
      <c r="T84" s="43"/>
      <c r="AA84"/>
    </row>
    <row r="85" spans="1:27" ht="148.94999999999999" customHeight="1" x14ac:dyDescent="0.2">
      <c r="A85" s="12" t="s">
        <v>497</v>
      </c>
      <c r="B85" s="12" t="s">
        <v>498</v>
      </c>
      <c r="C85" s="51" t="s">
        <v>499</v>
      </c>
      <c r="D85" s="39" t="s">
        <v>500</v>
      </c>
      <c r="E85" s="10" t="s">
        <v>501</v>
      </c>
      <c r="F85" s="10" t="s">
        <v>66</v>
      </c>
      <c r="G85" s="8" t="str">
        <f t="shared" si="2"/>
        <v>S1-00134</v>
      </c>
      <c r="H85" s="52" t="e">
        <f>VLOOKUP(G85,#REF!, 2)</f>
        <v>#REF!</v>
      </c>
      <c r="I85" s="52" t="e">
        <f>VLOOKUP(G85,#REF!, 4)</f>
        <v>#REF!</v>
      </c>
      <c r="J85" s="22" t="s">
        <v>502</v>
      </c>
      <c r="K85" s="22" t="s">
        <v>2569</v>
      </c>
      <c r="L85" s="22" t="s">
        <v>2570</v>
      </c>
      <c r="M85" s="22"/>
      <c r="N85" s="22" t="s">
        <v>2571</v>
      </c>
      <c r="O85" s="22" t="s">
        <v>2297</v>
      </c>
      <c r="P85" s="18" t="e">
        <f t="shared" si="3"/>
        <v>#REF!</v>
      </c>
      <c r="Q85" s="19" t="e">
        <f>IF(R85=0,VLOOKUP(G85,#REF!, 3),R85)</f>
        <v>#REF!</v>
      </c>
      <c r="R85" s="13" t="e">
        <f>VLOOKUP(G85,#REF!, 5)</f>
        <v>#REF!</v>
      </c>
      <c r="S85" s="18" t="s">
        <v>18</v>
      </c>
      <c r="T85" s="43"/>
      <c r="AA85"/>
    </row>
    <row r="86" spans="1:27" ht="65.75" customHeight="1" x14ac:dyDescent="0.2">
      <c r="A86" s="12" t="s">
        <v>503</v>
      </c>
      <c r="B86" s="12" t="s">
        <v>504</v>
      </c>
      <c r="C86" s="51" t="s">
        <v>505</v>
      </c>
      <c r="D86" s="39" t="s">
        <v>506</v>
      </c>
      <c r="E86" s="10" t="s">
        <v>501</v>
      </c>
      <c r="F86" s="10" t="s">
        <v>173</v>
      </c>
      <c r="G86" s="8" t="str">
        <f t="shared" si="2"/>
        <v>S1-00135</v>
      </c>
      <c r="H86" s="52" t="e">
        <f>VLOOKUP(G86,#REF!, 2)</f>
        <v>#REF!</v>
      </c>
      <c r="I86" s="52" t="e">
        <f>VLOOKUP(G86,#REF!, 4)</f>
        <v>#REF!</v>
      </c>
      <c r="J86" s="22" t="s">
        <v>507</v>
      </c>
      <c r="K86" s="22" t="s">
        <v>2345</v>
      </c>
      <c r="L86" s="22" t="s">
        <v>2572</v>
      </c>
      <c r="M86" s="22"/>
      <c r="N86" s="22"/>
      <c r="O86" s="22"/>
      <c r="P86" s="18" t="e">
        <f t="shared" si="3"/>
        <v>#REF!</v>
      </c>
      <c r="Q86" s="19" t="e">
        <f>IF(R86=0,VLOOKUP(G86,#REF!, 3),R86)</f>
        <v>#REF!</v>
      </c>
      <c r="R86" s="13" t="e">
        <f>VLOOKUP(G86,#REF!, 5)</f>
        <v>#REF!</v>
      </c>
      <c r="S86" s="18" t="s">
        <v>18</v>
      </c>
      <c r="T86" s="43"/>
      <c r="AA86"/>
    </row>
    <row r="87" spans="1:27" ht="51.65" x14ac:dyDescent="0.2">
      <c r="A87" s="12" t="s">
        <v>508</v>
      </c>
      <c r="B87" s="12" t="s">
        <v>509</v>
      </c>
      <c r="C87" s="37" t="s">
        <v>510</v>
      </c>
      <c r="D87" s="12" t="s">
        <v>511</v>
      </c>
      <c r="E87" s="8" t="s">
        <v>501</v>
      </c>
      <c r="F87" s="8" t="s">
        <v>280</v>
      </c>
      <c r="G87" s="8" t="str">
        <f t="shared" si="2"/>
        <v>S1-00136</v>
      </c>
      <c r="H87" s="52" t="e">
        <f>VLOOKUP(G87,#REF!, 2)</f>
        <v>#REF!</v>
      </c>
      <c r="I87" s="52" t="e">
        <f>VLOOKUP(G87,#REF!, 4)</f>
        <v>#REF!</v>
      </c>
      <c r="J87" s="22" t="s">
        <v>512</v>
      </c>
      <c r="K87" s="22" t="s">
        <v>2345</v>
      </c>
      <c r="L87" s="18" t="s">
        <v>2573</v>
      </c>
      <c r="M87" s="18"/>
      <c r="N87" s="18"/>
      <c r="O87" s="18"/>
      <c r="P87" s="18" t="e">
        <f t="shared" si="3"/>
        <v>#REF!</v>
      </c>
      <c r="Q87" s="19" t="e">
        <f>IF(R87=0,VLOOKUP(G87,#REF!, 3),R87)</f>
        <v>#REF!</v>
      </c>
      <c r="R87" s="13" t="e">
        <f>VLOOKUP(G87,#REF!, 5)</f>
        <v>#REF!</v>
      </c>
      <c r="S87" s="18" t="s">
        <v>18</v>
      </c>
      <c r="T87" s="43"/>
      <c r="AA87"/>
    </row>
    <row r="88" spans="1:27" ht="51.65" x14ac:dyDescent="0.2">
      <c r="A88" s="12" t="s">
        <v>513</v>
      </c>
      <c r="B88" s="12" t="s">
        <v>514</v>
      </c>
      <c r="C88" s="51" t="s">
        <v>515</v>
      </c>
      <c r="D88" s="39" t="s">
        <v>516</v>
      </c>
      <c r="E88" s="10" t="s">
        <v>501</v>
      </c>
      <c r="F88" s="10" t="s">
        <v>517</v>
      </c>
      <c r="G88" s="8" t="str">
        <f t="shared" si="2"/>
        <v>S1-00137</v>
      </c>
      <c r="H88" s="52" t="e">
        <f>VLOOKUP(G88,#REF!, 2)</f>
        <v>#REF!</v>
      </c>
      <c r="I88" s="52" t="e">
        <f>VLOOKUP(G88,#REF!, 4)</f>
        <v>#REF!</v>
      </c>
      <c r="J88" s="22" t="s">
        <v>518</v>
      </c>
      <c r="K88" s="22" t="s">
        <v>2345</v>
      </c>
      <c r="L88" s="18" t="s">
        <v>2574</v>
      </c>
      <c r="M88" s="18"/>
      <c r="N88" s="18"/>
      <c r="O88" s="18"/>
      <c r="P88" s="18" t="e">
        <f t="shared" si="3"/>
        <v>#REF!</v>
      </c>
      <c r="Q88" s="19" t="e">
        <f>IF(R88=0,VLOOKUP(G88,#REF!, 3),R88)</f>
        <v>#REF!</v>
      </c>
      <c r="R88" s="13" t="e">
        <f>VLOOKUP(G88,#REF!, 5)</f>
        <v>#REF!</v>
      </c>
      <c r="S88" s="18" t="s">
        <v>18</v>
      </c>
      <c r="T88" s="43"/>
      <c r="AA88"/>
    </row>
    <row r="89" spans="1:27" ht="51.65" x14ac:dyDescent="0.2">
      <c r="A89" s="12" t="s">
        <v>519</v>
      </c>
      <c r="B89" s="12" t="s">
        <v>520</v>
      </c>
      <c r="C89" s="37" t="s">
        <v>521</v>
      </c>
      <c r="D89" s="12" t="s">
        <v>522</v>
      </c>
      <c r="E89" s="8" t="s">
        <v>501</v>
      </c>
      <c r="F89" s="8" t="s">
        <v>523</v>
      </c>
      <c r="G89" s="8" t="str">
        <f t="shared" si="2"/>
        <v>S1-00138</v>
      </c>
      <c r="H89" s="52" t="e">
        <f>VLOOKUP(G89,#REF!, 2)</f>
        <v>#REF!</v>
      </c>
      <c r="I89" s="52" t="e">
        <f>VLOOKUP(G89,#REF!, 4)</f>
        <v>#REF!</v>
      </c>
      <c r="J89" s="22" t="s">
        <v>524</v>
      </c>
      <c r="K89" s="22" t="s">
        <v>2345</v>
      </c>
      <c r="L89" s="18" t="s">
        <v>2574</v>
      </c>
      <c r="M89" s="18"/>
      <c r="N89" s="18"/>
      <c r="O89" s="18"/>
      <c r="P89" s="18" t="e">
        <f t="shared" si="3"/>
        <v>#REF!</v>
      </c>
      <c r="Q89" s="19" t="e">
        <f>IF(R89=0,VLOOKUP(G89,#REF!, 3),R89)</f>
        <v>#REF!</v>
      </c>
      <c r="R89" s="13" t="e">
        <f>VLOOKUP(G89,#REF!, 5)</f>
        <v>#REF!</v>
      </c>
      <c r="S89" s="18" t="s">
        <v>18</v>
      </c>
      <c r="T89" s="43"/>
      <c r="AA89"/>
    </row>
    <row r="90" spans="1:27" ht="126.7" customHeight="1" x14ac:dyDescent="0.2">
      <c r="A90" s="12" t="s">
        <v>525</v>
      </c>
      <c r="B90" s="12" t="s">
        <v>526</v>
      </c>
      <c r="C90" s="37" t="s">
        <v>527</v>
      </c>
      <c r="D90" s="12" t="s">
        <v>528</v>
      </c>
      <c r="E90" s="8" t="s">
        <v>501</v>
      </c>
      <c r="F90" s="8" t="s">
        <v>529</v>
      </c>
      <c r="G90" s="8" t="str">
        <f t="shared" si="2"/>
        <v>S1-00139</v>
      </c>
      <c r="H90" s="52" t="e">
        <f>VLOOKUP(G90,#REF!, 2)</f>
        <v>#REF!</v>
      </c>
      <c r="I90" s="52" t="e">
        <f>VLOOKUP(G90,#REF!, 4)</f>
        <v>#REF!</v>
      </c>
      <c r="J90" s="22" t="s">
        <v>530</v>
      </c>
      <c r="K90" s="22" t="s">
        <v>2345</v>
      </c>
      <c r="L90" s="18" t="s">
        <v>2575</v>
      </c>
      <c r="M90" s="18"/>
      <c r="N90" s="18"/>
      <c r="O90" s="18"/>
      <c r="P90" s="18" t="e">
        <f t="shared" si="3"/>
        <v>#REF!</v>
      </c>
      <c r="Q90" s="19" t="e">
        <f>IF(R90=0,VLOOKUP(G90,#REF!, 3),R90)</f>
        <v>#REF!</v>
      </c>
      <c r="R90" s="13" t="e">
        <f>VLOOKUP(G90,#REF!, 5)</f>
        <v>#REF!</v>
      </c>
      <c r="S90" s="18" t="s">
        <v>18</v>
      </c>
      <c r="T90" s="43"/>
      <c r="AA90"/>
    </row>
    <row r="91" spans="1:27" ht="51.65" x14ac:dyDescent="0.2">
      <c r="A91" s="12" t="s">
        <v>525</v>
      </c>
      <c r="B91" s="12" t="s">
        <v>531</v>
      </c>
      <c r="C91" s="51" t="s">
        <v>532</v>
      </c>
      <c r="D91" s="39" t="s">
        <v>533</v>
      </c>
      <c r="E91" s="10" t="s">
        <v>501</v>
      </c>
      <c r="F91" s="10" t="s">
        <v>529</v>
      </c>
      <c r="G91" s="8" t="str">
        <f t="shared" si="2"/>
        <v>S1-00140</v>
      </c>
      <c r="H91" s="52" t="e">
        <f>VLOOKUP(G91,#REF!, 2)</f>
        <v>#REF!</v>
      </c>
      <c r="I91" s="52" t="e">
        <f>VLOOKUP(G91,#REF!, 4)</f>
        <v>#REF!</v>
      </c>
      <c r="J91" s="22" t="s">
        <v>534</v>
      </c>
      <c r="K91" s="22" t="s">
        <v>2345</v>
      </c>
      <c r="L91" s="22" t="s">
        <v>2576</v>
      </c>
      <c r="M91" s="22"/>
      <c r="N91" s="22"/>
      <c r="O91" s="22"/>
      <c r="P91" s="18" t="e">
        <f t="shared" si="3"/>
        <v>#REF!</v>
      </c>
      <c r="Q91" s="19" t="e">
        <f>IF(R91=0,VLOOKUP(G91,#REF!, 3),R91)</f>
        <v>#REF!</v>
      </c>
      <c r="R91" s="13" t="e">
        <f>VLOOKUP(G91,#REF!, 5)</f>
        <v>#REF!</v>
      </c>
      <c r="S91" s="18" t="s">
        <v>18</v>
      </c>
      <c r="T91" s="43"/>
      <c r="AA91"/>
    </row>
    <row r="92" spans="1:27" ht="51.65" x14ac:dyDescent="0.2">
      <c r="A92" s="12" t="s">
        <v>525</v>
      </c>
      <c r="B92" s="12" t="s">
        <v>535</v>
      </c>
      <c r="C92" s="37" t="s">
        <v>536</v>
      </c>
      <c r="D92" s="12" t="s">
        <v>537</v>
      </c>
      <c r="E92" s="8" t="s">
        <v>501</v>
      </c>
      <c r="F92" s="8" t="s">
        <v>529</v>
      </c>
      <c r="G92" s="8" t="str">
        <f t="shared" si="2"/>
        <v>S1-00141</v>
      </c>
      <c r="H92" s="52" t="e">
        <f>VLOOKUP(G92,#REF!, 2)</f>
        <v>#REF!</v>
      </c>
      <c r="I92" s="52" t="e">
        <f>VLOOKUP(G92,#REF!, 4)</f>
        <v>#REF!</v>
      </c>
      <c r="J92" s="22" t="s">
        <v>538</v>
      </c>
      <c r="K92" s="22" t="s">
        <v>2345</v>
      </c>
      <c r="L92" s="22" t="s">
        <v>2576</v>
      </c>
      <c r="M92" s="22"/>
      <c r="N92" s="22"/>
      <c r="O92" s="22"/>
      <c r="P92" s="18" t="e">
        <f t="shared" si="3"/>
        <v>#REF!</v>
      </c>
      <c r="Q92" s="19" t="e">
        <f>IF(R92=0,VLOOKUP(G92,#REF!, 3),R92)</f>
        <v>#REF!</v>
      </c>
      <c r="R92" s="13" t="e">
        <f>VLOOKUP(G92,#REF!, 5)</f>
        <v>#REF!</v>
      </c>
      <c r="S92" s="18" t="s">
        <v>18</v>
      </c>
      <c r="T92" s="43"/>
      <c r="AA92"/>
    </row>
    <row r="93" spans="1:27" ht="117.7" customHeight="1" x14ac:dyDescent="0.2">
      <c r="A93" s="12" t="s">
        <v>539</v>
      </c>
      <c r="B93" s="12" t="s">
        <v>540</v>
      </c>
      <c r="C93" s="51" t="s">
        <v>541</v>
      </c>
      <c r="D93" s="39" t="s">
        <v>542</v>
      </c>
      <c r="E93" s="10" t="s">
        <v>501</v>
      </c>
      <c r="F93" s="10" t="s">
        <v>32</v>
      </c>
      <c r="G93" s="8" t="str">
        <f t="shared" si="2"/>
        <v>S1-00142</v>
      </c>
      <c r="H93" s="52" t="e">
        <f>VLOOKUP(G93,#REF!, 2)</f>
        <v>#REF!</v>
      </c>
      <c r="I93" s="52" t="e">
        <f>VLOOKUP(G93,#REF!, 4)</f>
        <v>#REF!</v>
      </c>
      <c r="J93" s="22" t="s">
        <v>543</v>
      </c>
      <c r="K93" s="22" t="s">
        <v>2345</v>
      </c>
      <c r="L93" s="22" t="s">
        <v>2577</v>
      </c>
      <c r="M93" s="22"/>
      <c r="N93" s="22"/>
      <c r="O93" s="22"/>
      <c r="P93" s="18" t="e">
        <f t="shared" si="3"/>
        <v>#REF!</v>
      </c>
      <c r="Q93" s="19" t="e">
        <f>IF(R93=0,VLOOKUP(G93,#REF!, 3),R93)</f>
        <v>#REF!</v>
      </c>
      <c r="R93" s="13" t="e">
        <f>VLOOKUP(G93,#REF!, 5)</f>
        <v>#REF!</v>
      </c>
      <c r="S93" s="18" t="s">
        <v>18</v>
      </c>
      <c r="T93" s="43"/>
      <c r="AA93"/>
    </row>
    <row r="94" spans="1:27" ht="150.65" customHeight="1" x14ac:dyDescent="0.2">
      <c r="A94" s="12" t="s">
        <v>544</v>
      </c>
      <c r="B94" s="12" t="s">
        <v>545</v>
      </c>
      <c r="C94" s="37" t="s">
        <v>546</v>
      </c>
      <c r="D94" s="12" t="s">
        <v>547</v>
      </c>
      <c r="E94" s="8" t="s">
        <v>501</v>
      </c>
      <c r="F94" s="8" t="s">
        <v>307</v>
      </c>
      <c r="G94" s="8" t="str">
        <f t="shared" si="2"/>
        <v>S1-00143</v>
      </c>
      <c r="H94" s="52" t="e">
        <f>VLOOKUP(G94,#REF!, 2)</f>
        <v>#REF!</v>
      </c>
      <c r="I94" s="52" t="e">
        <f>VLOOKUP(G94,#REF!, 4)</f>
        <v>#REF!</v>
      </c>
      <c r="J94" s="22" t="s">
        <v>548</v>
      </c>
      <c r="K94" s="22" t="s">
        <v>2345</v>
      </c>
      <c r="L94" s="18" t="s">
        <v>2578</v>
      </c>
      <c r="M94" s="18"/>
      <c r="N94" s="18"/>
      <c r="O94" s="18"/>
      <c r="P94" s="18" t="e">
        <f t="shared" si="3"/>
        <v>#REF!</v>
      </c>
      <c r="Q94" s="19" t="e">
        <f>IF(R94=0,VLOOKUP(G94,#REF!, 3),R94)</f>
        <v>#REF!</v>
      </c>
      <c r="R94" s="13" t="e">
        <f>VLOOKUP(G94,#REF!, 5)</f>
        <v>#REF!</v>
      </c>
      <c r="S94" s="18" t="s">
        <v>18</v>
      </c>
      <c r="T94" s="43"/>
      <c r="AA94"/>
    </row>
    <row r="95" spans="1:27" ht="225" customHeight="1" x14ac:dyDescent="0.2">
      <c r="A95" s="12" t="s">
        <v>549</v>
      </c>
      <c r="B95" s="12" t="s">
        <v>550</v>
      </c>
      <c r="C95" s="37" t="s">
        <v>551</v>
      </c>
      <c r="D95" s="12" t="s">
        <v>2579</v>
      </c>
      <c r="E95" s="8" t="s">
        <v>501</v>
      </c>
      <c r="F95" s="8" t="s">
        <v>246</v>
      </c>
      <c r="G95" s="8" t="str">
        <f t="shared" si="2"/>
        <v>S1-00144</v>
      </c>
      <c r="H95" s="52" t="e">
        <f>VLOOKUP(G95,#REF!, 2)</f>
        <v>#REF!</v>
      </c>
      <c r="I95" s="52" t="e">
        <f>VLOOKUP(G95,#REF!, 4)</f>
        <v>#REF!</v>
      </c>
      <c r="J95" s="22" t="s">
        <v>2580</v>
      </c>
      <c r="K95" s="22" t="s">
        <v>2345</v>
      </c>
      <c r="L95" s="18" t="s">
        <v>2581</v>
      </c>
      <c r="M95" s="18" t="s">
        <v>2582</v>
      </c>
      <c r="N95" s="18" t="s">
        <v>2583</v>
      </c>
      <c r="O95" s="18" t="s">
        <v>2297</v>
      </c>
      <c r="P95" s="18" t="e">
        <f t="shared" si="3"/>
        <v>#REF!</v>
      </c>
      <c r="Q95" s="19" t="e">
        <f>IF(R95=0,VLOOKUP(G95,#REF!, 3),R95)</f>
        <v>#REF!</v>
      </c>
      <c r="R95" s="13" t="e">
        <f>VLOOKUP(G95,#REF!, 5)</f>
        <v>#REF!</v>
      </c>
      <c r="S95" s="18" t="s">
        <v>18</v>
      </c>
      <c r="T95" s="43" t="s">
        <v>2584</v>
      </c>
      <c r="U95" s="4" t="s">
        <v>2309</v>
      </c>
      <c r="AA95"/>
    </row>
    <row r="96" spans="1:27" ht="117.7" customHeight="1" x14ac:dyDescent="0.2">
      <c r="A96" s="12" t="s">
        <v>555</v>
      </c>
      <c r="B96" s="12" t="s">
        <v>556</v>
      </c>
      <c r="C96" s="37" t="s">
        <v>557</v>
      </c>
      <c r="D96" s="12" t="s">
        <v>558</v>
      </c>
      <c r="E96" s="8" t="s">
        <v>501</v>
      </c>
      <c r="F96" s="8" t="s">
        <v>559</v>
      </c>
      <c r="G96" s="8" t="str">
        <f t="shared" si="2"/>
        <v>S1-00145</v>
      </c>
      <c r="H96" s="52" t="e">
        <f>VLOOKUP(G96,#REF!, 2)</f>
        <v>#REF!</v>
      </c>
      <c r="I96" s="52" t="e">
        <f>VLOOKUP(G96,#REF!, 4)</f>
        <v>#REF!</v>
      </c>
      <c r="J96" s="22" t="s">
        <v>2585</v>
      </c>
      <c r="K96" s="22" t="s">
        <v>2345</v>
      </c>
      <c r="L96" s="18" t="s">
        <v>2586</v>
      </c>
      <c r="M96" s="18"/>
      <c r="N96" s="18" t="s">
        <v>2587</v>
      </c>
      <c r="O96" s="18" t="s">
        <v>2297</v>
      </c>
      <c r="P96" s="18" t="e">
        <f t="shared" si="3"/>
        <v>#REF!</v>
      </c>
      <c r="Q96" s="19" t="e">
        <f>IF(R96=0,VLOOKUP(G96,#REF!, 3),R96)</f>
        <v>#REF!</v>
      </c>
      <c r="R96" s="13" t="e">
        <f>VLOOKUP(G96,#REF!, 5)</f>
        <v>#REF!</v>
      </c>
      <c r="S96" s="18" t="s">
        <v>18</v>
      </c>
      <c r="T96" s="43"/>
      <c r="AA96"/>
    </row>
    <row r="97" spans="1:27" ht="77.45" x14ac:dyDescent="0.2">
      <c r="A97" s="12" t="s">
        <v>563</v>
      </c>
      <c r="B97" s="12" t="s">
        <v>564</v>
      </c>
      <c r="C97" s="37" t="s">
        <v>565</v>
      </c>
      <c r="D97" s="12" t="s">
        <v>566</v>
      </c>
      <c r="E97" s="8" t="s">
        <v>501</v>
      </c>
      <c r="F97" s="8" t="s">
        <v>567</v>
      </c>
      <c r="G97" s="8" t="str">
        <f t="shared" si="2"/>
        <v>S1-00146</v>
      </c>
      <c r="H97" s="52" t="e">
        <f>VLOOKUP(G97,#REF!, 2)</f>
        <v>#REF!</v>
      </c>
      <c r="I97" s="52" t="e">
        <f>VLOOKUP(G97,#REF!, 4)</f>
        <v>#REF!</v>
      </c>
      <c r="J97" s="22" t="s">
        <v>2588</v>
      </c>
      <c r="K97" s="22" t="s">
        <v>2345</v>
      </c>
      <c r="L97" s="18" t="s">
        <v>2589</v>
      </c>
      <c r="M97" s="18"/>
      <c r="N97" s="18" t="s">
        <v>2590</v>
      </c>
      <c r="O97" s="18" t="s">
        <v>2297</v>
      </c>
      <c r="P97" s="18" t="e">
        <f t="shared" si="3"/>
        <v>#REF!</v>
      </c>
      <c r="Q97" s="19" t="e">
        <f>IF(R97=0,VLOOKUP(G97,#REF!, 3),R97)</f>
        <v>#REF!</v>
      </c>
      <c r="R97" s="13" t="e">
        <f>VLOOKUP(G97,#REF!, 5)</f>
        <v>#REF!</v>
      </c>
      <c r="S97" s="18" t="s">
        <v>18</v>
      </c>
      <c r="T97" s="43"/>
      <c r="AA97"/>
    </row>
    <row r="98" spans="1:27" ht="248.95" customHeight="1" x14ac:dyDescent="0.2">
      <c r="A98" s="12" t="s">
        <v>570</v>
      </c>
      <c r="B98" s="12" t="s">
        <v>571</v>
      </c>
      <c r="C98" s="37" t="s">
        <v>572</v>
      </c>
      <c r="D98" s="12" t="s">
        <v>573</v>
      </c>
      <c r="E98" s="8" t="s">
        <v>501</v>
      </c>
      <c r="F98" s="8" t="s">
        <v>574</v>
      </c>
      <c r="G98" s="8" t="str">
        <f t="shared" si="2"/>
        <v>S1-00147</v>
      </c>
      <c r="H98" s="52" t="e">
        <f>VLOOKUP(G98,#REF!, 2)</f>
        <v>#REF!</v>
      </c>
      <c r="I98" s="52" t="e">
        <f>VLOOKUP(G98,#REF!, 4)</f>
        <v>#REF!</v>
      </c>
      <c r="J98" s="22" t="s">
        <v>575</v>
      </c>
      <c r="K98" s="22" t="s">
        <v>2345</v>
      </c>
      <c r="L98" s="18" t="s">
        <v>2591</v>
      </c>
      <c r="M98" s="18"/>
      <c r="N98" s="18" t="s">
        <v>2592</v>
      </c>
      <c r="O98" s="18" t="s">
        <v>2297</v>
      </c>
      <c r="P98" s="18" t="e">
        <f t="shared" si="3"/>
        <v>#REF!</v>
      </c>
      <c r="Q98" s="19" t="e">
        <f>IF(R98=0,VLOOKUP(G98,#REF!, 3),R98)</f>
        <v>#REF!</v>
      </c>
      <c r="R98" s="13" t="e">
        <f>VLOOKUP(G98,#REF!, 5)</f>
        <v>#REF!</v>
      </c>
      <c r="S98" s="18" t="s">
        <v>18</v>
      </c>
      <c r="T98" s="43"/>
      <c r="AA98"/>
    </row>
    <row r="99" spans="1:27" ht="257.45" customHeight="1" x14ac:dyDescent="0.2">
      <c r="A99" s="12" t="s">
        <v>576</v>
      </c>
      <c r="B99" s="12" t="s">
        <v>577</v>
      </c>
      <c r="C99" s="37" t="s">
        <v>578</v>
      </c>
      <c r="D99" s="12" t="s">
        <v>579</v>
      </c>
      <c r="E99" s="8" t="s">
        <v>501</v>
      </c>
      <c r="F99" s="8" t="s">
        <v>103</v>
      </c>
      <c r="G99" s="8" t="str">
        <f t="shared" si="2"/>
        <v>S1-00149</v>
      </c>
      <c r="H99" s="52" t="e">
        <f>VLOOKUP(G99,#REF!, 2)</f>
        <v>#REF!</v>
      </c>
      <c r="I99" s="52" t="e">
        <f>VLOOKUP(G99,#REF!, 4)</f>
        <v>#REF!</v>
      </c>
      <c r="J99" s="22" t="s">
        <v>2593</v>
      </c>
      <c r="K99" s="22" t="s">
        <v>2594</v>
      </c>
      <c r="L99" s="18" t="s">
        <v>2595</v>
      </c>
      <c r="M99" s="18"/>
      <c r="N99" s="18" t="s">
        <v>2596</v>
      </c>
      <c r="O99" s="18" t="s">
        <v>2297</v>
      </c>
      <c r="P99" s="18" t="e">
        <f t="shared" si="3"/>
        <v>#REF!</v>
      </c>
      <c r="Q99" s="19" t="e">
        <f>IF(R99=0,VLOOKUP(G99,#REF!, 3),R99)</f>
        <v>#REF!</v>
      </c>
      <c r="R99" s="13" t="e">
        <f>VLOOKUP(G99,#REF!, 5)</f>
        <v>#REF!</v>
      </c>
      <c r="S99" s="18" t="s">
        <v>18</v>
      </c>
      <c r="T99" s="43"/>
      <c r="AA99"/>
    </row>
    <row r="100" spans="1:27" ht="130.94999999999999" customHeight="1" x14ac:dyDescent="0.2">
      <c r="A100" s="12" t="s">
        <v>582</v>
      </c>
      <c r="B100" s="12" t="s">
        <v>583</v>
      </c>
      <c r="C100" s="51" t="s">
        <v>584</v>
      </c>
      <c r="D100" s="39" t="s">
        <v>585</v>
      </c>
      <c r="E100" s="10" t="s">
        <v>501</v>
      </c>
      <c r="F100" s="10" t="s">
        <v>31</v>
      </c>
      <c r="G100" s="8" t="str">
        <f t="shared" si="2"/>
        <v>S1-00150</v>
      </c>
      <c r="H100" s="52" t="e">
        <f>VLOOKUP(G100,#REF!, 2)</f>
        <v>#REF!</v>
      </c>
      <c r="I100" s="52" t="e">
        <f>VLOOKUP(G100,#REF!, 4)</f>
        <v>#REF!</v>
      </c>
      <c r="J100" s="22" t="s">
        <v>2597</v>
      </c>
      <c r="K100" s="22" t="s">
        <v>2598</v>
      </c>
      <c r="L100" s="18" t="s">
        <v>2599</v>
      </c>
      <c r="M100" s="18"/>
      <c r="N100" s="18" t="s">
        <v>2600</v>
      </c>
      <c r="O100" s="18" t="s">
        <v>2297</v>
      </c>
      <c r="P100" s="18" t="e">
        <f t="shared" si="3"/>
        <v>#REF!</v>
      </c>
      <c r="Q100" s="19" t="e">
        <f>IF(R100=0,VLOOKUP(G100,#REF!, 3),R100)</f>
        <v>#REF!</v>
      </c>
      <c r="R100" s="13" t="e">
        <f>VLOOKUP(G100,#REF!, 5)</f>
        <v>#REF!</v>
      </c>
      <c r="S100" s="18" t="s">
        <v>18</v>
      </c>
      <c r="T100" s="43"/>
      <c r="AA100"/>
    </row>
    <row r="101" spans="1:27" ht="103.25" x14ac:dyDescent="0.2">
      <c r="A101" s="12" t="s">
        <v>582</v>
      </c>
      <c r="B101" s="12" t="s">
        <v>587</v>
      </c>
      <c r="C101" s="51" t="s">
        <v>588</v>
      </c>
      <c r="D101" s="39" t="s">
        <v>589</v>
      </c>
      <c r="E101" s="10" t="s">
        <v>501</v>
      </c>
      <c r="F101" s="10" t="s">
        <v>31</v>
      </c>
      <c r="G101" s="8" t="str">
        <f t="shared" si="2"/>
        <v>S1-00151</v>
      </c>
      <c r="H101" s="52" t="e">
        <f>VLOOKUP(G101,#REF!, 2)</f>
        <v>#REF!</v>
      </c>
      <c r="I101" s="52" t="e">
        <f>VLOOKUP(G101,#REF!, 4)</f>
        <v>#REF!</v>
      </c>
      <c r="J101" s="22" t="s">
        <v>590</v>
      </c>
      <c r="K101" s="22" t="s">
        <v>2601</v>
      </c>
      <c r="L101" s="18" t="s">
        <v>2602</v>
      </c>
      <c r="M101" s="18"/>
      <c r="N101" s="18"/>
      <c r="O101" s="18"/>
      <c r="P101" s="18" t="e">
        <f t="shared" si="3"/>
        <v>#REF!</v>
      </c>
      <c r="Q101" s="19" t="e">
        <f>IF(R101=0,VLOOKUP(G101,#REF!, 3),R101)</f>
        <v>#REF!</v>
      </c>
      <c r="R101" s="13" t="e">
        <f>VLOOKUP(G101,#REF!, 5)</f>
        <v>#REF!</v>
      </c>
      <c r="S101" s="18" t="s">
        <v>18</v>
      </c>
      <c r="T101" s="43"/>
      <c r="AA101"/>
    </row>
    <row r="102" spans="1:27" ht="408.6" customHeight="1" x14ac:dyDescent="0.2">
      <c r="A102" s="12" t="s">
        <v>591</v>
      </c>
      <c r="B102" s="12" t="s">
        <v>592</v>
      </c>
      <c r="C102" s="37" t="s">
        <v>593</v>
      </c>
      <c r="D102" s="12" t="s">
        <v>2603</v>
      </c>
      <c r="E102" s="8" t="s">
        <v>501</v>
      </c>
      <c r="F102" s="8" t="s">
        <v>595</v>
      </c>
      <c r="G102" s="8" t="str">
        <f t="shared" si="2"/>
        <v>S1-00152</v>
      </c>
      <c r="H102" s="52" t="e">
        <f>VLOOKUP(G102,#REF!, 2)</f>
        <v>#REF!</v>
      </c>
      <c r="I102" s="52" t="e">
        <f>VLOOKUP(G102,#REF!, 4)</f>
        <v>#REF!</v>
      </c>
      <c r="J102" s="22" t="s">
        <v>596</v>
      </c>
      <c r="K102" s="22" t="s">
        <v>2604</v>
      </c>
      <c r="L102" s="18" t="s">
        <v>2605</v>
      </c>
      <c r="M102" s="18" t="s">
        <v>2606</v>
      </c>
      <c r="N102" s="19" t="s">
        <v>2607</v>
      </c>
      <c r="O102" s="19" t="s">
        <v>2297</v>
      </c>
      <c r="P102" s="18" t="e">
        <f t="shared" si="3"/>
        <v>#REF!</v>
      </c>
      <c r="Q102" s="19" t="e">
        <f>IF(R102=0,VLOOKUP(G102,#REF!, 3),R102)</f>
        <v>#REF!</v>
      </c>
      <c r="R102" s="13" t="e">
        <f>VLOOKUP(G102,#REF!, 5)</f>
        <v>#REF!</v>
      </c>
      <c r="S102" s="18" t="s">
        <v>18</v>
      </c>
      <c r="T102" s="43" t="s">
        <v>2608</v>
      </c>
      <c r="U102" s="4" t="s">
        <v>2309</v>
      </c>
      <c r="AA102"/>
    </row>
    <row r="103" spans="1:27" ht="144" customHeight="1" x14ac:dyDescent="0.2">
      <c r="A103" s="12" t="s">
        <v>597</v>
      </c>
      <c r="B103" s="12" t="s">
        <v>598</v>
      </c>
      <c r="C103" s="37" t="s">
        <v>599</v>
      </c>
      <c r="D103" s="12" t="s">
        <v>600</v>
      </c>
      <c r="E103" s="8" t="s">
        <v>501</v>
      </c>
      <c r="F103" s="8" t="s">
        <v>601</v>
      </c>
      <c r="G103" s="8" t="str">
        <f t="shared" si="2"/>
        <v>S1-00155</v>
      </c>
      <c r="H103" s="52" t="e">
        <f>VLOOKUP(G103,#REF!, 2)</f>
        <v>#REF!</v>
      </c>
      <c r="I103" s="52" t="e">
        <f>VLOOKUP(G103,#REF!, 4)</f>
        <v>#REF!</v>
      </c>
      <c r="J103" s="22" t="s">
        <v>602</v>
      </c>
      <c r="K103" s="22" t="s">
        <v>2609</v>
      </c>
      <c r="L103" s="18" t="s">
        <v>2610</v>
      </c>
      <c r="M103" s="18"/>
      <c r="N103" s="18" t="s">
        <v>2611</v>
      </c>
      <c r="O103" s="18" t="s">
        <v>2297</v>
      </c>
      <c r="P103" s="18" t="e">
        <f t="shared" si="3"/>
        <v>#REF!</v>
      </c>
      <c r="Q103" s="19" t="e">
        <f>IF(R103=0,VLOOKUP(G103,#REF!, 3),R103)</f>
        <v>#REF!</v>
      </c>
      <c r="R103" s="13" t="e">
        <f>VLOOKUP(G103,#REF!, 5)</f>
        <v>#REF!</v>
      </c>
      <c r="S103" s="18" t="s">
        <v>18</v>
      </c>
      <c r="T103" s="43"/>
      <c r="AA103"/>
    </row>
    <row r="104" spans="1:27" ht="103.25" x14ac:dyDescent="0.2">
      <c r="A104" s="12" t="s">
        <v>603</v>
      </c>
      <c r="B104" s="12" t="s">
        <v>604</v>
      </c>
      <c r="C104" s="51" t="s">
        <v>605</v>
      </c>
      <c r="D104" s="39" t="s">
        <v>606</v>
      </c>
      <c r="E104" s="10" t="s">
        <v>501</v>
      </c>
      <c r="F104" s="10" t="s">
        <v>59</v>
      </c>
      <c r="G104" s="8" t="str">
        <f t="shared" si="2"/>
        <v>S1-00156</v>
      </c>
      <c r="H104" s="52" t="e">
        <f>VLOOKUP(G104,#REF!, 2)</f>
        <v>#REF!</v>
      </c>
      <c r="I104" s="52" t="e">
        <f>VLOOKUP(G104,#REF!, 4)</f>
        <v>#REF!</v>
      </c>
      <c r="J104" s="22" t="s">
        <v>607</v>
      </c>
      <c r="K104" s="22" t="s">
        <v>2612</v>
      </c>
      <c r="L104" s="18" t="s">
        <v>2613</v>
      </c>
      <c r="M104" s="18"/>
      <c r="N104" s="18" t="s">
        <v>2614</v>
      </c>
      <c r="O104" s="18" t="s">
        <v>2297</v>
      </c>
      <c r="P104" s="18" t="e">
        <f t="shared" si="3"/>
        <v>#REF!</v>
      </c>
      <c r="Q104" s="19" t="e">
        <f>IF(R104=0,VLOOKUP(G104,#REF!, 3),R104)</f>
        <v>#REF!</v>
      </c>
      <c r="R104" s="13" t="e">
        <f>VLOOKUP(G104,#REF!, 5)</f>
        <v>#REF!</v>
      </c>
      <c r="S104" s="18" t="s">
        <v>18</v>
      </c>
      <c r="T104" s="43"/>
      <c r="AA104"/>
    </row>
    <row r="105" spans="1:27" ht="64.55" x14ac:dyDescent="0.2">
      <c r="A105" s="12" t="s">
        <v>608</v>
      </c>
      <c r="B105" s="12" t="s">
        <v>609</v>
      </c>
      <c r="C105" s="37" t="s">
        <v>610</v>
      </c>
      <c r="D105" s="12" t="s">
        <v>611</v>
      </c>
      <c r="E105" s="8" t="s">
        <v>501</v>
      </c>
      <c r="F105" s="8" t="s">
        <v>612</v>
      </c>
      <c r="G105" s="8" t="str">
        <f t="shared" si="2"/>
        <v>S1-00157</v>
      </c>
      <c r="H105" s="52" t="e">
        <f>VLOOKUP(G105,#REF!, 2)</f>
        <v>#REF!</v>
      </c>
      <c r="I105" s="52" t="e">
        <f>VLOOKUP(G105,#REF!, 4)</f>
        <v>#REF!</v>
      </c>
      <c r="J105" s="22" t="s">
        <v>613</v>
      </c>
      <c r="K105" s="22" t="s">
        <v>2345</v>
      </c>
      <c r="L105" s="18" t="s">
        <v>2615</v>
      </c>
      <c r="M105" s="18"/>
      <c r="N105" s="18" t="s">
        <v>2616</v>
      </c>
      <c r="O105" s="18" t="s">
        <v>2297</v>
      </c>
      <c r="P105" s="18" t="e">
        <f t="shared" si="3"/>
        <v>#REF!</v>
      </c>
      <c r="Q105" s="19" t="e">
        <f>IF(R105=0,VLOOKUP(G105,#REF!, 3),R105)</f>
        <v>#REF!</v>
      </c>
      <c r="R105" s="13" t="e">
        <f>VLOOKUP(G105,#REF!, 5)</f>
        <v>#REF!</v>
      </c>
      <c r="S105" s="18" t="s">
        <v>18</v>
      </c>
      <c r="T105" s="43"/>
      <c r="AA105"/>
    </row>
    <row r="106" spans="1:27" ht="134.5" customHeight="1" x14ac:dyDescent="0.2">
      <c r="A106" s="12" t="s">
        <v>614</v>
      </c>
      <c r="B106" s="12" t="s">
        <v>615</v>
      </c>
      <c r="C106" s="37" t="s">
        <v>616</v>
      </c>
      <c r="D106" s="12" t="s">
        <v>617</v>
      </c>
      <c r="E106" s="8" t="s">
        <v>618</v>
      </c>
      <c r="F106" s="8" t="s">
        <v>74</v>
      </c>
      <c r="G106" s="8" t="str">
        <f t="shared" si="2"/>
        <v>S1-00158</v>
      </c>
      <c r="H106" s="52" t="e">
        <f>VLOOKUP(G106,#REF!, 2)</f>
        <v>#REF!</v>
      </c>
      <c r="I106" s="52" t="e">
        <f>VLOOKUP(G106,#REF!, 4)</f>
        <v>#REF!</v>
      </c>
      <c r="J106" s="22" t="s">
        <v>619</v>
      </c>
      <c r="K106" s="22" t="s">
        <v>2617</v>
      </c>
      <c r="L106" s="18" t="s">
        <v>2618</v>
      </c>
      <c r="M106" s="18"/>
      <c r="N106" s="18"/>
      <c r="O106" s="18"/>
      <c r="P106" s="18" t="e">
        <f t="shared" si="3"/>
        <v>#REF!</v>
      </c>
      <c r="Q106" s="19" t="e">
        <f>IF(R106=0,VLOOKUP(G106,#REF!, 3),R106)</f>
        <v>#REF!</v>
      </c>
      <c r="R106" s="13" t="e">
        <f>VLOOKUP(G106,#REF!, 5)</f>
        <v>#REF!</v>
      </c>
      <c r="S106" s="18" t="s">
        <v>18</v>
      </c>
      <c r="T106" s="43"/>
      <c r="AA106"/>
    </row>
    <row r="107" spans="1:27" ht="51.65" x14ac:dyDescent="0.2">
      <c r="A107" s="12" t="s">
        <v>614</v>
      </c>
      <c r="B107" s="12" t="s">
        <v>620</v>
      </c>
      <c r="C107" s="37" t="s">
        <v>621</v>
      </c>
      <c r="D107" s="12" t="s">
        <v>622</v>
      </c>
      <c r="E107" s="8" t="s">
        <v>618</v>
      </c>
      <c r="F107" s="8" t="s">
        <v>74</v>
      </c>
      <c r="G107" s="8" t="str">
        <f t="shared" si="2"/>
        <v>S1-00159</v>
      </c>
      <c r="H107" s="52" t="e">
        <f>VLOOKUP(G107,#REF!, 2)</f>
        <v>#REF!</v>
      </c>
      <c r="I107" s="52" t="e">
        <f>VLOOKUP(G107,#REF!, 4)</f>
        <v>#REF!</v>
      </c>
      <c r="J107" s="22" t="s">
        <v>623</v>
      </c>
      <c r="K107" s="22" t="s">
        <v>2345</v>
      </c>
      <c r="L107" s="18" t="s">
        <v>2619</v>
      </c>
      <c r="M107" s="18"/>
      <c r="N107" s="18"/>
      <c r="O107" s="18"/>
      <c r="P107" s="18" t="e">
        <f t="shared" si="3"/>
        <v>#REF!</v>
      </c>
      <c r="Q107" s="19" t="e">
        <f>IF(R107=0,VLOOKUP(G107,#REF!, 3),R107)</f>
        <v>#REF!</v>
      </c>
      <c r="R107" s="13" t="e">
        <f>VLOOKUP(G107,#REF!, 5)</f>
        <v>#REF!</v>
      </c>
      <c r="S107" s="18" t="s">
        <v>18</v>
      </c>
      <c r="T107" s="43"/>
      <c r="AA107"/>
    </row>
    <row r="108" spans="1:27" ht="244.9" customHeight="1" x14ac:dyDescent="0.2">
      <c r="A108" s="12" t="s">
        <v>624</v>
      </c>
      <c r="B108" s="12" t="s">
        <v>625</v>
      </c>
      <c r="C108" s="51" t="s">
        <v>626</v>
      </c>
      <c r="D108" s="39" t="s">
        <v>627</v>
      </c>
      <c r="E108" s="10" t="s">
        <v>618</v>
      </c>
      <c r="F108" s="10" t="s">
        <v>32</v>
      </c>
      <c r="G108" s="8" t="str">
        <f t="shared" si="2"/>
        <v>S1-00160</v>
      </c>
      <c r="H108" s="52" t="e">
        <f>VLOOKUP(G108,#REF!, 2)</f>
        <v>#REF!</v>
      </c>
      <c r="I108" s="52" t="e">
        <f>VLOOKUP(G108,#REF!, 4)</f>
        <v>#REF!</v>
      </c>
      <c r="J108" s="22" t="s">
        <v>628</v>
      </c>
      <c r="K108" s="22" t="s">
        <v>2620</v>
      </c>
      <c r="L108" s="18" t="s">
        <v>2621</v>
      </c>
      <c r="M108" s="18"/>
      <c r="N108" s="18"/>
      <c r="O108" s="18"/>
      <c r="P108" s="18" t="e">
        <f t="shared" si="3"/>
        <v>#REF!</v>
      </c>
      <c r="Q108" s="19" t="e">
        <f>IF(R108=0,VLOOKUP(G108,#REF!, 3),R108)</f>
        <v>#REF!</v>
      </c>
      <c r="R108" s="13" t="e">
        <f>VLOOKUP(G108,#REF!, 5)</f>
        <v>#REF!</v>
      </c>
      <c r="S108" s="18" t="s">
        <v>18</v>
      </c>
      <c r="T108" s="43"/>
      <c r="AA108"/>
    </row>
    <row r="109" spans="1:27" ht="257.45" customHeight="1" x14ac:dyDescent="0.2">
      <c r="A109" s="12" t="s">
        <v>629</v>
      </c>
      <c r="B109" s="12" t="s">
        <v>630</v>
      </c>
      <c r="C109" s="37" t="s">
        <v>631</v>
      </c>
      <c r="D109" s="12" t="s">
        <v>632</v>
      </c>
      <c r="E109" s="8" t="s">
        <v>618</v>
      </c>
      <c r="F109" s="8" t="s">
        <v>633</v>
      </c>
      <c r="G109" s="8" t="str">
        <f t="shared" si="2"/>
        <v>S1-00163</v>
      </c>
      <c r="H109" s="52" t="e">
        <f>VLOOKUP(G109,#REF!, 2)</f>
        <v>#REF!</v>
      </c>
      <c r="I109" s="52" t="e">
        <f>VLOOKUP(G109,#REF!, 4)</f>
        <v>#REF!</v>
      </c>
      <c r="J109" s="22" t="s">
        <v>634</v>
      </c>
      <c r="K109" s="22" t="s">
        <v>2622</v>
      </c>
      <c r="L109" s="18" t="s">
        <v>2623</v>
      </c>
      <c r="M109" s="18"/>
      <c r="N109" s="18"/>
      <c r="O109" s="18"/>
      <c r="P109" s="18" t="e">
        <f t="shared" si="3"/>
        <v>#REF!</v>
      </c>
      <c r="Q109" s="19" t="e">
        <f>IF(R109=0,VLOOKUP(G109,#REF!, 3),R109)</f>
        <v>#REF!</v>
      </c>
      <c r="R109" s="13" t="e">
        <f>VLOOKUP(G109,#REF!, 5)</f>
        <v>#REF!</v>
      </c>
      <c r="S109" s="18" t="s">
        <v>18</v>
      </c>
      <c r="T109" s="43"/>
      <c r="AA109"/>
    </row>
    <row r="110" spans="1:27" ht="409.6" customHeight="1" x14ac:dyDescent="0.2">
      <c r="A110" s="12" t="s">
        <v>629</v>
      </c>
      <c r="B110" s="12" t="s">
        <v>635</v>
      </c>
      <c r="C110" s="37" t="s">
        <v>636</v>
      </c>
      <c r="D110" s="12" t="s">
        <v>2624</v>
      </c>
      <c r="E110" s="8" t="s">
        <v>618</v>
      </c>
      <c r="F110" s="8" t="s">
        <v>633</v>
      </c>
      <c r="G110" s="8" t="str">
        <f t="shared" si="2"/>
        <v>S1-00164</v>
      </c>
      <c r="H110" s="52" t="e">
        <f>VLOOKUP(G110,#REF!, 2)</f>
        <v>#REF!</v>
      </c>
      <c r="I110" s="52" t="e">
        <f>VLOOKUP(G110,#REF!, 4)</f>
        <v>#REF!</v>
      </c>
      <c r="J110" s="22" t="s">
        <v>271</v>
      </c>
      <c r="K110" s="22" t="s">
        <v>2625</v>
      </c>
      <c r="L110" s="18" t="s">
        <v>2626</v>
      </c>
      <c r="M110" s="18"/>
      <c r="N110" s="18"/>
      <c r="O110" s="35"/>
      <c r="P110" s="18" t="e">
        <f t="shared" si="3"/>
        <v>#REF!</v>
      </c>
      <c r="Q110" s="19" t="e">
        <f>IF(R110=0,VLOOKUP(G110,#REF!, 3),R110)</f>
        <v>#REF!</v>
      </c>
      <c r="R110" s="13" t="e">
        <f>VLOOKUP(G110,#REF!, 5)</f>
        <v>#REF!</v>
      </c>
      <c r="S110" s="18" t="s">
        <v>18</v>
      </c>
      <c r="T110" s="43"/>
      <c r="AA110"/>
    </row>
    <row r="111" spans="1:27" ht="64.55" x14ac:dyDescent="0.2">
      <c r="A111" s="12" t="s">
        <v>638</v>
      </c>
      <c r="B111" s="12" t="s">
        <v>639</v>
      </c>
      <c r="C111" s="37" t="s">
        <v>640</v>
      </c>
      <c r="D111" s="12" t="s">
        <v>2627</v>
      </c>
      <c r="E111" s="8" t="s">
        <v>618</v>
      </c>
      <c r="F111" s="8" t="s">
        <v>642</v>
      </c>
      <c r="G111" s="8" t="str">
        <f t="shared" si="2"/>
        <v>S1-00166</v>
      </c>
      <c r="H111" s="52" t="e">
        <f>VLOOKUP(G111,#REF!, 2)</f>
        <v>#REF!</v>
      </c>
      <c r="I111" s="52" t="e">
        <f>VLOOKUP(G111,#REF!, 4)</f>
        <v>#REF!</v>
      </c>
      <c r="J111" s="22" t="s">
        <v>643</v>
      </c>
      <c r="K111" s="22" t="s">
        <v>2345</v>
      </c>
      <c r="L111" s="18" t="s">
        <v>2628</v>
      </c>
      <c r="M111" s="18"/>
      <c r="N111" s="18"/>
      <c r="O111" s="18"/>
      <c r="P111" s="18" t="e">
        <f t="shared" si="3"/>
        <v>#REF!</v>
      </c>
      <c r="Q111" s="19" t="e">
        <f>IF(R111=0,VLOOKUP(G111,#REF!, 3),R111)</f>
        <v>#REF!</v>
      </c>
      <c r="R111" s="13" t="e">
        <f>VLOOKUP(G111,#REF!, 5)</f>
        <v>#REF!</v>
      </c>
      <c r="S111" s="18" t="s">
        <v>18</v>
      </c>
      <c r="T111" s="43"/>
      <c r="AA111"/>
    </row>
    <row r="112" spans="1:27" ht="112.1" customHeight="1" x14ac:dyDescent="0.2">
      <c r="A112" s="12" t="s">
        <v>644</v>
      </c>
      <c r="B112" s="12" t="s">
        <v>645</v>
      </c>
      <c r="C112" s="37" t="s">
        <v>646</v>
      </c>
      <c r="D112" s="12" t="s">
        <v>647</v>
      </c>
      <c r="E112" s="8" t="s">
        <v>618</v>
      </c>
      <c r="F112" s="8" t="s">
        <v>648</v>
      </c>
      <c r="G112" s="8" t="str">
        <f t="shared" si="2"/>
        <v>S1-00167</v>
      </c>
      <c r="H112" s="52" t="e">
        <f>VLOOKUP(G112,#REF!, 2)</f>
        <v>#REF!</v>
      </c>
      <c r="I112" s="52" t="e">
        <f>VLOOKUP(G112,#REF!, 4)</f>
        <v>#REF!</v>
      </c>
      <c r="J112" s="22" t="s">
        <v>649</v>
      </c>
      <c r="K112" s="22" t="s">
        <v>2345</v>
      </c>
      <c r="L112" s="18" t="s">
        <v>2629</v>
      </c>
      <c r="M112" s="18"/>
      <c r="N112" s="18" t="s">
        <v>2630</v>
      </c>
      <c r="O112" s="18" t="s">
        <v>2297</v>
      </c>
      <c r="P112" s="18" t="e">
        <f t="shared" si="3"/>
        <v>#REF!</v>
      </c>
      <c r="Q112" s="19" t="e">
        <f>IF(R112=0,VLOOKUP(G112,#REF!, 3),R112)</f>
        <v>#REF!</v>
      </c>
      <c r="R112" s="13" t="e">
        <f>VLOOKUP(G112,#REF!, 5)</f>
        <v>#REF!</v>
      </c>
      <c r="S112" s="18" t="s">
        <v>18</v>
      </c>
      <c r="T112" s="43"/>
      <c r="AA112"/>
    </row>
    <row r="113" spans="1:27" ht="166.95" customHeight="1" x14ac:dyDescent="0.2">
      <c r="A113" s="12" t="s">
        <v>650</v>
      </c>
      <c r="B113" s="12" t="s">
        <v>651</v>
      </c>
      <c r="C113" s="51" t="s">
        <v>652</v>
      </c>
      <c r="D113" s="39" t="s">
        <v>653</v>
      </c>
      <c r="E113" s="10" t="s">
        <v>618</v>
      </c>
      <c r="F113" s="10" t="s">
        <v>654</v>
      </c>
      <c r="G113" s="8" t="str">
        <f t="shared" si="2"/>
        <v>S1-00169</v>
      </c>
      <c r="H113" s="52" t="e">
        <f>VLOOKUP(G113,#REF!, 2)</f>
        <v>#REF!</v>
      </c>
      <c r="I113" s="52" t="e">
        <f>VLOOKUP(G113,#REF!, 4)</f>
        <v>#REF!</v>
      </c>
      <c r="J113" s="22" t="s">
        <v>655</v>
      </c>
      <c r="K113" s="22" t="s">
        <v>2345</v>
      </c>
      <c r="L113" s="18" t="s">
        <v>2631</v>
      </c>
      <c r="M113" s="18"/>
      <c r="N113" s="18"/>
      <c r="O113" s="18"/>
      <c r="P113" s="18" t="e">
        <f t="shared" si="3"/>
        <v>#REF!</v>
      </c>
      <c r="Q113" s="19" t="e">
        <f>IF(R113=0,VLOOKUP(G113,#REF!, 3),R113)</f>
        <v>#REF!</v>
      </c>
      <c r="R113" s="13" t="e">
        <f>VLOOKUP(G113,#REF!, 5)</f>
        <v>#REF!</v>
      </c>
      <c r="S113" s="18" t="s">
        <v>18</v>
      </c>
      <c r="T113" s="43"/>
      <c r="AA113"/>
    </row>
    <row r="114" spans="1:27" ht="64.55" x14ac:dyDescent="0.2">
      <c r="A114" s="12" t="s">
        <v>656</v>
      </c>
      <c r="B114" s="12" t="s">
        <v>657</v>
      </c>
      <c r="C114" s="37" t="s">
        <v>658</v>
      </c>
      <c r="D114" s="12" t="s">
        <v>659</v>
      </c>
      <c r="E114" s="8" t="s">
        <v>618</v>
      </c>
      <c r="F114" s="8" t="s">
        <v>660</v>
      </c>
      <c r="G114" s="8" t="str">
        <f t="shared" si="2"/>
        <v>S1-00171</v>
      </c>
      <c r="H114" s="52" t="e">
        <f>VLOOKUP(G114,#REF!, 2)</f>
        <v>#REF!</v>
      </c>
      <c r="I114" s="52" t="e">
        <f>VLOOKUP(G114,#REF!, 4)</f>
        <v>#REF!</v>
      </c>
      <c r="J114" s="22" t="s">
        <v>661</v>
      </c>
      <c r="K114" s="22" t="s">
        <v>2632</v>
      </c>
      <c r="L114" s="18" t="s">
        <v>2633</v>
      </c>
      <c r="M114" s="18"/>
      <c r="N114" s="19" t="s">
        <v>2634</v>
      </c>
      <c r="O114" s="19" t="s">
        <v>2297</v>
      </c>
      <c r="P114" s="18" t="e">
        <f t="shared" si="3"/>
        <v>#REF!</v>
      </c>
      <c r="Q114" s="19" t="e">
        <f>IF(R114=0,VLOOKUP(G114,#REF!, 3),R114)</f>
        <v>#REF!</v>
      </c>
      <c r="R114" s="13" t="e">
        <f>VLOOKUP(G114,#REF!, 5)</f>
        <v>#REF!</v>
      </c>
      <c r="S114" s="18" t="s">
        <v>18</v>
      </c>
      <c r="T114" s="43"/>
      <c r="AA114"/>
    </row>
    <row r="115" spans="1:27" ht="202.95" customHeight="1" x14ac:dyDescent="0.2">
      <c r="A115" s="12" t="s">
        <v>662</v>
      </c>
      <c r="B115" s="12" t="s">
        <v>663</v>
      </c>
      <c r="C115" s="37" t="s">
        <v>664</v>
      </c>
      <c r="D115" s="12" t="s">
        <v>665</v>
      </c>
      <c r="E115" s="8" t="s">
        <v>618</v>
      </c>
      <c r="F115" s="8" t="s">
        <v>666</v>
      </c>
      <c r="G115" s="8" t="str">
        <f t="shared" si="2"/>
        <v>S1-00172</v>
      </c>
      <c r="H115" s="52" t="e">
        <f>VLOOKUP(G115,#REF!, 2)</f>
        <v>#REF!</v>
      </c>
      <c r="I115" s="52" t="e">
        <f>VLOOKUP(G115,#REF!, 4)</f>
        <v>#REF!</v>
      </c>
      <c r="J115" s="22" t="s">
        <v>667</v>
      </c>
      <c r="K115" s="22" t="s">
        <v>2635</v>
      </c>
      <c r="L115" s="18" t="s">
        <v>2636</v>
      </c>
      <c r="M115" s="18"/>
      <c r="N115" s="18" t="s">
        <v>2637</v>
      </c>
      <c r="O115" s="18" t="s">
        <v>2297</v>
      </c>
      <c r="P115" s="18" t="e">
        <f t="shared" si="3"/>
        <v>#REF!</v>
      </c>
      <c r="Q115" s="19" t="e">
        <f>IF(R115=0,VLOOKUP(G115,#REF!, 3),R115)</f>
        <v>#REF!</v>
      </c>
      <c r="R115" s="13" t="e">
        <f>VLOOKUP(G115,#REF!, 5)</f>
        <v>#REF!</v>
      </c>
      <c r="S115" s="18" t="s">
        <v>18</v>
      </c>
      <c r="T115" s="43"/>
      <c r="AA115"/>
    </row>
    <row r="116" spans="1:27" ht="208.9" customHeight="1" x14ac:dyDescent="0.2">
      <c r="A116" s="12" t="s">
        <v>662</v>
      </c>
      <c r="B116" s="12" t="s">
        <v>668</v>
      </c>
      <c r="C116" s="37" t="s">
        <v>669</v>
      </c>
      <c r="D116" s="12" t="s">
        <v>670</v>
      </c>
      <c r="E116" s="8" t="s">
        <v>618</v>
      </c>
      <c r="F116" s="8" t="s">
        <v>666</v>
      </c>
      <c r="G116" s="8" t="str">
        <f t="shared" si="2"/>
        <v>S1-00173</v>
      </c>
      <c r="H116" s="52" t="e">
        <f>VLOOKUP(G116,#REF!, 2)</f>
        <v>#REF!</v>
      </c>
      <c r="I116" s="52" t="e">
        <f>VLOOKUP(G116,#REF!, 4)</f>
        <v>#REF!</v>
      </c>
      <c r="J116" s="22" t="s">
        <v>271</v>
      </c>
      <c r="K116" s="22" t="s">
        <v>2345</v>
      </c>
      <c r="L116" s="18" t="s">
        <v>2638</v>
      </c>
      <c r="M116" s="18"/>
      <c r="N116" s="18"/>
      <c r="O116" s="18"/>
      <c r="P116" s="18" t="e">
        <f t="shared" si="3"/>
        <v>#REF!</v>
      </c>
      <c r="Q116" s="19" t="e">
        <f>IF(R116=0,VLOOKUP(G116,#REF!, 3),R116)</f>
        <v>#REF!</v>
      </c>
      <c r="R116" s="13" t="e">
        <f>VLOOKUP(G116,#REF!, 5)</f>
        <v>#REF!</v>
      </c>
      <c r="S116" s="18" t="s">
        <v>18</v>
      </c>
      <c r="T116" s="43"/>
      <c r="AA116"/>
    </row>
    <row r="117" spans="1:27" ht="294.64999999999998" customHeight="1" x14ac:dyDescent="0.2">
      <c r="A117" s="12" t="s">
        <v>671</v>
      </c>
      <c r="B117" s="12" t="s">
        <v>672</v>
      </c>
      <c r="C117" s="37" t="s">
        <v>673</v>
      </c>
      <c r="D117" s="12" t="s">
        <v>2639</v>
      </c>
      <c r="E117" s="8" t="s">
        <v>618</v>
      </c>
      <c r="F117" s="8" t="s">
        <v>675</v>
      </c>
      <c r="G117" s="8" t="str">
        <f t="shared" si="2"/>
        <v>S1-00560</v>
      </c>
      <c r="H117" s="52" t="e">
        <f>VLOOKUP(G117,#REF!, 2)</f>
        <v>#REF!</v>
      </c>
      <c r="I117" s="52" t="e">
        <f>VLOOKUP(G117,#REF!, 4)</f>
        <v>#REF!</v>
      </c>
      <c r="J117" s="22" t="s">
        <v>2640</v>
      </c>
      <c r="K117" s="22" t="s">
        <v>2641</v>
      </c>
      <c r="L117" s="18" t="s">
        <v>2642</v>
      </c>
      <c r="M117" s="18" t="s">
        <v>2643</v>
      </c>
      <c r="N117" s="18"/>
      <c r="O117" s="18"/>
      <c r="P117" s="18" t="e">
        <f t="shared" si="3"/>
        <v>#REF!</v>
      </c>
      <c r="Q117" s="19" t="e">
        <f>IF(R117=0,VLOOKUP(G117,#REF!, 3),R117)</f>
        <v>#REF!</v>
      </c>
      <c r="R117" s="13" t="e">
        <f>VLOOKUP(G117,#REF!, 5)</f>
        <v>#REF!</v>
      </c>
      <c r="S117" s="18" t="s">
        <v>18</v>
      </c>
      <c r="T117" s="43" t="s">
        <v>2641</v>
      </c>
      <c r="U117" s="4" t="s">
        <v>2309</v>
      </c>
      <c r="AA117"/>
    </row>
    <row r="118" spans="1:27" ht="409.6" customHeight="1" x14ac:dyDescent="0.2">
      <c r="A118" s="12" t="s">
        <v>678</v>
      </c>
      <c r="B118" s="12" t="s">
        <v>679</v>
      </c>
      <c r="C118" s="37" t="s">
        <v>680</v>
      </c>
      <c r="D118" s="12" t="s">
        <v>681</v>
      </c>
      <c r="E118" s="8" t="s">
        <v>682</v>
      </c>
      <c r="F118" s="8" t="s">
        <v>66</v>
      </c>
      <c r="G118" s="8" t="str">
        <f t="shared" si="2"/>
        <v>S1-00176</v>
      </c>
      <c r="H118" s="52" t="e">
        <f>VLOOKUP(G118,#REF!, 2)</f>
        <v>#REF!</v>
      </c>
      <c r="I118" s="52" t="e">
        <f>VLOOKUP(G118,#REF!, 4)</f>
        <v>#REF!</v>
      </c>
      <c r="J118" s="22" t="s">
        <v>683</v>
      </c>
      <c r="K118" s="22" t="s">
        <v>2644</v>
      </c>
      <c r="L118" s="18" t="s">
        <v>2645</v>
      </c>
      <c r="M118" s="19"/>
      <c r="N118" s="18"/>
      <c r="O118" s="18"/>
      <c r="P118" s="18" t="e">
        <f t="shared" si="3"/>
        <v>#REF!</v>
      </c>
      <c r="Q118" s="19" t="e">
        <f>IF(R118=0,VLOOKUP(G118,#REF!, 3),R118)</f>
        <v>#REF!</v>
      </c>
      <c r="R118" s="13" t="e">
        <f>VLOOKUP(G118,#REF!, 5)</f>
        <v>#REF!</v>
      </c>
      <c r="S118" s="18" t="s">
        <v>18</v>
      </c>
      <c r="T118" s="43"/>
      <c r="AA118"/>
    </row>
    <row r="119" spans="1:27" ht="188.5" customHeight="1" x14ac:dyDescent="0.2">
      <c r="A119" s="12" t="s">
        <v>684</v>
      </c>
      <c r="B119" s="12" t="s">
        <v>685</v>
      </c>
      <c r="C119" s="51" t="s">
        <v>686</v>
      </c>
      <c r="D119" s="39" t="s">
        <v>2646</v>
      </c>
      <c r="E119" s="10" t="s">
        <v>688</v>
      </c>
      <c r="F119" s="10" t="s">
        <v>116</v>
      </c>
      <c r="G119" s="8" t="str">
        <f t="shared" si="2"/>
        <v>S1-00177</v>
      </c>
      <c r="H119" s="52" t="e">
        <f>VLOOKUP(G119,#REF!, 2)</f>
        <v>#REF!</v>
      </c>
      <c r="I119" s="52" t="e">
        <f>VLOOKUP(G119,#REF!, 4)</f>
        <v>#REF!</v>
      </c>
      <c r="J119" s="22" t="s">
        <v>689</v>
      </c>
      <c r="K119" s="22" t="s">
        <v>2647</v>
      </c>
      <c r="L119" s="18" t="s">
        <v>2648</v>
      </c>
      <c r="M119" s="18"/>
      <c r="N119" s="19" t="s">
        <v>2649</v>
      </c>
      <c r="O119" s="19" t="s">
        <v>2297</v>
      </c>
      <c r="P119" s="18" t="e">
        <f t="shared" si="3"/>
        <v>#REF!</v>
      </c>
      <c r="Q119" s="19" t="e">
        <f>IF(R119=0,VLOOKUP(G119,#REF!, 3),R119)</f>
        <v>#REF!</v>
      </c>
      <c r="R119" s="13" t="e">
        <f>VLOOKUP(G119,#REF!, 5)</f>
        <v>#REF!</v>
      </c>
      <c r="S119" s="18" t="s">
        <v>18</v>
      </c>
      <c r="T119" s="43"/>
      <c r="AA119"/>
    </row>
    <row r="120" spans="1:27" ht="229.95" customHeight="1" x14ac:dyDescent="0.2">
      <c r="A120" s="12" t="s">
        <v>690</v>
      </c>
      <c r="B120" s="12" t="s">
        <v>691</v>
      </c>
      <c r="C120" s="37" t="s">
        <v>692</v>
      </c>
      <c r="D120" s="12" t="s">
        <v>693</v>
      </c>
      <c r="E120" s="8" t="s">
        <v>688</v>
      </c>
      <c r="F120" s="8" t="s">
        <v>694</v>
      </c>
      <c r="G120" s="8" t="str">
        <f t="shared" si="2"/>
        <v>S1-00178</v>
      </c>
      <c r="H120" s="52" t="e">
        <f>VLOOKUP(G120,#REF!, 2)</f>
        <v>#REF!</v>
      </c>
      <c r="I120" s="52" t="e">
        <f>VLOOKUP(G120,#REF!, 4)</f>
        <v>#REF!</v>
      </c>
      <c r="J120" s="22" t="s">
        <v>271</v>
      </c>
      <c r="K120" s="22" t="s">
        <v>2650</v>
      </c>
      <c r="L120" s="18" t="s">
        <v>2651</v>
      </c>
      <c r="M120" s="18"/>
      <c r="N120" s="18"/>
      <c r="O120" s="35"/>
      <c r="P120" s="18" t="e">
        <f t="shared" si="3"/>
        <v>#REF!</v>
      </c>
      <c r="Q120" s="19" t="e">
        <f>IF(R120=0,VLOOKUP(G120,#REF!, 3),R120)</f>
        <v>#REF!</v>
      </c>
      <c r="R120" s="13" t="e">
        <f>VLOOKUP(G120,#REF!, 5)</f>
        <v>#REF!</v>
      </c>
      <c r="S120" s="18" t="s">
        <v>18</v>
      </c>
      <c r="T120" s="43"/>
      <c r="AA120"/>
    </row>
    <row r="121" spans="1:27" ht="107.5" customHeight="1" x14ac:dyDescent="0.2">
      <c r="A121" s="12" t="s">
        <v>695</v>
      </c>
      <c r="B121" s="12" t="s">
        <v>696</v>
      </c>
      <c r="C121" s="51" t="s">
        <v>697</v>
      </c>
      <c r="D121" s="39" t="s">
        <v>2652</v>
      </c>
      <c r="E121" s="10" t="s">
        <v>699</v>
      </c>
      <c r="F121" s="10" t="s">
        <v>90</v>
      </c>
      <c r="G121" s="8" t="str">
        <f t="shared" si="2"/>
        <v>S1-00180</v>
      </c>
      <c r="H121" s="52" t="e">
        <f>VLOOKUP(G121,#REF!, 2)</f>
        <v>#REF!</v>
      </c>
      <c r="I121" s="52" t="e">
        <f>VLOOKUP(G121,#REF!, 4)</f>
        <v>#REF!</v>
      </c>
      <c r="J121" s="22" t="s">
        <v>2653</v>
      </c>
      <c r="K121" s="22" t="s">
        <v>2654</v>
      </c>
      <c r="L121" s="18" t="s">
        <v>2655</v>
      </c>
      <c r="M121" s="18"/>
      <c r="N121" s="19" t="s">
        <v>2656</v>
      </c>
      <c r="O121" s="19" t="s">
        <v>2297</v>
      </c>
      <c r="P121" s="18" t="e">
        <f t="shared" si="3"/>
        <v>#REF!</v>
      </c>
      <c r="Q121" s="19" t="e">
        <f>IF(R121=0,VLOOKUP(G121,#REF!, 3),R121)</f>
        <v>#REF!</v>
      </c>
      <c r="R121" s="13" t="e">
        <f>VLOOKUP(G121,#REF!, 5)</f>
        <v>#REF!</v>
      </c>
      <c r="S121" s="18" t="s">
        <v>18</v>
      </c>
      <c r="T121" s="43"/>
      <c r="AA121"/>
    </row>
    <row r="122" spans="1:27" ht="235.9" customHeight="1" x14ac:dyDescent="0.2">
      <c r="A122" s="12" t="s">
        <v>695</v>
      </c>
      <c r="B122" s="12" t="s">
        <v>702</v>
      </c>
      <c r="C122" s="37" t="s">
        <v>703</v>
      </c>
      <c r="D122" s="12" t="s">
        <v>704</v>
      </c>
      <c r="E122" s="8" t="s">
        <v>699</v>
      </c>
      <c r="F122" s="8" t="s">
        <v>90</v>
      </c>
      <c r="G122" s="8" t="str">
        <f t="shared" si="2"/>
        <v>S1-00181</v>
      </c>
      <c r="H122" s="52" t="e">
        <f>VLOOKUP(G122,#REF!, 2)</f>
        <v>#REF!</v>
      </c>
      <c r="I122" s="52" t="e">
        <f>VLOOKUP(G122,#REF!, 4)</f>
        <v>#REF!</v>
      </c>
      <c r="J122" s="22" t="s">
        <v>705</v>
      </c>
      <c r="K122" s="22" t="s">
        <v>2657</v>
      </c>
      <c r="L122" s="18" t="s">
        <v>2658</v>
      </c>
      <c r="M122" s="19" t="s">
        <v>2659</v>
      </c>
      <c r="N122" s="19" t="s">
        <v>2660</v>
      </c>
      <c r="O122" s="19" t="s">
        <v>2297</v>
      </c>
      <c r="P122" s="18" t="e">
        <f t="shared" si="3"/>
        <v>#REF!</v>
      </c>
      <c r="Q122" s="19" t="e">
        <f>IF(R122=0,VLOOKUP(G122,#REF!, 3),R122)</f>
        <v>#REF!</v>
      </c>
      <c r="R122" s="13" t="e">
        <f>VLOOKUP(G122,#REF!, 5)</f>
        <v>#REF!</v>
      </c>
      <c r="S122" s="18" t="s">
        <v>18</v>
      </c>
      <c r="T122" s="43" t="s">
        <v>2661</v>
      </c>
      <c r="U122" s="4" t="s">
        <v>2299</v>
      </c>
      <c r="AA122"/>
    </row>
    <row r="123" spans="1:27" ht="152.5" customHeight="1" x14ac:dyDescent="0.2">
      <c r="A123" s="12" t="s">
        <v>706</v>
      </c>
      <c r="B123" s="12" t="s">
        <v>707</v>
      </c>
      <c r="C123" s="51" t="s">
        <v>708</v>
      </c>
      <c r="D123" s="39" t="s">
        <v>709</v>
      </c>
      <c r="E123" s="10" t="s">
        <v>710</v>
      </c>
      <c r="F123" s="10" t="s">
        <v>90</v>
      </c>
      <c r="G123" s="8" t="str">
        <f t="shared" si="2"/>
        <v>S1-00185</v>
      </c>
      <c r="H123" s="52" t="e">
        <f>VLOOKUP(G123,#REF!, 2)</f>
        <v>#REF!</v>
      </c>
      <c r="I123" s="52" t="e">
        <f>VLOOKUP(G123,#REF!, 4)</f>
        <v>#REF!</v>
      </c>
      <c r="J123" s="22" t="s">
        <v>711</v>
      </c>
      <c r="K123" s="22" t="s">
        <v>2662</v>
      </c>
      <c r="L123" s="18" t="s">
        <v>2663</v>
      </c>
      <c r="M123" s="18"/>
      <c r="N123" s="18" t="s">
        <v>2664</v>
      </c>
      <c r="O123" s="18" t="s">
        <v>2297</v>
      </c>
      <c r="P123" s="18" t="e">
        <f t="shared" si="3"/>
        <v>#REF!</v>
      </c>
      <c r="Q123" s="19" t="e">
        <f>IF(R123=0,VLOOKUP(G123,#REF!, 3),R123)</f>
        <v>#REF!</v>
      </c>
      <c r="R123" s="13" t="e">
        <f>VLOOKUP(G123,#REF!, 5)</f>
        <v>#REF!</v>
      </c>
      <c r="S123" s="18" t="s">
        <v>18</v>
      </c>
      <c r="T123" s="43"/>
      <c r="AA123"/>
    </row>
    <row r="124" spans="1:27" ht="129.1" x14ac:dyDescent="0.2">
      <c r="A124" s="12" t="s">
        <v>712</v>
      </c>
      <c r="B124" s="12" t="s">
        <v>713</v>
      </c>
      <c r="C124" s="51" t="s">
        <v>714</v>
      </c>
      <c r="D124" s="39" t="s">
        <v>715</v>
      </c>
      <c r="E124" s="10" t="s">
        <v>710</v>
      </c>
      <c r="F124" s="10" t="s">
        <v>574</v>
      </c>
      <c r="G124" s="8" t="str">
        <f t="shared" si="2"/>
        <v>S1-00186</v>
      </c>
      <c r="H124" s="52" t="e">
        <f>VLOOKUP(G124,#REF!, 2)</f>
        <v>#REF!</v>
      </c>
      <c r="I124" s="52" t="e">
        <f>VLOOKUP(G124,#REF!, 4)</f>
        <v>#REF!</v>
      </c>
      <c r="J124" s="22" t="s">
        <v>2665</v>
      </c>
      <c r="K124" s="22" t="s">
        <v>2531</v>
      </c>
      <c r="L124" s="18" t="s">
        <v>2666</v>
      </c>
      <c r="M124" s="18"/>
      <c r="N124" s="18" t="s">
        <v>2667</v>
      </c>
      <c r="O124" s="18" t="s">
        <v>2297</v>
      </c>
      <c r="P124" s="18" t="e">
        <f t="shared" si="3"/>
        <v>#REF!</v>
      </c>
      <c r="Q124" s="19" t="e">
        <f>IF(R124=0,VLOOKUP(G124,#REF!, 3),R124)</f>
        <v>#REF!</v>
      </c>
      <c r="R124" s="13" t="e">
        <f>VLOOKUP(G124,#REF!, 5)</f>
        <v>#REF!</v>
      </c>
      <c r="S124" s="18" t="s">
        <v>18</v>
      </c>
      <c r="T124" s="43" t="s">
        <v>2668</v>
      </c>
      <c r="AA124"/>
    </row>
    <row r="125" spans="1:27" ht="265.10000000000002" customHeight="1" x14ac:dyDescent="0.2">
      <c r="A125" s="12" t="s">
        <v>712</v>
      </c>
      <c r="B125" s="12" t="s">
        <v>718</v>
      </c>
      <c r="C125" s="37" t="s">
        <v>719</v>
      </c>
      <c r="D125" s="12" t="s">
        <v>720</v>
      </c>
      <c r="E125" s="8" t="s">
        <v>710</v>
      </c>
      <c r="F125" s="8" t="s">
        <v>574</v>
      </c>
      <c r="G125" s="8" t="str">
        <f t="shared" si="2"/>
        <v>S1-00187</v>
      </c>
      <c r="H125" s="52" t="e">
        <f>VLOOKUP(G125,#REF!, 2)</f>
        <v>#REF!</v>
      </c>
      <c r="I125" s="52" t="e">
        <f>VLOOKUP(G125,#REF!, 4)</f>
        <v>#REF!</v>
      </c>
      <c r="J125" s="22" t="s">
        <v>721</v>
      </c>
      <c r="K125" s="22" t="s">
        <v>2669</v>
      </c>
      <c r="L125" s="18" t="s">
        <v>2670</v>
      </c>
      <c r="M125" s="18" t="s">
        <v>2671</v>
      </c>
      <c r="N125" s="18" t="s">
        <v>2672</v>
      </c>
      <c r="O125" s="18" t="s">
        <v>2297</v>
      </c>
      <c r="P125" s="18" t="e">
        <f t="shared" si="3"/>
        <v>#REF!</v>
      </c>
      <c r="Q125" s="19" t="e">
        <f>IF(R125=0,VLOOKUP(G125,#REF!, 3),R125)</f>
        <v>#REF!</v>
      </c>
      <c r="R125" s="13" t="e">
        <f>VLOOKUP(G125,#REF!, 5)</f>
        <v>#REF!</v>
      </c>
      <c r="S125" s="18" t="s">
        <v>18</v>
      </c>
      <c r="T125" s="43" t="s">
        <v>2673</v>
      </c>
      <c r="U125" s="4" t="s">
        <v>2299</v>
      </c>
      <c r="AA125"/>
    </row>
    <row r="126" spans="1:27" ht="259.14999999999998" customHeight="1" x14ac:dyDescent="0.2">
      <c r="A126" s="12" t="s">
        <v>722</v>
      </c>
      <c r="B126" s="12" t="s">
        <v>723</v>
      </c>
      <c r="C126" s="37" t="s">
        <v>724</v>
      </c>
      <c r="D126" s="12" t="s">
        <v>725</v>
      </c>
      <c r="E126" s="8" t="s">
        <v>726</v>
      </c>
      <c r="F126" s="8" t="s">
        <v>727</v>
      </c>
      <c r="G126" s="8" t="str">
        <f t="shared" si="2"/>
        <v>S1-00192</v>
      </c>
      <c r="H126" s="52" t="e">
        <f>VLOOKUP(G126,#REF!, 2)</f>
        <v>#REF!</v>
      </c>
      <c r="I126" s="52" t="e">
        <f>VLOOKUP(G126,#REF!, 4)</f>
        <v>#REF!</v>
      </c>
      <c r="J126" s="22" t="s">
        <v>728</v>
      </c>
      <c r="K126" s="22" t="s">
        <v>2674</v>
      </c>
      <c r="L126" s="18" t="s">
        <v>2675</v>
      </c>
      <c r="M126" s="18"/>
      <c r="N126" s="18"/>
      <c r="O126" s="18"/>
      <c r="P126" s="18" t="e">
        <f t="shared" si="3"/>
        <v>#REF!</v>
      </c>
      <c r="Q126" s="19" t="e">
        <f>IF(R126=0,VLOOKUP(G126,#REF!, 3),R126)</f>
        <v>#REF!</v>
      </c>
      <c r="R126" s="13" t="e">
        <f>VLOOKUP(G126,#REF!, 5)</f>
        <v>#REF!</v>
      </c>
      <c r="S126" s="18" t="s">
        <v>18</v>
      </c>
      <c r="T126" s="43"/>
      <c r="AA126"/>
    </row>
    <row r="127" spans="1:27" ht="51.65" x14ac:dyDescent="0.2">
      <c r="A127" s="12" t="s">
        <v>722</v>
      </c>
      <c r="B127" s="12" t="s">
        <v>729</v>
      </c>
      <c r="C127" s="37" t="s">
        <v>730</v>
      </c>
      <c r="D127" s="12" t="s">
        <v>731</v>
      </c>
      <c r="E127" s="8" t="s">
        <v>726</v>
      </c>
      <c r="F127" s="8" t="s">
        <v>727</v>
      </c>
      <c r="G127" s="8" t="str">
        <f t="shared" si="2"/>
        <v>S1-00193</v>
      </c>
      <c r="H127" s="52" t="e">
        <f>VLOOKUP(G127,#REF!, 2)</f>
        <v>#REF!</v>
      </c>
      <c r="I127" s="52" t="e">
        <f>VLOOKUP(G127,#REF!, 4)</f>
        <v>#REF!</v>
      </c>
      <c r="J127" s="22" t="s">
        <v>271</v>
      </c>
      <c r="K127" s="22" t="s">
        <v>2674</v>
      </c>
      <c r="L127" s="18" t="s">
        <v>2676</v>
      </c>
      <c r="M127" s="18"/>
      <c r="N127" s="18"/>
      <c r="O127" s="18"/>
      <c r="P127" s="18" t="e">
        <f t="shared" si="3"/>
        <v>#REF!</v>
      </c>
      <c r="Q127" s="19" t="e">
        <f>IF(R127=0,VLOOKUP(G127,#REF!, 3),R127)</f>
        <v>#REF!</v>
      </c>
      <c r="R127" s="13" t="e">
        <f>VLOOKUP(G127,#REF!, 5)</f>
        <v>#REF!</v>
      </c>
      <c r="S127" s="18" t="s">
        <v>18</v>
      </c>
      <c r="T127" s="43"/>
      <c r="AA127"/>
    </row>
    <row r="128" spans="1:27" ht="116.15" x14ac:dyDescent="0.2">
      <c r="A128" s="12" t="s">
        <v>722</v>
      </c>
      <c r="B128" s="12" t="s">
        <v>732</v>
      </c>
      <c r="C128" s="37" t="s">
        <v>733</v>
      </c>
      <c r="D128" s="12" t="s">
        <v>734</v>
      </c>
      <c r="E128" s="8" t="s">
        <v>726</v>
      </c>
      <c r="F128" s="8" t="s">
        <v>727</v>
      </c>
      <c r="G128" s="8" t="str">
        <f t="shared" si="2"/>
        <v>S1-00194</v>
      </c>
      <c r="H128" s="52" t="e">
        <f>VLOOKUP(G128,#REF!, 2)</f>
        <v>#REF!</v>
      </c>
      <c r="I128" s="52" t="e">
        <f>VLOOKUP(G128,#REF!, 4)</f>
        <v>#REF!</v>
      </c>
      <c r="J128" s="22" t="s">
        <v>271</v>
      </c>
      <c r="K128" s="22" t="s">
        <v>2674</v>
      </c>
      <c r="L128" s="18" t="s">
        <v>2676</v>
      </c>
      <c r="M128" s="18"/>
      <c r="N128" s="18" t="s">
        <v>2677</v>
      </c>
      <c r="O128" s="18" t="s">
        <v>2297</v>
      </c>
      <c r="P128" s="18" t="e">
        <f t="shared" si="3"/>
        <v>#REF!</v>
      </c>
      <c r="Q128" s="19" t="e">
        <f>IF(R128=0,VLOOKUP(G128,#REF!, 3),R128)</f>
        <v>#REF!</v>
      </c>
      <c r="R128" s="13" t="e">
        <f>VLOOKUP(G128,#REF!, 5)</f>
        <v>#REF!</v>
      </c>
      <c r="S128" s="18" t="s">
        <v>18</v>
      </c>
      <c r="T128" s="43"/>
      <c r="AA128"/>
    </row>
    <row r="129" spans="1:27" ht="348.45" x14ac:dyDescent="0.2">
      <c r="A129" s="12" t="s">
        <v>735</v>
      </c>
      <c r="B129" s="12" t="s">
        <v>736</v>
      </c>
      <c r="C129" s="37" t="s">
        <v>737</v>
      </c>
      <c r="D129" s="12" t="s">
        <v>738</v>
      </c>
      <c r="E129" s="8" t="s">
        <v>726</v>
      </c>
      <c r="F129" s="8" t="s">
        <v>739</v>
      </c>
      <c r="G129" s="8" t="str">
        <f t="shared" si="2"/>
        <v>S1-00195</v>
      </c>
      <c r="H129" s="52" t="e">
        <f>VLOOKUP(G129,#REF!, 2)</f>
        <v>#REF!</v>
      </c>
      <c r="I129" s="52" t="e">
        <f>VLOOKUP(G129,#REF!, 4)</f>
        <v>#REF!</v>
      </c>
      <c r="J129" s="22" t="s">
        <v>740</v>
      </c>
      <c r="K129" s="22" t="s">
        <v>2674</v>
      </c>
      <c r="L129" s="18" t="s">
        <v>2678</v>
      </c>
      <c r="M129" s="19" t="s">
        <v>2679</v>
      </c>
      <c r="N129" s="18" t="s">
        <v>2680</v>
      </c>
      <c r="O129" s="18" t="s">
        <v>2297</v>
      </c>
      <c r="P129" s="18" t="e">
        <f t="shared" si="3"/>
        <v>#REF!</v>
      </c>
      <c r="Q129" s="19" t="e">
        <f>IF(R129=0,VLOOKUP(G129,#REF!, 3),R129)</f>
        <v>#REF!</v>
      </c>
      <c r="R129" s="13" t="e">
        <f>VLOOKUP(G129,#REF!, 5)</f>
        <v>#REF!</v>
      </c>
      <c r="S129" s="18" t="s">
        <v>18</v>
      </c>
      <c r="T129" s="43" t="s">
        <v>2681</v>
      </c>
      <c r="U129" s="4" t="s">
        <v>2309</v>
      </c>
      <c r="AA129"/>
    </row>
    <row r="130" spans="1:27" ht="165.6" customHeight="1" x14ac:dyDescent="0.2">
      <c r="A130" s="12" t="s">
        <v>741</v>
      </c>
      <c r="B130" s="12" t="s">
        <v>742</v>
      </c>
      <c r="C130" s="37" t="s">
        <v>743</v>
      </c>
      <c r="D130" s="12" t="s">
        <v>744</v>
      </c>
      <c r="E130" s="8" t="s">
        <v>745</v>
      </c>
      <c r="F130" s="8" t="s">
        <v>746</v>
      </c>
      <c r="G130" s="8" t="str">
        <f t="shared" si="2"/>
        <v>S1-00562</v>
      </c>
      <c r="H130" s="52" t="e">
        <f>VLOOKUP(G130,#REF!, 2)</f>
        <v>#REF!</v>
      </c>
      <c r="I130" s="52" t="e">
        <f>VLOOKUP(G130,#REF!, 4)</f>
        <v>#REF!</v>
      </c>
      <c r="J130" s="22" t="s">
        <v>747</v>
      </c>
      <c r="K130" s="22" t="s">
        <v>2682</v>
      </c>
      <c r="L130" s="22" t="s">
        <v>2683</v>
      </c>
      <c r="M130" s="19" t="s">
        <v>2684</v>
      </c>
      <c r="N130" s="18"/>
      <c r="O130" s="35"/>
      <c r="P130" s="18" t="e">
        <f t="shared" si="3"/>
        <v>#REF!</v>
      </c>
      <c r="Q130" s="19" t="e">
        <f>IF(R130=0,VLOOKUP(G130,#REF!, 3),R130)</f>
        <v>#REF!</v>
      </c>
      <c r="R130" s="13" t="e">
        <f>VLOOKUP(G130,#REF!, 5)</f>
        <v>#REF!</v>
      </c>
      <c r="S130" s="18" t="s">
        <v>18</v>
      </c>
      <c r="T130" s="43" t="s">
        <v>2685</v>
      </c>
      <c r="U130" s="4" t="s">
        <v>2299</v>
      </c>
      <c r="AA130"/>
    </row>
    <row r="131" spans="1:27" ht="189" customHeight="1" x14ac:dyDescent="0.2">
      <c r="A131" s="12" t="s">
        <v>748</v>
      </c>
      <c r="B131" s="12" t="s">
        <v>749</v>
      </c>
      <c r="C131" s="37" t="s">
        <v>750</v>
      </c>
      <c r="D131" s="12" t="s">
        <v>751</v>
      </c>
      <c r="E131" s="8" t="s">
        <v>745</v>
      </c>
      <c r="F131" s="8" t="s">
        <v>752</v>
      </c>
      <c r="G131" s="8" t="str">
        <f t="shared" ref="G131:G194" si="4">SUBSTITUTE(B131,"BRDP-","")</f>
        <v>S1-00197</v>
      </c>
      <c r="H131" s="52" t="e">
        <f>VLOOKUP(G131,#REF!, 2)</f>
        <v>#REF!</v>
      </c>
      <c r="I131" s="52" t="e">
        <f>VLOOKUP(G131,#REF!, 4)</f>
        <v>#REF!</v>
      </c>
      <c r="J131" s="22" t="s">
        <v>753</v>
      </c>
      <c r="K131" s="22" t="s">
        <v>2686</v>
      </c>
      <c r="L131" s="18" t="s">
        <v>2687</v>
      </c>
      <c r="M131" s="18"/>
      <c r="N131" s="18"/>
      <c r="O131" s="35"/>
      <c r="P131" s="18" t="e">
        <f t="shared" ref="P131:P194" si="5">IF(Q131=0,"",Q131)</f>
        <v>#REF!</v>
      </c>
      <c r="Q131" s="19" t="e">
        <f>IF(R131=0,VLOOKUP(G131,#REF!, 3),R131)</f>
        <v>#REF!</v>
      </c>
      <c r="R131" s="13" t="e">
        <f>VLOOKUP(G131,#REF!, 5)</f>
        <v>#REF!</v>
      </c>
      <c r="S131" s="18" t="s">
        <v>18</v>
      </c>
      <c r="T131" s="43"/>
      <c r="AA131"/>
    </row>
    <row r="132" spans="1:27" ht="51.65" x14ac:dyDescent="0.2">
      <c r="A132" s="12" t="s">
        <v>754</v>
      </c>
      <c r="B132" s="12" t="s">
        <v>755</v>
      </c>
      <c r="C132" s="51" t="s">
        <v>756</v>
      </c>
      <c r="D132" s="39" t="s">
        <v>757</v>
      </c>
      <c r="E132" s="10" t="s">
        <v>745</v>
      </c>
      <c r="F132" s="10" t="s">
        <v>259</v>
      </c>
      <c r="G132" s="8" t="str">
        <f t="shared" si="4"/>
        <v>S1-00198</v>
      </c>
      <c r="H132" s="52" t="e">
        <f>VLOOKUP(G132,#REF!, 2)</f>
        <v>#REF!</v>
      </c>
      <c r="I132" s="52" t="e">
        <f>VLOOKUP(G132,#REF!, 4)</f>
        <v>#REF!</v>
      </c>
      <c r="J132" s="22" t="s">
        <v>758</v>
      </c>
      <c r="K132" s="22" t="s">
        <v>2686</v>
      </c>
      <c r="L132" s="18" t="s">
        <v>2688</v>
      </c>
      <c r="M132" s="18"/>
      <c r="N132" s="18"/>
      <c r="O132" s="18"/>
      <c r="P132" s="18" t="e">
        <f t="shared" si="5"/>
        <v>#REF!</v>
      </c>
      <c r="Q132" s="19" t="e">
        <f>IF(R132=0,VLOOKUP(G132,#REF!, 3),R132)</f>
        <v>#REF!</v>
      </c>
      <c r="R132" s="13" t="e">
        <f>VLOOKUP(G132,#REF!, 5)</f>
        <v>#REF!</v>
      </c>
      <c r="S132" s="18" t="s">
        <v>18</v>
      </c>
      <c r="T132" s="43"/>
      <c r="AA132"/>
    </row>
    <row r="133" spans="1:27" ht="116.15" customHeight="1" x14ac:dyDescent="0.2">
      <c r="A133" s="12" t="s">
        <v>759</v>
      </c>
      <c r="B133" s="12" t="s">
        <v>760</v>
      </c>
      <c r="C133" s="37" t="s">
        <v>761</v>
      </c>
      <c r="D133" s="12" t="s">
        <v>762</v>
      </c>
      <c r="E133" s="8" t="s">
        <v>745</v>
      </c>
      <c r="F133" s="8" t="s">
        <v>763</v>
      </c>
      <c r="G133" s="8" t="str">
        <f t="shared" si="4"/>
        <v>S1-00199</v>
      </c>
      <c r="H133" s="52" t="e">
        <f>VLOOKUP(G133,#REF!, 2)</f>
        <v>#REF!</v>
      </c>
      <c r="I133" s="52" t="e">
        <f>VLOOKUP(G133,#REF!, 4)</f>
        <v>#REF!</v>
      </c>
      <c r="J133" s="22" t="s">
        <v>271</v>
      </c>
      <c r="K133" s="22" t="s">
        <v>2686</v>
      </c>
      <c r="L133" s="18" t="s">
        <v>2689</v>
      </c>
      <c r="M133" s="18"/>
      <c r="N133" s="18"/>
      <c r="O133" s="18"/>
      <c r="P133" s="18" t="e">
        <f t="shared" si="5"/>
        <v>#REF!</v>
      </c>
      <c r="Q133" s="19" t="e">
        <f>IF(R133=0,VLOOKUP(G133,#REF!, 3),R133)</f>
        <v>#REF!</v>
      </c>
      <c r="R133" s="13" t="e">
        <f>VLOOKUP(G133,#REF!, 5)</f>
        <v>#REF!</v>
      </c>
      <c r="S133" s="18" t="s">
        <v>18</v>
      </c>
      <c r="T133" s="43"/>
      <c r="AA133"/>
    </row>
    <row r="134" spans="1:27" ht="209.75" customHeight="1" x14ac:dyDescent="0.2">
      <c r="A134" s="12" t="s">
        <v>764</v>
      </c>
      <c r="B134" s="12" t="s">
        <v>765</v>
      </c>
      <c r="C134" s="37" t="s">
        <v>766</v>
      </c>
      <c r="D134" s="12" t="s">
        <v>767</v>
      </c>
      <c r="E134" s="8" t="s">
        <v>745</v>
      </c>
      <c r="F134" s="8" t="s">
        <v>601</v>
      </c>
      <c r="G134" s="8" t="str">
        <f t="shared" si="4"/>
        <v>S1-00202</v>
      </c>
      <c r="H134" s="52" t="e">
        <f>VLOOKUP(G134,#REF!, 2)</f>
        <v>#REF!</v>
      </c>
      <c r="I134" s="52" t="e">
        <f>VLOOKUP(G134,#REF!, 4)</f>
        <v>#REF!</v>
      </c>
      <c r="J134" s="22" t="s">
        <v>271</v>
      </c>
      <c r="K134" s="22" t="s">
        <v>2686</v>
      </c>
      <c r="L134" s="18" t="s">
        <v>2690</v>
      </c>
      <c r="M134" s="18"/>
      <c r="N134" s="18"/>
      <c r="O134" s="18"/>
      <c r="P134" s="18" t="e">
        <f t="shared" si="5"/>
        <v>#REF!</v>
      </c>
      <c r="Q134" s="19" t="e">
        <f>IF(R134=0,VLOOKUP(G134,#REF!, 3),R134)</f>
        <v>#REF!</v>
      </c>
      <c r="R134" s="13" t="e">
        <f>VLOOKUP(G134,#REF!, 5)</f>
        <v>#REF!</v>
      </c>
      <c r="S134" s="18" t="s">
        <v>18</v>
      </c>
      <c r="T134" s="43"/>
      <c r="AA134"/>
    </row>
    <row r="135" spans="1:27" ht="267.64999999999998" customHeight="1" x14ac:dyDescent="0.2">
      <c r="A135" s="12" t="s">
        <v>768</v>
      </c>
      <c r="B135" s="12" t="s">
        <v>769</v>
      </c>
      <c r="C135" s="37" t="s">
        <v>770</v>
      </c>
      <c r="D135" s="12" t="s">
        <v>771</v>
      </c>
      <c r="E135" s="8" t="s">
        <v>745</v>
      </c>
      <c r="F135" s="8" t="s">
        <v>772</v>
      </c>
      <c r="G135" s="8" t="str">
        <f t="shared" si="4"/>
        <v>S1-00204</v>
      </c>
      <c r="H135" s="52" t="e">
        <f>VLOOKUP(G135,#REF!, 2)</f>
        <v>#REF!</v>
      </c>
      <c r="I135" s="52" t="e">
        <f>VLOOKUP(G135,#REF!, 4)</f>
        <v>#REF!</v>
      </c>
      <c r="J135" s="22" t="s">
        <v>271</v>
      </c>
      <c r="K135" s="22" t="s">
        <v>2686</v>
      </c>
      <c r="L135" s="18" t="s">
        <v>2691</v>
      </c>
      <c r="M135" s="18"/>
      <c r="N135" s="18"/>
      <c r="O135" s="18"/>
      <c r="P135" s="18" t="e">
        <f t="shared" si="5"/>
        <v>#REF!</v>
      </c>
      <c r="Q135" s="19" t="e">
        <f>IF(R135=0,VLOOKUP(G135,#REF!, 3),R135)</f>
        <v>#REF!</v>
      </c>
      <c r="R135" s="13" t="e">
        <f>VLOOKUP(G135,#REF!, 5)</f>
        <v>#REF!</v>
      </c>
      <c r="S135" s="18" t="s">
        <v>18</v>
      </c>
      <c r="T135" s="43"/>
      <c r="AA135"/>
    </row>
    <row r="136" spans="1:27" ht="319.95" customHeight="1" x14ac:dyDescent="0.2">
      <c r="A136" s="12" t="s">
        <v>773</v>
      </c>
      <c r="B136" s="12" t="s">
        <v>774</v>
      </c>
      <c r="C136" s="37" t="s">
        <v>775</v>
      </c>
      <c r="D136" s="12" t="s">
        <v>776</v>
      </c>
      <c r="E136" s="8" t="s">
        <v>745</v>
      </c>
      <c r="F136" s="8" t="s">
        <v>777</v>
      </c>
      <c r="G136" s="8" t="str">
        <f t="shared" si="4"/>
        <v>S1-00563</v>
      </c>
      <c r="H136" s="52" t="e">
        <f>VLOOKUP(G136,#REF!, 2)</f>
        <v>#REF!</v>
      </c>
      <c r="I136" s="52" t="e">
        <f>VLOOKUP(G136,#REF!, 4)</f>
        <v>#REF!</v>
      </c>
      <c r="J136" s="22" t="s">
        <v>778</v>
      </c>
      <c r="K136" s="22" t="s">
        <v>2682</v>
      </c>
      <c r="L136" s="22" t="s">
        <v>2692</v>
      </c>
      <c r="M136" s="19" t="s">
        <v>2684</v>
      </c>
      <c r="N136" s="18"/>
      <c r="O136" s="18"/>
      <c r="P136" s="18" t="e">
        <f t="shared" si="5"/>
        <v>#REF!</v>
      </c>
      <c r="Q136" s="19" t="e">
        <f>IF(R136=0,VLOOKUP(G136,#REF!, 3),R136)</f>
        <v>#REF!</v>
      </c>
      <c r="R136" s="13" t="e">
        <f>VLOOKUP(G136,#REF!, 5)</f>
        <v>#REF!</v>
      </c>
      <c r="S136" s="18" t="s">
        <v>18</v>
      </c>
      <c r="T136" s="43" t="s">
        <v>2693</v>
      </c>
      <c r="U136" s="4" t="s">
        <v>2299</v>
      </c>
      <c r="AA136"/>
    </row>
    <row r="137" spans="1:27" ht="332.5" customHeight="1" x14ac:dyDescent="0.2">
      <c r="A137" s="12" t="s">
        <v>779</v>
      </c>
      <c r="B137" s="12" t="s">
        <v>780</v>
      </c>
      <c r="C137" s="37" t="s">
        <v>781</v>
      </c>
      <c r="D137" s="12" t="s">
        <v>2694</v>
      </c>
      <c r="E137" s="8" t="s">
        <v>783</v>
      </c>
      <c r="F137" s="8" t="s">
        <v>784</v>
      </c>
      <c r="G137" s="8" t="str">
        <f t="shared" si="4"/>
        <v>S1-00219</v>
      </c>
      <c r="H137" s="8" t="e">
        <f>VLOOKUP(G137,#REF!, 2)</f>
        <v>#REF!</v>
      </c>
      <c r="I137" s="8" t="e">
        <f>VLOOKUP(G137,#REF!, 4)</f>
        <v>#REF!</v>
      </c>
      <c r="J137" s="22" t="s">
        <v>785</v>
      </c>
      <c r="K137" s="22" t="s">
        <v>2695</v>
      </c>
      <c r="L137" s="18" t="s">
        <v>2696</v>
      </c>
      <c r="M137" s="18" t="s">
        <v>2697</v>
      </c>
      <c r="N137" s="18" t="s">
        <v>2698</v>
      </c>
      <c r="O137" s="18" t="s">
        <v>2297</v>
      </c>
      <c r="P137" s="18" t="e">
        <f t="shared" si="5"/>
        <v>#REF!</v>
      </c>
      <c r="Q137" s="19" t="e">
        <f>IF(R137=0,VLOOKUP(G137,#REF!, 3),R137)</f>
        <v>#REF!</v>
      </c>
      <c r="R137" s="13" t="e">
        <f>VLOOKUP(G137,#REF!, 5)</f>
        <v>#REF!</v>
      </c>
      <c r="S137" s="18" t="s">
        <v>18</v>
      </c>
      <c r="T137" s="43" t="s">
        <v>2699</v>
      </c>
      <c r="V137" s="12" t="s">
        <v>2700</v>
      </c>
      <c r="AA137"/>
    </row>
    <row r="138" spans="1:27" ht="171" customHeight="1" x14ac:dyDescent="0.2">
      <c r="A138" s="12" t="s">
        <v>786</v>
      </c>
      <c r="B138" s="12" t="s">
        <v>787</v>
      </c>
      <c r="C138" s="37" t="s">
        <v>788</v>
      </c>
      <c r="D138" s="12" t="s">
        <v>789</v>
      </c>
      <c r="E138" s="8" t="s">
        <v>783</v>
      </c>
      <c r="F138" s="8" t="s">
        <v>790</v>
      </c>
      <c r="G138" s="8" t="str">
        <f t="shared" si="4"/>
        <v>S1-00221</v>
      </c>
      <c r="H138" s="52" t="e">
        <f>VLOOKUP(G138,#REF!, 2)</f>
        <v>#REF!</v>
      </c>
      <c r="I138" s="52" t="e">
        <f>VLOOKUP(G138,#REF!, 4)</f>
        <v>#REF!</v>
      </c>
      <c r="J138" s="22" t="s">
        <v>791</v>
      </c>
      <c r="K138" s="22" t="s">
        <v>2701</v>
      </c>
      <c r="L138" s="18" t="s">
        <v>2702</v>
      </c>
      <c r="M138" s="18"/>
      <c r="N138" s="18" t="s">
        <v>2698</v>
      </c>
      <c r="O138" s="18" t="s">
        <v>2297</v>
      </c>
      <c r="P138" s="18" t="e">
        <f t="shared" si="5"/>
        <v>#REF!</v>
      </c>
      <c r="Q138" s="19" t="e">
        <f>IF(R138=0,VLOOKUP(G138,#REF!, 3),R138)</f>
        <v>#REF!</v>
      </c>
      <c r="R138" s="13" t="e">
        <f>VLOOKUP(G138,#REF!, 5)</f>
        <v>#REF!</v>
      </c>
      <c r="S138" s="18" t="s">
        <v>18</v>
      </c>
      <c r="T138" s="43"/>
      <c r="AA138"/>
    </row>
    <row r="139" spans="1:27" ht="167.8" x14ac:dyDescent="0.2">
      <c r="A139" s="12" t="s">
        <v>792</v>
      </c>
      <c r="B139" s="12" t="s">
        <v>793</v>
      </c>
      <c r="C139" s="37" t="s">
        <v>794</v>
      </c>
      <c r="D139" s="12" t="s">
        <v>2703</v>
      </c>
      <c r="E139" s="8" t="s">
        <v>783</v>
      </c>
      <c r="F139" s="8" t="s">
        <v>796</v>
      </c>
      <c r="G139" s="8" t="str">
        <f t="shared" si="4"/>
        <v>S1-00222</v>
      </c>
      <c r="H139" s="52" t="e">
        <f>VLOOKUP(G139,#REF!, 2)</f>
        <v>#REF!</v>
      </c>
      <c r="I139" s="52" t="e">
        <f>VLOOKUP(G139,#REF!, 4)</f>
        <v>#REF!</v>
      </c>
      <c r="J139" s="22" t="s">
        <v>2704</v>
      </c>
      <c r="K139" s="22" t="s">
        <v>2705</v>
      </c>
      <c r="L139" s="18" t="s">
        <v>2706</v>
      </c>
      <c r="M139" s="18"/>
      <c r="N139" s="18" t="s">
        <v>2698</v>
      </c>
      <c r="O139" s="18" t="s">
        <v>2297</v>
      </c>
      <c r="P139" s="18" t="e">
        <f t="shared" si="5"/>
        <v>#REF!</v>
      </c>
      <c r="Q139" s="19" t="e">
        <f>IF(R139=0,VLOOKUP(G139,#REF!, 3),R139)</f>
        <v>#REF!</v>
      </c>
      <c r="R139" s="13" t="e">
        <f>VLOOKUP(G139,#REF!, 5)</f>
        <v>#REF!</v>
      </c>
      <c r="S139" s="18" t="s">
        <v>18</v>
      </c>
      <c r="T139" s="43"/>
      <c r="AA139"/>
    </row>
    <row r="140" spans="1:27" ht="409.6" customHeight="1" x14ac:dyDescent="0.2">
      <c r="A140" s="12" t="s">
        <v>799</v>
      </c>
      <c r="B140" s="12" t="s">
        <v>800</v>
      </c>
      <c r="C140" s="37" t="s">
        <v>801</v>
      </c>
      <c r="D140" s="12" t="s">
        <v>802</v>
      </c>
      <c r="E140" s="8" t="s">
        <v>783</v>
      </c>
      <c r="F140" s="8" t="s">
        <v>803</v>
      </c>
      <c r="G140" s="8" t="str">
        <f t="shared" si="4"/>
        <v>S1-00223</v>
      </c>
      <c r="H140" s="52" t="e">
        <f>VLOOKUP(G140,#REF!, 2)</f>
        <v>#REF!</v>
      </c>
      <c r="I140" s="52" t="e">
        <f>VLOOKUP(G140,#REF!, 4)</f>
        <v>#REF!</v>
      </c>
      <c r="J140" s="22" t="s">
        <v>804</v>
      </c>
      <c r="K140" s="22" t="s">
        <v>2707</v>
      </c>
      <c r="L140" s="18" t="s">
        <v>2708</v>
      </c>
      <c r="M140" s="18"/>
      <c r="N140" s="18"/>
      <c r="O140" s="18"/>
      <c r="P140" s="18" t="e">
        <f t="shared" si="5"/>
        <v>#REF!</v>
      </c>
      <c r="Q140" s="19" t="e">
        <f>IF(R140=0,VLOOKUP(G140,#REF!, 3),R140)</f>
        <v>#REF!</v>
      </c>
      <c r="R140" s="13" t="e">
        <f>VLOOKUP(G140,#REF!, 5)</f>
        <v>#REF!</v>
      </c>
      <c r="S140" s="18" t="s">
        <v>18</v>
      </c>
      <c r="T140" s="43"/>
      <c r="AA140"/>
    </row>
    <row r="141" spans="1:27" ht="273.60000000000002" customHeight="1" x14ac:dyDescent="0.2">
      <c r="A141" s="12" t="s">
        <v>805</v>
      </c>
      <c r="B141" s="12" t="s">
        <v>806</v>
      </c>
      <c r="C141" s="51" t="s">
        <v>807</v>
      </c>
      <c r="D141" s="39" t="s">
        <v>808</v>
      </c>
      <c r="E141" s="10" t="s">
        <v>783</v>
      </c>
      <c r="F141" s="10" t="s">
        <v>809</v>
      </c>
      <c r="G141" s="8" t="str">
        <f t="shared" si="4"/>
        <v>S1-00224</v>
      </c>
      <c r="H141" s="52" t="e">
        <f>VLOOKUP(G141,#REF!, 2)</f>
        <v>#REF!</v>
      </c>
      <c r="I141" s="52" t="e">
        <f>VLOOKUP(G141,#REF!, 4)</f>
        <v>#REF!</v>
      </c>
      <c r="J141" s="22" t="s">
        <v>810</v>
      </c>
      <c r="K141" s="22" t="s">
        <v>2709</v>
      </c>
      <c r="L141" s="18" t="s">
        <v>2710</v>
      </c>
      <c r="M141" s="18"/>
      <c r="N141" s="18"/>
      <c r="O141" s="18"/>
      <c r="P141" s="18" t="e">
        <f t="shared" si="5"/>
        <v>#REF!</v>
      </c>
      <c r="Q141" s="19" t="e">
        <f>IF(R141=0,VLOOKUP(G141,#REF!, 3),R141)</f>
        <v>#REF!</v>
      </c>
      <c r="R141" s="13" t="e">
        <f>VLOOKUP(G141,#REF!, 5)</f>
        <v>#REF!</v>
      </c>
      <c r="S141" s="18" t="s">
        <v>18</v>
      </c>
      <c r="T141" s="43"/>
      <c r="AA141"/>
    </row>
    <row r="142" spans="1:27" ht="280.2" customHeight="1" x14ac:dyDescent="0.2">
      <c r="A142" s="12" t="s">
        <v>811</v>
      </c>
      <c r="B142" s="12" t="s">
        <v>812</v>
      </c>
      <c r="C142" s="37" t="s">
        <v>813</v>
      </c>
      <c r="D142" s="12" t="s">
        <v>814</v>
      </c>
      <c r="E142" s="8" t="s">
        <v>783</v>
      </c>
      <c r="F142" s="8" t="s">
        <v>815</v>
      </c>
      <c r="G142" s="8" t="str">
        <f t="shared" si="4"/>
        <v>S1-00225</v>
      </c>
      <c r="H142" s="52" t="e">
        <f>VLOOKUP(G142,#REF!, 2)</f>
        <v>#REF!</v>
      </c>
      <c r="I142" s="52" t="e">
        <f>VLOOKUP(G142,#REF!, 4)</f>
        <v>#REF!</v>
      </c>
      <c r="J142" s="22" t="s">
        <v>816</v>
      </c>
      <c r="K142" s="22" t="s">
        <v>2711</v>
      </c>
      <c r="L142" s="18" t="s">
        <v>2712</v>
      </c>
      <c r="M142" s="18"/>
      <c r="N142" s="18"/>
      <c r="O142" s="35"/>
      <c r="P142" s="18" t="e">
        <f t="shared" si="5"/>
        <v>#REF!</v>
      </c>
      <c r="Q142" s="19" t="e">
        <f>IF(R142=0,VLOOKUP(G142,#REF!, 3),R142)</f>
        <v>#REF!</v>
      </c>
      <c r="R142" s="13" t="e">
        <f>VLOOKUP(G142,#REF!, 5)</f>
        <v>#REF!</v>
      </c>
      <c r="S142" s="18" t="s">
        <v>18</v>
      </c>
      <c r="T142" s="43"/>
      <c r="AA142"/>
    </row>
    <row r="143" spans="1:27" ht="311.45" customHeight="1" x14ac:dyDescent="0.2">
      <c r="A143" s="12" t="s">
        <v>817</v>
      </c>
      <c r="B143" s="12" t="s">
        <v>818</v>
      </c>
      <c r="C143" s="37" t="s">
        <v>819</v>
      </c>
      <c r="D143" s="12" t="s">
        <v>820</v>
      </c>
      <c r="E143" s="8" t="s">
        <v>783</v>
      </c>
      <c r="F143" s="8" t="s">
        <v>821</v>
      </c>
      <c r="G143" s="8" t="str">
        <f t="shared" si="4"/>
        <v>S1-00226</v>
      </c>
      <c r="H143" s="52" t="e">
        <f>VLOOKUP(G143,#REF!, 2)</f>
        <v>#REF!</v>
      </c>
      <c r="I143" s="52" t="e">
        <f>VLOOKUP(G143,#REF!, 4)</f>
        <v>#REF!</v>
      </c>
      <c r="J143" s="22" t="s">
        <v>822</v>
      </c>
      <c r="K143" s="22" t="s">
        <v>2713</v>
      </c>
      <c r="L143" s="18" t="s">
        <v>2714</v>
      </c>
      <c r="M143" s="18"/>
      <c r="N143" s="18"/>
      <c r="O143" s="18"/>
      <c r="P143" s="18" t="e">
        <f t="shared" si="5"/>
        <v>#REF!</v>
      </c>
      <c r="Q143" s="19" t="e">
        <f>IF(R143=0,VLOOKUP(G143,#REF!, 3),R143)</f>
        <v>#REF!</v>
      </c>
      <c r="R143" s="13" t="e">
        <f>VLOOKUP(G143,#REF!, 5)</f>
        <v>#REF!</v>
      </c>
      <c r="S143" s="18" t="s">
        <v>18</v>
      </c>
      <c r="T143" s="43"/>
      <c r="AA143"/>
    </row>
    <row r="144" spans="1:27" ht="151.15" customHeight="1" x14ac:dyDescent="0.2">
      <c r="A144" s="12" t="s">
        <v>823</v>
      </c>
      <c r="B144" s="12" t="s">
        <v>824</v>
      </c>
      <c r="C144" s="37" t="s">
        <v>825</v>
      </c>
      <c r="D144" s="12" t="s">
        <v>826</v>
      </c>
      <c r="E144" s="8" t="s">
        <v>783</v>
      </c>
      <c r="F144" s="8" t="s">
        <v>827</v>
      </c>
      <c r="G144" s="8" t="str">
        <f t="shared" si="4"/>
        <v>S1-00229</v>
      </c>
      <c r="H144" s="52" t="e">
        <f>VLOOKUP(G144,#REF!, 2)</f>
        <v>#REF!</v>
      </c>
      <c r="I144" s="52" t="e">
        <f>VLOOKUP(G144,#REF!, 4)</f>
        <v>#REF!</v>
      </c>
      <c r="J144" s="22" t="s">
        <v>828</v>
      </c>
      <c r="K144" s="22" t="s">
        <v>2345</v>
      </c>
      <c r="L144" s="18" t="s">
        <v>2715</v>
      </c>
      <c r="M144" s="18"/>
      <c r="N144" s="18" t="s">
        <v>2698</v>
      </c>
      <c r="O144" s="18" t="s">
        <v>2297</v>
      </c>
      <c r="P144" s="18" t="e">
        <f t="shared" si="5"/>
        <v>#REF!</v>
      </c>
      <c r="Q144" s="19" t="e">
        <f>IF(R144=0,VLOOKUP(G144,#REF!, 3),R144)</f>
        <v>#REF!</v>
      </c>
      <c r="R144" s="13" t="e">
        <f>VLOOKUP(G144,#REF!, 5)</f>
        <v>#REF!</v>
      </c>
      <c r="S144" s="18" t="s">
        <v>18</v>
      </c>
      <c r="T144" s="43"/>
      <c r="AA144"/>
    </row>
    <row r="145" spans="1:27" ht="141.65" customHeight="1" x14ac:dyDescent="0.2">
      <c r="A145" s="12" t="s">
        <v>829</v>
      </c>
      <c r="B145" s="12" t="s">
        <v>830</v>
      </c>
      <c r="C145" s="37" t="s">
        <v>831</v>
      </c>
      <c r="D145" s="12" t="s">
        <v>832</v>
      </c>
      <c r="E145" s="8" t="s">
        <v>783</v>
      </c>
      <c r="F145" s="8" t="s">
        <v>833</v>
      </c>
      <c r="G145" s="8" t="str">
        <f t="shared" si="4"/>
        <v>S1-00230</v>
      </c>
      <c r="H145" s="52" t="e">
        <f>VLOOKUP(G145,#REF!, 2)</f>
        <v>#REF!</v>
      </c>
      <c r="I145" s="52" t="e">
        <f>VLOOKUP(G145,#REF!, 4)</f>
        <v>#REF!</v>
      </c>
      <c r="J145" s="22" t="s">
        <v>834</v>
      </c>
      <c r="K145" s="22" t="s">
        <v>2345</v>
      </c>
      <c r="L145" s="18" t="s">
        <v>2716</v>
      </c>
      <c r="M145" s="18"/>
      <c r="N145" s="18" t="s">
        <v>2698</v>
      </c>
      <c r="O145" s="18" t="s">
        <v>2297</v>
      </c>
      <c r="P145" s="18" t="e">
        <f t="shared" si="5"/>
        <v>#REF!</v>
      </c>
      <c r="Q145" s="19" t="e">
        <f>IF(R145=0,VLOOKUP(G145,#REF!, 3),R145)</f>
        <v>#REF!</v>
      </c>
      <c r="R145" s="13" t="e">
        <f>VLOOKUP(G145,#REF!, 5)</f>
        <v>#REF!</v>
      </c>
      <c r="S145" s="18" t="s">
        <v>18</v>
      </c>
      <c r="T145" s="43"/>
      <c r="AA145"/>
    </row>
    <row r="146" spans="1:27" ht="159.65" customHeight="1" x14ac:dyDescent="0.2">
      <c r="A146" s="12" t="s">
        <v>835</v>
      </c>
      <c r="B146" s="12" t="s">
        <v>836</v>
      </c>
      <c r="C146" s="37" t="s">
        <v>837</v>
      </c>
      <c r="D146" s="12" t="s">
        <v>838</v>
      </c>
      <c r="E146" s="8" t="s">
        <v>783</v>
      </c>
      <c r="F146" s="8" t="s">
        <v>839</v>
      </c>
      <c r="G146" s="8" t="str">
        <f t="shared" si="4"/>
        <v>S1-00231</v>
      </c>
      <c r="H146" s="52" t="e">
        <f>VLOOKUP(G146,#REF!, 2)</f>
        <v>#REF!</v>
      </c>
      <c r="I146" s="52" t="e">
        <f>VLOOKUP(G146,#REF!, 4)</f>
        <v>#REF!</v>
      </c>
      <c r="J146" s="22" t="s">
        <v>840</v>
      </c>
      <c r="K146" s="22" t="s">
        <v>2345</v>
      </c>
      <c r="L146" s="18" t="s">
        <v>2717</v>
      </c>
      <c r="M146" s="18"/>
      <c r="N146" s="18" t="s">
        <v>2698</v>
      </c>
      <c r="O146" s="18" t="s">
        <v>2297</v>
      </c>
      <c r="P146" s="18" t="e">
        <f t="shared" si="5"/>
        <v>#REF!</v>
      </c>
      <c r="Q146" s="19" t="e">
        <f>IF(R146=0,VLOOKUP(G146,#REF!, 3),R146)</f>
        <v>#REF!</v>
      </c>
      <c r="R146" s="13" t="e">
        <f>VLOOKUP(G146,#REF!, 5)</f>
        <v>#REF!</v>
      </c>
      <c r="S146" s="18" t="s">
        <v>18</v>
      </c>
      <c r="T146" s="43"/>
      <c r="AA146"/>
    </row>
    <row r="147" spans="1:27" ht="148.1" customHeight="1" x14ac:dyDescent="0.2">
      <c r="A147" s="12" t="s">
        <v>841</v>
      </c>
      <c r="B147" s="12" t="s">
        <v>842</v>
      </c>
      <c r="C147" s="37" t="s">
        <v>843</v>
      </c>
      <c r="D147" s="12" t="s">
        <v>844</v>
      </c>
      <c r="E147" s="8" t="s">
        <v>783</v>
      </c>
      <c r="F147" s="8" t="s">
        <v>845</v>
      </c>
      <c r="G147" s="33" t="s">
        <v>2718</v>
      </c>
      <c r="H147" s="52" t="e">
        <f>VLOOKUP(G147,#REF!, 2)</f>
        <v>#REF!</v>
      </c>
      <c r="I147" s="52" t="e">
        <f>VLOOKUP(G147,#REF!, 4)</f>
        <v>#REF!</v>
      </c>
      <c r="J147" s="22" t="s">
        <v>846</v>
      </c>
      <c r="K147" s="22" t="s">
        <v>2345</v>
      </c>
      <c r="L147" s="18" t="s">
        <v>2719</v>
      </c>
      <c r="M147" s="18"/>
      <c r="N147" s="18"/>
      <c r="O147" s="18"/>
      <c r="P147" s="18" t="e">
        <f t="shared" si="5"/>
        <v>#REF!</v>
      </c>
      <c r="Q147" s="19" t="e">
        <f>IF(R147=0,VLOOKUP(G147,#REF!, 3),R147)</f>
        <v>#REF!</v>
      </c>
      <c r="R147" s="13" t="e">
        <f>VLOOKUP(G147,#REF!, 5)</f>
        <v>#REF!</v>
      </c>
      <c r="S147" s="18" t="s">
        <v>18</v>
      </c>
      <c r="T147" s="43"/>
      <c r="AA147"/>
    </row>
    <row r="148" spans="1:27" ht="122.45" customHeight="1" x14ac:dyDescent="0.2">
      <c r="A148" s="12" t="s">
        <v>847</v>
      </c>
      <c r="B148" s="12" t="s">
        <v>848</v>
      </c>
      <c r="C148" s="37" t="s">
        <v>849</v>
      </c>
      <c r="D148" s="12" t="s">
        <v>850</v>
      </c>
      <c r="E148" s="8" t="s">
        <v>783</v>
      </c>
      <c r="F148" s="8" t="s">
        <v>851</v>
      </c>
      <c r="G148" s="33" t="s">
        <v>2718</v>
      </c>
      <c r="H148" s="52" t="e">
        <f>VLOOKUP(G148,#REF!, 2)</f>
        <v>#REF!</v>
      </c>
      <c r="I148" s="52" t="e">
        <f>VLOOKUP(G148,#REF!, 4)</f>
        <v>#REF!</v>
      </c>
      <c r="J148" s="22" t="s">
        <v>2720</v>
      </c>
      <c r="K148" s="22" t="s">
        <v>2345</v>
      </c>
      <c r="L148" s="18" t="s">
        <v>2721</v>
      </c>
      <c r="M148" s="18"/>
      <c r="N148" s="18"/>
      <c r="O148" s="18"/>
      <c r="P148" s="18" t="e">
        <f t="shared" si="5"/>
        <v>#REF!</v>
      </c>
      <c r="Q148" s="19" t="e">
        <f>IF(R148=0,VLOOKUP(G148,#REF!, 3),R148)</f>
        <v>#REF!</v>
      </c>
      <c r="R148" s="13" t="e">
        <f>VLOOKUP(G148,#REF!, 5)</f>
        <v>#REF!</v>
      </c>
      <c r="S148" s="18" t="s">
        <v>18</v>
      </c>
      <c r="T148" s="43"/>
      <c r="AA148"/>
    </row>
    <row r="149" spans="1:27" ht="77.45" x14ac:dyDescent="0.2">
      <c r="A149" s="12" t="s">
        <v>854</v>
      </c>
      <c r="B149" s="12" t="s">
        <v>855</v>
      </c>
      <c r="C149" s="37" t="s">
        <v>856</v>
      </c>
      <c r="D149" s="12" t="s">
        <v>857</v>
      </c>
      <c r="E149" s="8" t="s">
        <v>783</v>
      </c>
      <c r="F149" s="8" t="s">
        <v>858</v>
      </c>
      <c r="G149" s="33" t="s">
        <v>2718</v>
      </c>
      <c r="H149" s="52" t="e">
        <f>VLOOKUP(G149,#REF!, 2)</f>
        <v>#REF!</v>
      </c>
      <c r="I149" s="52" t="e">
        <f>VLOOKUP(G149,#REF!, 4)</f>
        <v>#REF!</v>
      </c>
      <c r="J149" s="22" t="s">
        <v>2722</v>
      </c>
      <c r="K149" s="22" t="s">
        <v>2345</v>
      </c>
      <c r="L149" s="18" t="s">
        <v>2723</v>
      </c>
      <c r="M149" s="18"/>
      <c r="N149" s="18"/>
      <c r="O149" s="18"/>
      <c r="P149" s="18" t="e">
        <f t="shared" si="5"/>
        <v>#REF!</v>
      </c>
      <c r="Q149" s="19" t="e">
        <f>IF(R149=0,VLOOKUP(G149,#REF!, 3),R149)</f>
        <v>#REF!</v>
      </c>
      <c r="R149" s="13" t="e">
        <f>VLOOKUP(G149,#REF!, 5)</f>
        <v>#REF!</v>
      </c>
      <c r="S149" s="18" t="s">
        <v>18</v>
      </c>
      <c r="T149" s="43"/>
      <c r="AA149"/>
    </row>
    <row r="150" spans="1:27" ht="197.5" customHeight="1" x14ac:dyDescent="0.2">
      <c r="A150" s="12" t="s">
        <v>861</v>
      </c>
      <c r="B150" s="12" t="s">
        <v>862</v>
      </c>
      <c r="C150" s="37" t="s">
        <v>863</v>
      </c>
      <c r="D150" s="12" t="s">
        <v>864</v>
      </c>
      <c r="E150" s="8" t="s">
        <v>783</v>
      </c>
      <c r="F150" s="8" t="s">
        <v>865</v>
      </c>
      <c r="G150" s="33" t="s">
        <v>2718</v>
      </c>
      <c r="H150" s="52" t="e">
        <f>VLOOKUP(G150,#REF!, 2)</f>
        <v>#REF!</v>
      </c>
      <c r="I150" s="52" t="e">
        <f>VLOOKUP(G150,#REF!, 4)</f>
        <v>#REF!</v>
      </c>
      <c r="J150" s="22" t="s">
        <v>866</v>
      </c>
      <c r="K150" s="22" t="s">
        <v>2345</v>
      </c>
      <c r="L150" s="18" t="s">
        <v>2724</v>
      </c>
      <c r="M150" s="18"/>
      <c r="N150" s="18"/>
      <c r="O150" s="35"/>
      <c r="P150" s="18" t="e">
        <f t="shared" si="5"/>
        <v>#REF!</v>
      </c>
      <c r="Q150" s="19" t="e">
        <f>IF(R150=0,VLOOKUP(G150,#REF!, 3),R150)</f>
        <v>#REF!</v>
      </c>
      <c r="R150" s="13" t="e">
        <f>VLOOKUP(G150,#REF!, 5)</f>
        <v>#REF!</v>
      </c>
      <c r="S150" s="18" t="s">
        <v>18</v>
      </c>
      <c r="T150" s="43"/>
      <c r="AA150"/>
    </row>
    <row r="151" spans="1:27" ht="38.75" x14ac:dyDescent="0.2">
      <c r="A151" s="12" t="s">
        <v>867</v>
      </c>
      <c r="B151" s="12" t="s">
        <v>868</v>
      </c>
      <c r="C151" s="51" t="s">
        <v>869</v>
      </c>
      <c r="D151" s="39" t="s">
        <v>870</v>
      </c>
      <c r="E151" s="10" t="s">
        <v>783</v>
      </c>
      <c r="F151" s="10" t="s">
        <v>871</v>
      </c>
      <c r="G151" s="8" t="str">
        <f t="shared" si="4"/>
        <v>S1-00237</v>
      </c>
      <c r="H151" s="52" t="e">
        <f>VLOOKUP(G151,#REF!, 2)</f>
        <v>#REF!</v>
      </c>
      <c r="I151" s="52" t="e">
        <f>VLOOKUP(G151,#REF!, 4)</f>
        <v>#REF!</v>
      </c>
      <c r="J151" s="22" t="s">
        <v>2725</v>
      </c>
      <c r="K151" s="22" t="s">
        <v>2345</v>
      </c>
      <c r="L151" s="18" t="s">
        <v>2726</v>
      </c>
      <c r="M151" s="18"/>
      <c r="N151" s="18" t="s">
        <v>2727</v>
      </c>
      <c r="O151" s="18" t="s">
        <v>2297</v>
      </c>
      <c r="P151" s="18" t="e">
        <f t="shared" si="5"/>
        <v>#REF!</v>
      </c>
      <c r="Q151" s="19" t="e">
        <f>IF(R151=0,VLOOKUP(G151,#REF!, 3),R151)</f>
        <v>#REF!</v>
      </c>
      <c r="R151" s="13" t="e">
        <f>VLOOKUP(G151,#REF!, 5)</f>
        <v>#REF!</v>
      </c>
      <c r="S151" s="18" t="s">
        <v>18</v>
      </c>
      <c r="T151" s="43"/>
      <c r="AA151"/>
    </row>
    <row r="152" spans="1:27" ht="134.15" customHeight="1" x14ac:dyDescent="0.2">
      <c r="A152" s="12" t="s">
        <v>873</v>
      </c>
      <c r="B152" s="12" t="s">
        <v>874</v>
      </c>
      <c r="C152" s="37" t="s">
        <v>875</v>
      </c>
      <c r="D152" s="12" t="s">
        <v>876</v>
      </c>
      <c r="E152" s="8" t="s">
        <v>877</v>
      </c>
      <c r="F152" s="8" t="s">
        <v>559</v>
      </c>
      <c r="G152" s="8" t="str">
        <f t="shared" si="4"/>
        <v>S1-00239</v>
      </c>
      <c r="H152" s="52" t="e">
        <f>VLOOKUP(G152,#REF!, 2)</f>
        <v>#REF!</v>
      </c>
      <c r="I152" s="52" t="e">
        <f>VLOOKUP(G152,#REF!, 4)</f>
        <v>#REF!</v>
      </c>
      <c r="J152" s="22" t="s">
        <v>878</v>
      </c>
      <c r="K152" s="22" t="s">
        <v>2728</v>
      </c>
      <c r="L152" s="18" t="s">
        <v>2729</v>
      </c>
      <c r="M152" s="18"/>
      <c r="N152" s="18"/>
      <c r="O152" s="18"/>
      <c r="P152" s="18" t="e">
        <f t="shared" si="5"/>
        <v>#REF!</v>
      </c>
      <c r="Q152" s="19" t="e">
        <f>IF(R152=0,VLOOKUP(G152,#REF!, 3),R152)</f>
        <v>#REF!</v>
      </c>
      <c r="R152" s="13" t="e">
        <f>VLOOKUP(G152,#REF!, 5)</f>
        <v>#REF!</v>
      </c>
      <c r="S152" s="18" t="s">
        <v>18</v>
      </c>
      <c r="T152" s="43"/>
      <c r="AA152"/>
    </row>
    <row r="153" spans="1:27" ht="245.25" x14ac:dyDescent="0.2">
      <c r="A153" s="12" t="s">
        <v>879</v>
      </c>
      <c r="B153" s="12" t="s">
        <v>880</v>
      </c>
      <c r="C153" s="37" t="s">
        <v>881</v>
      </c>
      <c r="D153" s="12" t="s">
        <v>882</v>
      </c>
      <c r="E153" s="8" t="s">
        <v>877</v>
      </c>
      <c r="F153" s="8" t="s">
        <v>883</v>
      </c>
      <c r="G153" s="8" t="str">
        <f t="shared" si="4"/>
        <v>S1-00240</v>
      </c>
      <c r="H153" s="52" t="e">
        <f>VLOOKUP(G153,#REF!, 2)</f>
        <v>#REF!</v>
      </c>
      <c r="I153" s="52" t="e">
        <f>VLOOKUP(G153,#REF!, 4)</f>
        <v>#REF!</v>
      </c>
      <c r="J153" s="22" t="s">
        <v>878</v>
      </c>
      <c r="K153" s="22" t="s">
        <v>2345</v>
      </c>
      <c r="L153" s="18" t="s">
        <v>2730</v>
      </c>
      <c r="M153" s="18"/>
      <c r="N153" s="18"/>
      <c r="O153" s="18"/>
      <c r="P153" s="18" t="e">
        <f t="shared" si="5"/>
        <v>#REF!</v>
      </c>
      <c r="Q153" s="19" t="e">
        <f>IF(R153=0,VLOOKUP(G153,#REF!, 3),R153)</f>
        <v>#REF!</v>
      </c>
      <c r="R153" s="13" t="e">
        <f>VLOOKUP(G153,#REF!, 5)</f>
        <v>#REF!</v>
      </c>
      <c r="S153" s="18" t="s">
        <v>18</v>
      </c>
      <c r="T153" s="43"/>
      <c r="AA153"/>
    </row>
    <row r="154" spans="1:27" ht="210.25" customHeight="1" x14ac:dyDescent="0.2">
      <c r="A154" s="12" t="s">
        <v>884</v>
      </c>
      <c r="B154" s="12" t="s">
        <v>885</v>
      </c>
      <c r="C154" s="37" t="s">
        <v>886</v>
      </c>
      <c r="D154" s="12" t="s">
        <v>887</v>
      </c>
      <c r="E154" s="8" t="s">
        <v>888</v>
      </c>
      <c r="F154" s="8" t="s">
        <v>601</v>
      </c>
      <c r="G154" s="8" t="str">
        <f t="shared" si="4"/>
        <v>S1-00241</v>
      </c>
      <c r="H154" s="52" t="e">
        <f>VLOOKUP(G154,#REF!, 2)</f>
        <v>#REF!</v>
      </c>
      <c r="I154" s="52" t="e">
        <f>VLOOKUP(G154,#REF!, 4)</f>
        <v>#REF!</v>
      </c>
      <c r="J154" s="22" t="s">
        <v>878</v>
      </c>
      <c r="K154" s="22" t="s">
        <v>2345</v>
      </c>
      <c r="L154" s="18" t="s">
        <v>2731</v>
      </c>
      <c r="M154" s="18"/>
      <c r="N154" s="18"/>
      <c r="O154" s="35"/>
      <c r="P154" s="18" t="e">
        <f t="shared" si="5"/>
        <v>#REF!</v>
      </c>
      <c r="Q154" s="19" t="e">
        <f>IF(R154=0,VLOOKUP(G154,#REF!, 3),R154)</f>
        <v>#REF!</v>
      </c>
      <c r="R154" s="13" t="e">
        <f>VLOOKUP(G154,#REF!, 5)</f>
        <v>#REF!</v>
      </c>
      <c r="S154" s="18" t="s">
        <v>18</v>
      </c>
      <c r="T154" s="43"/>
      <c r="AA154"/>
    </row>
    <row r="155" spans="1:27" ht="51.65" x14ac:dyDescent="0.2">
      <c r="A155" s="12" t="s">
        <v>889</v>
      </c>
      <c r="B155" s="12" t="s">
        <v>890</v>
      </c>
      <c r="C155" s="37" t="s">
        <v>891</v>
      </c>
      <c r="D155" s="12" t="s">
        <v>892</v>
      </c>
      <c r="E155" s="8" t="s">
        <v>893</v>
      </c>
      <c r="F155" s="8" t="s">
        <v>894</v>
      </c>
      <c r="G155" s="8" t="str">
        <f t="shared" si="4"/>
        <v>S1-00244</v>
      </c>
      <c r="H155" s="52" t="e">
        <f>VLOOKUP(G155,#REF!, 2)</f>
        <v>#REF!</v>
      </c>
      <c r="I155" s="52" t="e">
        <f>VLOOKUP(G155,#REF!, 4)</f>
        <v>#REF!</v>
      </c>
      <c r="J155" s="22" t="s">
        <v>613</v>
      </c>
      <c r="K155" s="22" t="s">
        <v>2732</v>
      </c>
      <c r="L155" s="18" t="s">
        <v>2733</v>
      </c>
      <c r="M155" s="18"/>
      <c r="N155" s="18"/>
      <c r="O155" s="35"/>
      <c r="P155" s="18" t="e">
        <f t="shared" si="5"/>
        <v>#REF!</v>
      </c>
      <c r="Q155" s="19" t="e">
        <f>IF(R155=0,VLOOKUP(G155,#REF!, 3),R155)</f>
        <v>#REF!</v>
      </c>
      <c r="R155" s="13" t="e">
        <f>VLOOKUP(G155,#REF!, 5)</f>
        <v>#REF!</v>
      </c>
      <c r="S155" s="18" t="s">
        <v>18</v>
      </c>
      <c r="T155" s="43"/>
      <c r="AA155"/>
    </row>
    <row r="156" spans="1:27" ht="38.75" x14ac:dyDescent="0.2">
      <c r="A156" s="12" t="s">
        <v>895</v>
      </c>
      <c r="B156" s="12" t="s">
        <v>896</v>
      </c>
      <c r="C156" s="37" t="s">
        <v>897</v>
      </c>
      <c r="D156" s="12" t="s">
        <v>898</v>
      </c>
      <c r="E156" s="8" t="s">
        <v>899</v>
      </c>
      <c r="F156" s="8" t="s">
        <v>153</v>
      </c>
      <c r="G156" s="8" t="str">
        <f t="shared" si="4"/>
        <v>S1-00246</v>
      </c>
      <c r="H156" s="52" t="e">
        <f>VLOOKUP(G156,#REF!, 2)</f>
        <v>#REF!</v>
      </c>
      <c r="I156" s="52" t="e">
        <f>VLOOKUP(G156,#REF!, 4)</f>
        <v>#REF!</v>
      </c>
      <c r="J156" s="22" t="s">
        <v>613</v>
      </c>
      <c r="K156" s="22" t="s">
        <v>2732</v>
      </c>
      <c r="L156" s="18"/>
      <c r="M156" s="18"/>
      <c r="N156" s="18"/>
      <c r="O156" s="18"/>
      <c r="P156" s="18" t="e">
        <f t="shared" si="5"/>
        <v>#REF!</v>
      </c>
      <c r="Q156" s="19" t="e">
        <f>IF(R156=0,VLOOKUP(G156,#REF!, 3),R156)</f>
        <v>#REF!</v>
      </c>
      <c r="R156" s="13" t="e">
        <f>VLOOKUP(G156,#REF!, 5)</f>
        <v>#REF!</v>
      </c>
      <c r="S156" s="18" t="s">
        <v>18</v>
      </c>
      <c r="T156" s="43"/>
      <c r="AA156"/>
    </row>
    <row r="157" spans="1:27" ht="38.75" x14ac:dyDescent="0.2">
      <c r="A157" s="12" t="s">
        <v>895</v>
      </c>
      <c r="B157" s="12" t="s">
        <v>900</v>
      </c>
      <c r="C157" s="37" t="s">
        <v>901</v>
      </c>
      <c r="D157" s="12" t="s">
        <v>902</v>
      </c>
      <c r="E157" s="8" t="s">
        <v>899</v>
      </c>
      <c r="F157" s="8" t="s">
        <v>153</v>
      </c>
      <c r="G157" s="8" t="str">
        <f t="shared" si="4"/>
        <v>S1-00247</v>
      </c>
      <c r="H157" s="52" t="e">
        <f>VLOOKUP(G157,#REF!, 2)</f>
        <v>#REF!</v>
      </c>
      <c r="I157" s="52" t="e">
        <f>VLOOKUP(G157,#REF!, 4)</f>
        <v>#REF!</v>
      </c>
      <c r="J157" s="22" t="s">
        <v>613</v>
      </c>
      <c r="K157" s="22" t="s">
        <v>2732</v>
      </c>
      <c r="L157" s="18"/>
      <c r="M157" s="18"/>
      <c r="N157" s="18"/>
      <c r="O157" s="18"/>
      <c r="P157" s="18" t="e">
        <f t="shared" si="5"/>
        <v>#REF!</v>
      </c>
      <c r="Q157" s="19" t="e">
        <f>IF(R157=0,VLOOKUP(G157,#REF!, 3),R157)</f>
        <v>#REF!</v>
      </c>
      <c r="R157" s="13" t="e">
        <f>VLOOKUP(G157,#REF!, 5)</f>
        <v>#REF!</v>
      </c>
      <c r="S157" s="18" t="s">
        <v>18</v>
      </c>
      <c r="T157" s="43"/>
      <c r="AA157"/>
    </row>
    <row r="158" spans="1:27" ht="51.65" x14ac:dyDescent="0.2">
      <c r="A158" s="12" t="s">
        <v>903</v>
      </c>
      <c r="B158" s="12" t="s">
        <v>904</v>
      </c>
      <c r="C158" s="37" t="s">
        <v>905</v>
      </c>
      <c r="D158" s="12" t="s">
        <v>906</v>
      </c>
      <c r="E158" s="8" t="s">
        <v>907</v>
      </c>
      <c r="F158" s="8" t="s">
        <v>153</v>
      </c>
      <c r="G158" s="8" t="str">
        <f t="shared" si="4"/>
        <v>S1-00248</v>
      </c>
      <c r="H158" s="52" t="e">
        <f>VLOOKUP(G158,#REF!, 2)</f>
        <v>#REF!</v>
      </c>
      <c r="I158" s="52" t="e">
        <f>VLOOKUP(G158,#REF!, 4)</f>
        <v>#REF!</v>
      </c>
      <c r="J158" s="22" t="s">
        <v>613</v>
      </c>
      <c r="K158" s="22" t="s">
        <v>2732</v>
      </c>
      <c r="L158" s="18"/>
      <c r="M158" s="18"/>
      <c r="N158" s="18"/>
      <c r="O158" s="18"/>
      <c r="P158" s="18" t="e">
        <f t="shared" si="5"/>
        <v>#REF!</v>
      </c>
      <c r="Q158" s="19" t="e">
        <f>IF(R158=0,VLOOKUP(G158,#REF!, 3),R158)</f>
        <v>#REF!</v>
      </c>
      <c r="R158" s="13" t="e">
        <f>VLOOKUP(G158,#REF!, 5)</f>
        <v>#REF!</v>
      </c>
      <c r="S158" s="18" t="s">
        <v>18</v>
      </c>
      <c r="T158" s="43"/>
      <c r="AA158"/>
    </row>
    <row r="159" spans="1:27" ht="51.65" x14ac:dyDescent="0.2">
      <c r="A159" s="12" t="s">
        <v>903</v>
      </c>
      <c r="B159" s="12" t="s">
        <v>908</v>
      </c>
      <c r="C159" s="37" t="s">
        <v>909</v>
      </c>
      <c r="D159" s="12" t="s">
        <v>910</v>
      </c>
      <c r="E159" s="8" t="s">
        <v>907</v>
      </c>
      <c r="F159" s="8" t="s">
        <v>153</v>
      </c>
      <c r="G159" s="8" t="str">
        <f t="shared" si="4"/>
        <v>S1-00249</v>
      </c>
      <c r="H159" s="52" t="e">
        <f>VLOOKUP(G159,#REF!, 2)</f>
        <v>#REF!</v>
      </c>
      <c r="I159" s="52" t="e">
        <f>VLOOKUP(G159,#REF!, 4)</f>
        <v>#REF!</v>
      </c>
      <c r="J159" s="22" t="s">
        <v>613</v>
      </c>
      <c r="K159" s="22" t="s">
        <v>2732</v>
      </c>
      <c r="L159" s="18" t="s">
        <v>2734</v>
      </c>
      <c r="M159" s="18"/>
      <c r="N159" s="18"/>
      <c r="O159" s="35"/>
      <c r="P159" s="18" t="e">
        <f t="shared" si="5"/>
        <v>#REF!</v>
      </c>
      <c r="Q159" s="19" t="e">
        <f>IF(R159=0,VLOOKUP(G159,#REF!, 3),R159)</f>
        <v>#REF!</v>
      </c>
      <c r="R159" s="13" t="e">
        <f>VLOOKUP(G159,#REF!, 5)</f>
        <v>#REF!</v>
      </c>
      <c r="S159" s="18" t="s">
        <v>18</v>
      </c>
      <c r="T159" s="43"/>
      <c r="AA159"/>
    </row>
    <row r="160" spans="1:27" ht="409.6" x14ac:dyDescent="0.2">
      <c r="A160" s="12" t="s">
        <v>911</v>
      </c>
      <c r="B160" s="12" t="s">
        <v>912</v>
      </c>
      <c r="C160" s="37" t="s">
        <v>913</v>
      </c>
      <c r="D160" s="12" t="s">
        <v>914</v>
      </c>
      <c r="E160" s="8" t="s">
        <v>915</v>
      </c>
      <c r="F160" s="8" t="s">
        <v>916</v>
      </c>
      <c r="G160" s="8" t="str">
        <f t="shared" si="4"/>
        <v>S1-00251</v>
      </c>
      <c r="H160" s="52" t="e">
        <f>VLOOKUP(G160,#REF!, 2)</f>
        <v>#REF!</v>
      </c>
      <c r="I160" s="52" t="e">
        <f>VLOOKUP(G160,#REF!, 4)</f>
        <v>#REF!</v>
      </c>
      <c r="J160" s="22" t="s">
        <v>917</v>
      </c>
      <c r="K160" s="22" t="s">
        <v>2735</v>
      </c>
      <c r="L160" s="18" t="s">
        <v>2736</v>
      </c>
      <c r="M160" s="19" t="s">
        <v>2737</v>
      </c>
      <c r="N160" s="18"/>
      <c r="O160" s="18"/>
      <c r="P160" s="18" t="e">
        <f t="shared" si="5"/>
        <v>#REF!</v>
      </c>
      <c r="Q160" s="19" t="e">
        <f>IF(R160=0,VLOOKUP(G160,#REF!, 3),R160)</f>
        <v>#REF!</v>
      </c>
      <c r="R160" s="13" t="e">
        <f>VLOOKUP(G160,#REF!, 5)</f>
        <v>#REF!</v>
      </c>
      <c r="S160" s="18" t="s">
        <v>18</v>
      </c>
      <c r="T160" s="43"/>
      <c r="U160" s="4" t="s">
        <v>2321</v>
      </c>
      <c r="V160" s="12" t="s">
        <v>2700</v>
      </c>
      <c r="AA160"/>
    </row>
    <row r="161" spans="1:27" ht="245.75" customHeight="1" x14ac:dyDescent="0.2">
      <c r="A161" s="12" t="s">
        <v>918</v>
      </c>
      <c r="B161" s="12" t="s">
        <v>919</v>
      </c>
      <c r="C161" s="37" t="s">
        <v>920</v>
      </c>
      <c r="D161" s="12" t="s">
        <v>914</v>
      </c>
      <c r="E161" s="8" t="s">
        <v>921</v>
      </c>
      <c r="F161" s="8" t="s">
        <v>922</v>
      </c>
      <c r="G161" s="8" t="str">
        <f t="shared" si="4"/>
        <v>S1-00252</v>
      </c>
      <c r="H161" s="52" t="e">
        <f>VLOOKUP(G161,#REF!, 2)</f>
        <v>#REF!</v>
      </c>
      <c r="I161" s="52" t="e">
        <f>VLOOKUP(G161,#REF!, 4)</f>
        <v>#REF!</v>
      </c>
      <c r="J161" s="22" t="s">
        <v>923</v>
      </c>
      <c r="K161" s="22" t="s">
        <v>2345</v>
      </c>
      <c r="L161" s="18" t="s">
        <v>2738</v>
      </c>
      <c r="M161" s="18"/>
      <c r="N161" s="18"/>
      <c r="O161" s="18"/>
      <c r="P161" s="18" t="e">
        <f t="shared" si="5"/>
        <v>#REF!</v>
      </c>
      <c r="Q161" s="19" t="e">
        <f>IF(R161=0,VLOOKUP(G161,#REF!, 3),R161)</f>
        <v>#REF!</v>
      </c>
      <c r="R161" s="13" t="e">
        <f>VLOOKUP(G161,#REF!, 5)</f>
        <v>#REF!</v>
      </c>
      <c r="S161" s="18" t="s">
        <v>18</v>
      </c>
      <c r="T161" s="43"/>
      <c r="V161" s="12" t="s">
        <v>2700</v>
      </c>
      <c r="AA161"/>
    </row>
    <row r="162" spans="1:27" ht="144" customHeight="1" x14ac:dyDescent="0.2">
      <c r="A162" s="12" t="s">
        <v>924</v>
      </c>
      <c r="B162" s="12" t="s">
        <v>925</v>
      </c>
      <c r="C162" s="37" t="s">
        <v>926</v>
      </c>
      <c r="D162" s="12" t="s">
        <v>927</v>
      </c>
      <c r="E162" s="8" t="s">
        <v>928</v>
      </c>
      <c r="F162" s="8" t="s">
        <v>694</v>
      </c>
      <c r="G162" s="8" t="str">
        <f t="shared" si="4"/>
        <v>S1-00253</v>
      </c>
      <c r="H162" s="52" t="e">
        <f>VLOOKUP(G162,#REF!, 2)</f>
        <v>#REF!</v>
      </c>
      <c r="I162" s="52" t="e">
        <f>VLOOKUP(G162,#REF!, 4)</f>
        <v>#REF!</v>
      </c>
      <c r="J162" s="22" t="s">
        <v>929</v>
      </c>
      <c r="K162" s="22" t="s">
        <v>2345</v>
      </c>
      <c r="L162" s="18" t="s">
        <v>2739</v>
      </c>
      <c r="M162" s="18"/>
      <c r="N162" s="18"/>
      <c r="O162" s="35"/>
      <c r="P162" s="18" t="e">
        <f t="shared" si="5"/>
        <v>#REF!</v>
      </c>
      <c r="Q162" s="19" t="e">
        <f>IF(R162=0,VLOOKUP(G162,#REF!, 3),R162)</f>
        <v>#REF!</v>
      </c>
      <c r="R162" s="13" t="e">
        <f>VLOOKUP(G162,#REF!, 5)</f>
        <v>#REF!</v>
      </c>
      <c r="S162" s="18" t="s">
        <v>18</v>
      </c>
      <c r="T162" s="43"/>
      <c r="V162" s="12" t="s">
        <v>2700</v>
      </c>
      <c r="AA162"/>
    </row>
    <row r="163" spans="1:27" ht="122.95" customHeight="1" x14ac:dyDescent="0.2">
      <c r="A163" s="12" t="s">
        <v>930</v>
      </c>
      <c r="B163" s="12" t="s">
        <v>931</v>
      </c>
      <c r="C163" s="37" t="s">
        <v>932</v>
      </c>
      <c r="D163" s="12" t="s">
        <v>914</v>
      </c>
      <c r="E163" s="8" t="s">
        <v>928</v>
      </c>
      <c r="F163" s="8" t="s">
        <v>922</v>
      </c>
      <c r="G163" s="8" t="str">
        <f t="shared" si="4"/>
        <v>S1-00254</v>
      </c>
      <c r="H163" s="52" t="e">
        <f>VLOOKUP(G163,#REF!, 2)</f>
        <v>#REF!</v>
      </c>
      <c r="I163" s="52" t="e">
        <f>VLOOKUP(G163,#REF!, 4)</f>
        <v>#REF!</v>
      </c>
      <c r="J163" s="22" t="s">
        <v>929</v>
      </c>
      <c r="K163" s="22" t="s">
        <v>2345</v>
      </c>
      <c r="L163" s="18" t="s">
        <v>2740</v>
      </c>
      <c r="M163" s="18"/>
      <c r="N163" s="18"/>
      <c r="O163" s="35"/>
      <c r="P163" s="18" t="e">
        <f t="shared" si="5"/>
        <v>#REF!</v>
      </c>
      <c r="Q163" s="19" t="e">
        <f>IF(R163=0,VLOOKUP(G163,#REF!, 3),R163)</f>
        <v>#REF!</v>
      </c>
      <c r="R163" s="13" t="e">
        <f>VLOOKUP(G163,#REF!, 5)</f>
        <v>#REF!</v>
      </c>
      <c r="S163" s="18" t="s">
        <v>18</v>
      </c>
      <c r="T163" s="43"/>
      <c r="V163" s="12" t="s">
        <v>2700</v>
      </c>
      <c r="AA163"/>
    </row>
    <row r="164" spans="1:27" ht="161.5" customHeight="1" x14ac:dyDescent="0.2">
      <c r="A164" s="12" t="s">
        <v>933</v>
      </c>
      <c r="B164" s="12" t="s">
        <v>934</v>
      </c>
      <c r="C164" s="37" t="s">
        <v>935</v>
      </c>
      <c r="D164" s="12" t="s">
        <v>936</v>
      </c>
      <c r="E164" s="8" t="s">
        <v>937</v>
      </c>
      <c r="F164" s="8" t="s">
        <v>694</v>
      </c>
      <c r="G164" s="8" t="str">
        <f t="shared" si="4"/>
        <v>S1-00255</v>
      </c>
      <c r="H164" s="52" t="e">
        <f>VLOOKUP(G164,#REF!, 2)</f>
        <v>#REF!</v>
      </c>
      <c r="I164" s="52" t="e">
        <f>VLOOKUP(G164,#REF!, 4)</f>
        <v>#REF!</v>
      </c>
      <c r="J164" s="22" t="s">
        <v>929</v>
      </c>
      <c r="K164" s="22" t="s">
        <v>2345</v>
      </c>
      <c r="L164" s="18" t="s">
        <v>2741</v>
      </c>
      <c r="M164" s="18"/>
      <c r="N164" s="18"/>
      <c r="O164" s="35"/>
      <c r="P164" s="18" t="e">
        <f t="shared" si="5"/>
        <v>#REF!</v>
      </c>
      <c r="Q164" s="19" t="e">
        <f>IF(R164=0,VLOOKUP(G164,#REF!, 3),R164)</f>
        <v>#REF!</v>
      </c>
      <c r="R164" s="13" t="e">
        <f>VLOOKUP(G164,#REF!, 5)</f>
        <v>#REF!</v>
      </c>
      <c r="S164" s="18" t="s">
        <v>18</v>
      </c>
      <c r="T164" s="43"/>
      <c r="V164" s="12" t="s">
        <v>2700</v>
      </c>
      <c r="AA164"/>
    </row>
    <row r="165" spans="1:27" ht="225.7" customHeight="1" x14ac:dyDescent="0.2">
      <c r="A165" s="12" t="s">
        <v>938</v>
      </c>
      <c r="B165" s="12" t="s">
        <v>939</v>
      </c>
      <c r="C165" s="37" t="s">
        <v>940</v>
      </c>
      <c r="D165" s="12" t="s">
        <v>914</v>
      </c>
      <c r="E165" s="8" t="s">
        <v>937</v>
      </c>
      <c r="F165" s="8" t="s">
        <v>922</v>
      </c>
      <c r="G165" s="8" t="str">
        <f t="shared" si="4"/>
        <v>S1-00256</v>
      </c>
      <c r="H165" s="52" t="e">
        <f>VLOOKUP(G165,#REF!, 2)</f>
        <v>#REF!</v>
      </c>
      <c r="I165" s="52" t="e">
        <f>VLOOKUP(G165,#REF!, 4)</f>
        <v>#REF!</v>
      </c>
      <c r="J165" s="22" t="s">
        <v>929</v>
      </c>
      <c r="K165" s="22" t="s">
        <v>2345</v>
      </c>
      <c r="L165" s="18" t="s">
        <v>2742</v>
      </c>
      <c r="M165" s="18"/>
      <c r="N165" s="18"/>
      <c r="O165" s="35"/>
      <c r="P165" s="18" t="e">
        <f t="shared" si="5"/>
        <v>#REF!</v>
      </c>
      <c r="Q165" s="19" t="e">
        <f>IF(R165=0,VLOOKUP(G165,#REF!, 3),R165)</f>
        <v>#REF!</v>
      </c>
      <c r="R165" s="13" t="e">
        <f>VLOOKUP(G165,#REF!, 5)</f>
        <v>#REF!</v>
      </c>
      <c r="S165" s="18" t="s">
        <v>18</v>
      </c>
      <c r="T165" s="43"/>
      <c r="V165" s="12" t="s">
        <v>2700</v>
      </c>
      <c r="AA165"/>
    </row>
    <row r="166" spans="1:27" ht="173.75" customHeight="1" x14ac:dyDescent="0.2">
      <c r="A166" s="12" t="s">
        <v>941</v>
      </c>
      <c r="B166" s="12" t="s">
        <v>942</v>
      </c>
      <c r="C166" s="37" t="s">
        <v>943</v>
      </c>
      <c r="D166" s="12" t="s">
        <v>944</v>
      </c>
      <c r="E166" s="8" t="s">
        <v>945</v>
      </c>
      <c r="F166" s="8" t="s">
        <v>694</v>
      </c>
      <c r="G166" s="8" t="str">
        <f t="shared" si="4"/>
        <v>S1-00260</v>
      </c>
      <c r="H166" s="52" t="e">
        <f>VLOOKUP(G166,#REF!, 2)</f>
        <v>#REF!</v>
      </c>
      <c r="I166" s="52" t="e">
        <f>VLOOKUP(G166,#REF!, 4)</f>
        <v>#REF!</v>
      </c>
      <c r="J166" s="22" t="s">
        <v>946</v>
      </c>
      <c r="K166" s="22" t="s">
        <v>2743</v>
      </c>
      <c r="L166" s="18" t="s">
        <v>2744</v>
      </c>
      <c r="M166" s="18"/>
      <c r="N166" s="18"/>
      <c r="O166" s="18"/>
      <c r="P166" s="18" t="e">
        <f t="shared" si="5"/>
        <v>#REF!</v>
      </c>
      <c r="Q166" s="19" t="e">
        <f>IF(R166=0,VLOOKUP(G166,#REF!, 3),R166)</f>
        <v>#REF!</v>
      </c>
      <c r="R166" s="13" t="e">
        <f>VLOOKUP(G166,#REF!, 5)</f>
        <v>#REF!</v>
      </c>
      <c r="S166" s="18" t="s">
        <v>18</v>
      </c>
      <c r="T166" s="43" t="s">
        <v>2745</v>
      </c>
      <c r="V166" s="12" t="s">
        <v>2700</v>
      </c>
      <c r="AA166"/>
    </row>
    <row r="167" spans="1:27" ht="123.65" customHeight="1" x14ac:dyDescent="0.2">
      <c r="A167" s="12" t="s">
        <v>947</v>
      </c>
      <c r="B167" s="12" t="s">
        <v>948</v>
      </c>
      <c r="C167" s="37" t="s">
        <v>949</v>
      </c>
      <c r="D167" s="12" t="s">
        <v>914</v>
      </c>
      <c r="E167" s="8" t="s">
        <v>945</v>
      </c>
      <c r="F167" s="8" t="s">
        <v>922</v>
      </c>
      <c r="G167" s="8" t="str">
        <f t="shared" si="4"/>
        <v>S1-00261</v>
      </c>
      <c r="H167" s="52" t="e">
        <f>VLOOKUP(G167,#REF!, 2)</f>
        <v>#REF!</v>
      </c>
      <c r="I167" s="52" t="e">
        <f>VLOOKUP(G167,#REF!, 4)</f>
        <v>#REF!</v>
      </c>
      <c r="J167" s="22" t="s">
        <v>946</v>
      </c>
      <c r="K167" s="22" t="s">
        <v>2743</v>
      </c>
      <c r="L167" s="18" t="s">
        <v>2746</v>
      </c>
      <c r="M167" s="18"/>
      <c r="N167" s="18"/>
      <c r="O167" s="35"/>
      <c r="P167" s="18" t="e">
        <f t="shared" si="5"/>
        <v>#REF!</v>
      </c>
      <c r="Q167" s="19" t="e">
        <f>IF(R167=0,VLOOKUP(G167,#REF!, 3),R167)</f>
        <v>#REF!</v>
      </c>
      <c r="R167" s="13" t="e">
        <f>VLOOKUP(G167,#REF!, 5)</f>
        <v>#REF!</v>
      </c>
      <c r="S167" s="18" t="s">
        <v>18</v>
      </c>
      <c r="T167" s="43" t="s">
        <v>2745</v>
      </c>
      <c r="V167" s="12" t="s">
        <v>2700</v>
      </c>
      <c r="AA167"/>
    </row>
    <row r="168" spans="1:27" ht="195.65" customHeight="1" x14ac:dyDescent="0.2">
      <c r="A168" s="12" t="s">
        <v>950</v>
      </c>
      <c r="B168" s="12" t="s">
        <v>951</v>
      </c>
      <c r="C168" s="37" t="s">
        <v>952</v>
      </c>
      <c r="D168" s="12" t="s">
        <v>953</v>
      </c>
      <c r="E168" s="8" t="s">
        <v>945</v>
      </c>
      <c r="F168" s="8" t="s">
        <v>954</v>
      </c>
      <c r="G168" s="8" t="str">
        <f t="shared" si="4"/>
        <v>S1-00262</v>
      </c>
      <c r="H168" s="52" t="e">
        <f>VLOOKUP(G168,#REF!, 2)</f>
        <v>#REF!</v>
      </c>
      <c r="I168" s="52" t="e">
        <f>VLOOKUP(G168,#REF!, 4)</f>
        <v>#REF!</v>
      </c>
      <c r="J168" s="22" t="s">
        <v>946</v>
      </c>
      <c r="K168" s="22" t="s">
        <v>2747</v>
      </c>
      <c r="L168" s="18" t="s">
        <v>2748</v>
      </c>
      <c r="M168" s="18"/>
      <c r="N168" s="18"/>
      <c r="O168" s="35"/>
      <c r="P168" s="18" t="e">
        <f t="shared" si="5"/>
        <v>#REF!</v>
      </c>
      <c r="Q168" s="19" t="e">
        <f>IF(R168=0,VLOOKUP(G168,#REF!, 3),R168)</f>
        <v>#REF!</v>
      </c>
      <c r="R168" s="13" t="e">
        <f>VLOOKUP(G168,#REF!, 5)</f>
        <v>#REF!</v>
      </c>
      <c r="S168" s="18" t="s">
        <v>18</v>
      </c>
      <c r="T168" s="43" t="s">
        <v>2745</v>
      </c>
      <c r="V168" s="12" t="s">
        <v>2700</v>
      </c>
      <c r="AA168"/>
    </row>
    <row r="169" spans="1:27" ht="206.15" customHeight="1" x14ac:dyDescent="0.2">
      <c r="A169" s="12" t="s">
        <v>955</v>
      </c>
      <c r="B169" s="12" t="s">
        <v>956</v>
      </c>
      <c r="C169" s="37" t="s">
        <v>957</v>
      </c>
      <c r="D169" s="12" t="s">
        <v>958</v>
      </c>
      <c r="E169" s="8" t="s">
        <v>959</v>
      </c>
      <c r="F169" s="8" t="s">
        <v>960</v>
      </c>
      <c r="G169" s="8" t="str">
        <f t="shared" si="4"/>
        <v>S1-00263</v>
      </c>
      <c r="H169" s="52" t="e">
        <f>VLOOKUP(G169,#REF!, 2)</f>
        <v>#REF!</v>
      </c>
      <c r="I169" s="52" t="e">
        <f>VLOOKUP(G169,#REF!, 4)</f>
        <v>#REF!</v>
      </c>
      <c r="J169" s="22" t="s">
        <v>961</v>
      </c>
      <c r="K169" s="22" t="s">
        <v>2345</v>
      </c>
      <c r="L169" s="18" t="s">
        <v>2749</v>
      </c>
      <c r="M169" s="18"/>
      <c r="N169" s="18"/>
      <c r="O169" s="35"/>
      <c r="P169" s="18" t="e">
        <f t="shared" si="5"/>
        <v>#REF!</v>
      </c>
      <c r="Q169" s="19" t="e">
        <f>IF(R169=0,VLOOKUP(G169,#REF!, 3),R169)</f>
        <v>#REF!</v>
      </c>
      <c r="R169" s="13" t="e">
        <f>VLOOKUP(G169,#REF!, 5)</f>
        <v>#REF!</v>
      </c>
      <c r="S169" s="18" t="s">
        <v>18</v>
      </c>
      <c r="T169" s="43"/>
      <c r="V169" s="12" t="s">
        <v>2700</v>
      </c>
      <c r="AA169"/>
    </row>
    <row r="170" spans="1:27" ht="306.7" customHeight="1" x14ac:dyDescent="0.2">
      <c r="A170" s="12" t="s">
        <v>955</v>
      </c>
      <c r="B170" s="12" t="s">
        <v>962</v>
      </c>
      <c r="C170" s="37" t="s">
        <v>963</v>
      </c>
      <c r="D170" s="12" t="s">
        <v>964</v>
      </c>
      <c r="E170" s="8" t="s">
        <v>959</v>
      </c>
      <c r="F170" s="8" t="s">
        <v>960</v>
      </c>
      <c r="G170" s="8" t="str">
        <f t="shared" si="4"/>
        <v>S1-00264</v>
      </c>
      <c r="H170" s="52" t="e">
        <f>VLOOKUP(G170,#REF!, 2)</f>
        <v>#REF!</v>
      </c>
      <c r="I170" s="52" t="e">
        <f>VLOOKUP(G170,#REF!, 4)</f>
        <v>#REF!</v>
      </c>
      <c r="J170" s="22" t="s">
        <v>961</v>
      </c>
      <c r="K170" s="22" t="s">
        <v>2345</v>
      </c>
      <c r="L170" s="18" t="s">
        <v>2750</v>
      </c>
      <c r="M170" s="18"/>
      <c r="N170" s="18"/>
      <c r="O170" s="35"/>
      <c r="P170" s="18" t="e">
        <f t="shared" si="5"/>
        <v>#REF!</v>
      </c>
      <c r="Q170" s="19" t="e">
        <f>IF(R170=0,VLOOKUP(G170,#REF!, 3),R170)</f>
        <v>#REF!</v>
      </c>
      <c r="R170" s="13" t="e">
        <f>VLOOKUP(G170,#REF!, 5)</f>
        <v>#REF!</v>
      </c>
      <c r="S170" s="18" t="s">
        <v>18</v>
      </c>
      <c r="T170" s="43"/>
      <c r="V170" s="12" t="s">
        <v>2700</v>
      </c>
      <c r="AA170"/>
    </row>
    <row r="171" spans="1:27" ht="168.65" customHeight="1" x14ac:dyDescent="0.2">
      <c r="A171" s="12" t="s">
        <v>965</v>
      </c>
      <c r="B171" s="12" t="s">
        <v>966</v>
      </c>
      <c r="C171" s="37" t="s">
        <v>967</v>
      </c>
      <c r="D171" s="12" t="s">
        <v>968</v>
      </c>
      <c r="E171" s="8" t="s">
        <v>969</v>
      </c>
      <c r="F171" s="8" t="s">
        <v>246</v>
      </c>
      <c r="G171" s="8" t="str">
        <f t="shared" si="4"/>
        <v>S1-00561</v>
      </c>
      <c r="H171" s="52" t="e">
        <f>VLOOKUP(G171,#REF!, 2)</f>
        <v>#REF!</v>
      </c>
      <c r="I171" s="52" t="e">
        <f>VLOOKUP(G171,#REF!, 4)</f>
        <v>#REF!</v>
      </c>
      <c r="J171" s="22" t="s">
        <v>970</v>
      </c>
      <c r="K171" s="22" t="s">
        <v>2751</v>
      </c>
      <c r="L171" s="22" t="s">
        <v>2752</v>
      </c>
      <c r="M171" s="19" t="s">
        <v>2753</v>
      </c>
      <c r="N171" s="18"/>
      <c r="O171" s="18"/>
      <c r="P171" s="18" t="e">
        <f t="shared" si="5"/>
        <v>#REF!</v>
      </c>
      <c r="Q171" s="19" t="e">
        <f>IF(R171=0,VLOOKUP(G171,#REF!, 3),R171)</f>
        <v>#REF!</v>
      </c>
      <c r="R171" s="13" t="e">
        <f>VLOOKUP(G171,#REF!, 5)</f>
        <v>#REF!</v>
      </c>
      <c r="S171" s="18" t="s">
        <v>18</v>
      </c>
      <c r="T171" s="43" t="s">
        <v>2754</v>
      </c>
      <c r="U171" s="4" t="s">
        <v>2299</v>
      </c>
      <c r="AA171"/>
    </row>
    <row r="172" spans="1:27" ht="64.55" x14ac:dyDescent="0.2">
      <c r="A172" s="12" t="s">
        <v>971</v>
      </c>
      <c r="B172" s="12" t="s">
        <v>972</v>
      </c>
      <c r="C172" s="37" t="s">
        <v>973</v>
      </c>
      <c r="D172" s="12" t="s">
        <v>974</v>
      </c>
      <c r="E172" s="8" t="s">
        <v>975</v>
      </c>
      <c r="F172" s="8" t="s">
        <v>66</v>
      </c>
      <c r="G172" s="8" t="str">
        <f t="shared" si="4"/>
        <v>S1-00267</v>
      </c>
      <c r="H172" s="52" t="e">
        <f>VLOOKUP(G172,#REF!, 2)</f>
        <v>#REF!</v>
      </c>
      <c r="I172" s="52" t="e">
        <f>VLOOKUP(G172,#REF!, 4)</f>
        <v>#REF!</v>
      </c>
      <c r="J172" s="22" t="s">
        <v>970</v>
      </c>
      <c r="K172" s="22" t="s">
        <v>2345</v>
      </c>
      <c r="L172" s="18"/>
      <c r="M172" s="18"/>
      <c r="N172" s="18"/>
      <c r="O172" s="18"/>
      <c r="P172" s="18" t="e">
        <f t="shared" si="5"/>
        <v>#REF!</v>
      </c>
      <c r="Q172" s="19" t="e">
        <f>IF(R172=0,VLOOKUP(G172,#REF!, 3),R172)</f>
        <v>#REF!</v>
      </c>
      <c r="R172" s="13" t="e">
        <f>VLOOKUP(G172,#REF!, 5)</f>
        <v>#REF!</v>
      </c>
      <c r="S172" s="18" t="s">
        <v>18</v>
      </c>
      <c r="T172" s="43"/>
      <c r="AA172"/>
    </row>
    <row r="173" spans="1:27" ht="116.15" customHeight="1" x14ac:dyDescent="0.2">
      <c r="A173" s="12" t="s">
        <v>971</v>
      </c>
      <c r="B173" s="12" t="s">
        <v>976</v>
      </c>
      <c r="C173" s="37" t="s">
        <v>977</v>
      </c>
      <c r="D173" s="12" t="s">
        <v>978</v>
      </c>
      <c r="E173" s="8" t="s">
        <v>975</v>
      </c>
      <c r="F173" s="8" t="s">
        <v>66</v>
      </c>
      <c r="G173" s="8" t="str">
        <f t="shared" si="4"/>
        <v>S1-00268</v>
      </c>
      <c r="H173" s="52" t="e">
        <f>VLOOKUP(G173,#REF!, 2)</f>
        <v>#REF!</v>
      </c>
      <c r="I173" s="52" t="e">
        <f>VLOOKUP(G173,#REF!, 4)</f>
        <v>#REF!</v>
      </c>
      <c r="J173" s="22" t="s">
        <v>970</v>
      </c>
      <c r="K173" s="22" t="s">
        <v>2345</v>
      </c>
      <c r="L173" s="18"/>
      <c r="M173" s="18"/>
      <c r="N173" s="18"/>
      <c r="O173" s="18"/>
      <c r="P173" s="18" t="e">
        <f t="shared" si="5"/>
        <v>#REF!</v>
      </c>
      <c r="Q173" s="19" t="e">
        <f>IF(R173=0,VLOOKUP(G173,#REF!, 3),R173)</f>
        <v>#REF!</v>
      </c>
      <c r="R173" s="13" t="e">
        <f>VLOOKUP(G173,#REF!, 5)</f>
        <v>#REF!</v>
      </c>
      <c r="S173" s="18" t="s">
        <v>18</v>
      </c>
      <c r="T173" s="43"/>
      <c r="AA173"/>
    </row>
    <row r="174" spans="1:27" ht="38.75" x14ac:dyDescent="0.2">
      <c r="A174" s="12" t="s">
        <v>971</v>
      </c>
      <c r="B174" s="12" t="s">
        <v>979</v>
      </c>
      <c r="C174" s="37" t="s">
        <v>980</v>
      </c>
      <c r="D174" s="12" t="s">
        <v>981</v>
      </c>
      <c r="E174" s="8" t="s">
        <v>975</v>
      </c>
      <c r="F174" s="8" t="s">
        <v>66</v>
      </c>
      <c r="G174" s="8" t="str">
        <f t="shared" si="4"/>
        <v>S1-00269</v>
      </c>
      <c r="H174" s="52" t="e">
        <f>VLOOKUP(G174,#REF!, 2)</f>
        <v>#REF!</v>
      </c>
      <c r="I174" s="52" t="e">
        <f>VLOOKUP(G174,#REF!, 4)</f>
        <v>#REF!</v>
      </c>
      <c r="J174" s="22" t="s">
        <v>970</v>
      </c>
      <c r="K174" s="22" t="s">
        <v>2345</v>
      </c>
      <c r="L174" s="18"/>
      <c r="M174" s="18"/>
      <c r="N174" s="18"/>
      <c r="O174" s="18"/>
      <c r="P174" s="18" t="e">
        <f t="shared" si="5"/>
        <v>#REF!</v>
      </c>
      <c r="Q174" s="19" t="e">
        <f>IF(R174=0,VLOOKUP(G174,#REF!, 3),R174)</f>
        <v>#REF!</v>
      </c>
      <c r="R174" s="13" t="e">
        <f>VLOOKUP(G174,#REF!, 5)</f>
        <v>#REF!</v>
      </c>
      <c r="S174" s="18" t="s">
        <v>18</v>
      </c>
      <c r="T174" s="43"/>
      <c r="AA174"/>
    </row>
    <row r="175" spans="1:27" ht="59.45" customHeight="1" x14ac:dyDescent="0.2">
      <c r="A175" s="12" t="s">
        <v>982</v>
      </c>
      <c r="B175" s="12" t="s">
        <v>983</v>
      </c>
      <c r="C175" s="51" t="s">
        <v>984</v>
      </c>
      <c r="D175" s="39" t="s">
        <v>985</v>
      </c>
      <c r="E175" s="10" t="s">
        <v>975</v>
      </c>
      <c r="F175" s="10" t="s">
        <v>153</v>
      </c>
      <c r="G175" s="8" t="str">
        <f t="shared" si="4"/>
        <v>S1-00270</v>
      </c>
      <c r="H175" s="52" t="e">
        <f>VLOOKUP(G175,#REF!, 2)</f>
        <v>#REF!</v>
      </c>
      <c r="I175" s="52" t="e">
        <f>VLOOKUP(G175,#REF!, 4)</f>
        <v>#REF!</v>
      </c>
      <c r="J175" s="22" t="s">
        <v>970</v>
      </c>
      <c r="K175" s="22" t="s">
        <v>2345</v>
      </c>
      <c r="L175" s="18"/>
      <c r="M175" s="18"/>
      <c r="N175" s="18"/>
      <c r="O175" s="18"/>
      <c r="P175" s="18" t="e">
        <f t="shared" si="5"/>
        <v>#REF!</v>
      </c>
      <c r="Q175" s="19" t="e">
        <f>IF(R175=0,VLOOKUP(G175,#REF!, 3),R175)</f>
        <v>#REF!</v>
      </c>
      <c r="R175" s="13" t="e">
        <f>VLOOKUP(G175,#REF!, 5)</f>
        <v>#REF!</v>
      </c>
      <c r="S175" s="18" t="s">
        <v>18</v>
      </c>
      <c r="T175" s="43"/>
      <c r="AA175"/>
    </row>
    <row r="176" spans="1:27" ht="38.75" x14ac:dyDescent="0.2">
      <c r="A176" s="12" t="s">
        <v>982</v>
      </c>
      <c r="B176" s="12" t="s">
        <v>986</v>
      </c>
      <c r="C176" s="37" t="s">
        <v>987</v>
      </c>
      <c r="D176" s="12" t="s">
        <v>988</v>
      </c>
      <c r="E176" s="8" t="s">
        <v>975</v>
      </c>
      <c r="F176" s="8" t="s">
        <v>153</v>
      </c>
      <c r="G176" s="8" t="str">
        <f t="shared" si="4"/>
        <v>S1-00271</v>
      </c>
      <c r="H176" s="52" t="e">
        <f>VLOOKUP(G176,#REF!, 2)</f>
        <v>#REF!</v>
      </c>
      <c r="I176" s="52" t="e">
        <f>VLOOKUP(G176,#REF!, 4)</f>
        <v>#REF!</v>
      </c>
      <c r="J176" s="22" t="s">
        <v>970</v>
      </c>
      <c r="K176" s="22" t="s">
        <v>2345</v>
      </c>
      <c r="L176" s="18" t="s">
        <v>2755</v>
      </c>
      <c r="M176" s="18"/>
      <c r="N176" s="18"/>
      <c r="O176" s="35"/>
      <c r="P176" s="18" t="e">
        <f t="shared" si="5"/>
        <v>#REF!</v>
      </c>
      <c r="Q176" s="19" t="e">
        <f>IF(R176=0,VLOOKUP(G176,#REF!, 3),R176)</f>
        <v>#REF!</v>
      </c>
      <c r="R176" s="13" t="e">
        <f>VLOOKUP(G176,#REF!, 5)</f>
        <v>#REF!</v>
      </c>
      <c r="S176" s="18" t="s">
        <v>18</v>
      </c>
      <c r="T176" s="43"/>
      <c r="AA176"/>
    </row>
    <row r="177" spans="1:27" ht="89.15" customHeight="1" x14ac:dyDescent="0.2">
      <c r="A177" s="12" t="s">
        <v>989</v>
      </c>
      <c r="B177" s="12" t="s">
        <v>990</v>
      </c>
      <c r="C177" s="37" t="s">
        <v>991</v>
      </c>
      <c r="D177" s="12" t="s">
        <v>992</v>
      </c>
      <c r="E177" s="8" t="s">
        <v>993</v>
      </c>
      <c r="F177" s="8" t="s">
        <v>90</v>
      </c>
      <c r="G177" s="8" t="str">
        <f t="shared" si="4"/>
        <v>S1-00273</v>
      </c>
      <c r="H177" s="52" t="e">
        <f>VLOOKUP(G177,#REF!, 2)</f>
        <v>#REF!</v>
      </c>
      <c r="I177" s="52" t="e">
        <f>VLOOKUP(G177,#REF!, 4)</f>
        <v>#REF!</v>
      </c>
      <c r="J177" s="22" t="s">
        <v>970</v>
      </c>
      <c r="K177" s="22" t="s">
        <v>2345</v>
      </c>
      <c r="L177" s="18" t="s">
        <v>2756</v>
      </c>
      <c r="M177" s="18"/>
      <c r="N177" s="18" t="s">
        <v>2757</v>
      </c>
      <c r="O177" s="18" t="s">
        <v>2297</v>
      </c>
      <c r="P177" s="18" t="e">
        <f t="shared" si="5"/>
        <v>#REF!</v>
      </c>
      <c r="Q177" s="19" t="e">
        <f>IF(R177=0,VLOOKUP(G177,#REF!, 3),R177)</f>
        <v>#REF!</v>
      </c>
      <c r="R177" s="13" t="e">
        <f>VLOOKUP(G177,#REF!, 5)</f>
        <v>#REF!</v>
      </c>
      <c r="S177" s="18" t="s">
        <v>18</v>
      </c>
      <c r="T177" s="43"/>
      <c r="AA177"/>
    </row>
    <row r="178" spans="1:27" ht="193.95" customHeight="1" x14ac:dyDescent="0.2">
      <c r="A178" s="12" t="s">
        <v>989</v>
      </c>
      <c r="B178" s="12" t="s">
        <v>994</v>
      </c>
      <c r="C178" s="37" t="s">
        <v>995</v>
      </c>
      <c r="D178" s="12" t="s">
        <v>996</v>
      </c>
      <c r="E178" s="8" t="s">
        <v>993</v>
      </c>
      <c r="F178" s="8" t="s">
        <v>90</v>
      </c>
      <c r="G178" s="8" t="str">
        <f t="shared" si="4"/>
        <v>S1-00274</v>
      </c>
      <c r="H178" s="52" t="e">
        <f>VLOOKUP(G178,#REF!, 2)</f>
        <v>#REF!</v>
      </c>
      <c r="I178" s="52" t="e">
        <f>VLOOKUP(G178,#REF!, 4)</f>
        <v>#REF!</v>
      </c>
      <c r="J178" s="22" t="s">
        <v>970</v>
      </c>
      <c r="K178" s="22" t="s">
        <v>2345</v>
      </c>
      <c r="L178" s="18" t="s">
        <v>2758</v>
      </c>
      <c r="M178" s="18"/>
      <c r="N178" s="18" t="s">
        <v>2759</v>
      </c>
      <c r="O178" s="18" t="s">
        <v>2297</v>
      </c>
      <c r="P178" s="18" t="e">
        <f t="shared" si="5"/>
        <v>#REF!</v>
      </c>
      <c r="Q178" s="19" t="e">
        <f>IF(R178=0,VLOOKUP(G178,#REF!, 3),R178)</f>
        <v>#REF!</v>
      </c>
      <c r="R178" s="13" t="e">
        <f>VLOOKUP(G178,#REF!, 5)</f>
        <v>#REF!</v>
      </c>
      <c r="S178" s="18" t="s">
        <v>18</v>
      </c>
      <c r="T178" s="43"/>
      <c r="AA178"/>
    </row>
    <row r="179" spans="1:27" ht="270.7" customHeight="1" x14ac:dyDescent="0.2">
      <c r="A179" s="12" t="s">
        <v>997</v>
      </c>
      <c r="B179" s="12" t="s">
        <v>998</v>
      </c>
      <c r="C179" s="37" t="s">
        <v>999</v>
      </c>
      <c r="D179" s="12" t="s">
        <v>1000</v>
      </c>
      <c r="E179" s="8" t="s">
        <v>1001</v>
      </c>
      <c r="F179" s="8" t="s">
        <v>1002</v>
      </c>
      <c r="G179" s="8" t="str">
        <f t="shared" si="4"/>
        <v>S1-00279</v>
      </c>
      <c r="H179" s="52" t="e">
        <f>VLOOKUP(G179,#REF!, 2)</f>
        <v>#REF!</v>
      </c>
      <c r="I179" s="52" t="e">
        <f>VLOOKUP(G179,#REF!, 4)</f>
        <v>#REF!</v>
      </c>
      <c r="J179" s="22" t="s">
        <v>1003</v>
      </c>
      <c r="K179" s="22" t="s">
        <v>2760</v>
      </c>
      <c r="L179" s="18" t="s">
        <v>2761</v>
      </c>
      <c r="M179" s="18" t="s">
        <v>2762</v>
      </c>
      <c r="N179" s="18" t="s">
        <v>2763</v>
      </c>
      <c r="O179" s="18" t="s">
        <v>2297</v>
      </c>
      <c r="P179" s="18" t="e">
        <f t="shared" si="5"/>
        <v>#REF!</v>
      </c>
      <c r="Q179" s="19" t="e">
        <f>IF(R179=0,VLOOKUP(G179,#REF!, 3),R179)</f>
        <v>#REF!</v>
      </c>
      <c r="R179" s="13" t="e">
        <f>VLOOKUP(G179,#REF!, 5)</f>
        <v>#REF!</v>
      </c>
      <c r="S179" s="18" t="s">
        <v>18</v>
      </c>
      <c r="T179" s="43" t="s">
        <v>2764</v>
      </c>
      <c r="U179" s="4" t="s">
        <v>2321</v>
      </c>
      <c r="AA179"/>
    </row>
    <row r="180" spans="1:27" ht="283.95" x14ac:dyDescent="0.2">
      <c r="A180" s="12" t="s">
        <v>1004</v>
      </c>
      <c r="B180" s="12" t="s">
        <v>1005</v>
      </c>
      <c r="C180" s="37" t="s">
        <v>1006</v>
      </c>
      <c r="D180" s="12" t="s">
        <v>1007</v>
      </c>
      <c r="E180" s="8" t="s">
        <v>1008</v>
      </c>
      <c r="F180" s="8" t="s">
        <v>1009</v>
      </c>
      <c r="G180" s="8" t="str">
        <f t="shared" si="4"/>
        <v>S1-00280</v>
      </c>
      <c r="H180" s="52" t="e">
        <f>VLOOKUP(G180,#REF!, 2)</f>
        <v>#REF!</v>
      </c>
      <c r="I180" s="52" t="e">
        <f>VLOOKUP(G180,#REF!, 4)</f>
        <v>#REF!</v>
      </c>
      <c r="J180" s="22" t="s">
        <v>1010</v>
      </c>
      <c r="K180" s="22" t="s">
        <v>2765</v>
      </c>
      <c r="L180" s="18" t="s">
        <v>2766</v>
      </c>
      <c r="M180" s="18"/>
      <c r="N180" s="18"/>
      <c r="O180" s="18"/>
      <c r="P180" s="18" t="e">
        <f t="shared" si="5"/>
        <v>#REF!</v>
      </c>
      <c r="Q180" s="19" t="e">
        <f>IF(R180=0,VLOOKUP(G180,#REF!, 3),R180)</f>
        <v>#REF!</v>
      </c>
      <c r="R180" s="13" t="e">
        <f>VLOOKUP(G180,#REF!, 5)</f>
        <v>#REF!</v>
      </c>
      <c r="S180" s="18" t="s">
        <v>18</v>
      </c>
      <c r="T180" s="43"/>
      <c r="AA180"/>
    </row>
    <row r="181" spans="1:27" ht="85.1" customHeight="1" x14ac:dyDescent="0.2">
      <c r="A181" s="12" t="s">
        <v>1011</v>
      </c>
      <c r="B181" s="12" t="s">
        <v>1012</v>
      </c>
      <c r="C181" s="37" t="s">
        <v>1013</v>
      </c>
      <c r="D181" s="12" t="s">
        <v>1014</v>
      </c>
      <c r="E181" s="8" t="s">
        <v>1008</v>
      </c>
      <c r="F181" s="8" t="s">
        <v>883</v>
      </c>
      <c r="G181" s="8" t="str">
        <f t="shared" si="4"/>
        <v>S1-00281</v>
      </c>
      <c r="H181" s="52" t="e">
        <f>VLOOKUP(G181,#REF!, 2)</f>
        <v>#REF!</v>
      </c>
      <c r="I181" s="52" t="e">
        <f>VLOOKUP(G181,#REF!, 4)</f>
        <v>#REF!</v>
      </c>
      <c r="J181" s="22" t="s">
        <v>1010</v>
      </c>
      <c r="K181" s="22" t="s">
        <v>2765</v>
      </c>
      <c r="L181" s="18" t="s">
        <v>2767</v>
      </c>
      <c r="M181" s="18"/>
      <c r="N181" s="18"/>
      <c r="O181" s="18"/>
      <c r="P181" s="18" t="e">
        <f t="shared" si="5"/>
        <v>#REF!</v>
      </c>
      <c r="Q181" s="19" t="e">
        <f>IF(R181=0,VLOOKUP(G181,#REF!, 3),R181)</f>
        <v>#REF!</v>
      </c>
      <c r="R181" s="13" t="e">
        <f>VLOOKUP(G181,#REF!, 5)</f>
        <v>#REF!</v>
      </c>
      <c r="S181" s="18" t="s">
        <v>18</v>
      </c>
      <c r="T181" s="43"/>
      <c r="AA181"/>
    </row>
    <row r="182" spans="1:27" ht="77.45" x14ac:dyDescent="0.2">
      <c r="A182" s="12" t="s">
        <v>1015</v>
      </c>
      <c r="B182" s="12" t="s">
        <v>1016</v>
      </c>
      <c r="C182" s="51" t="s">
        <v>1017</v>
      </c>
      <c r="D182" s="39" t="s">
        <v>1018</v>
      </c>
      <c r="E182" s="10" t="s">
        <v>1008</v>
      </c>
      <c r="F182" s="10" t="s">
        <v>1019</v>
      </c>
      <c r="G182" s="8" t="str">
        <f t="shared" si="4"/>
        <v>S1-00282</v>
      </c>
      <c r="H182" s="52" t="e">
        <f>VLOOKUP(G182,#REF!, 2)</f>
        <v>#REF!</v>
      </c>
      <c r="I182" s="52" t="e">
        <f>VLOOKUP(G182,#REF!, 4)</f>
        <v>#REF!</v>
      </c>
      <c r="J182" s="22" t="s">
        <v>1010</v>
      </c>
      <c r="K182" s="22" t="s">
        <v>2765</v>
      </c>
      <c r="L182" s="18" t="s">
        <v>2768</v>
      </c>
      <c r="M182" s="18"/>
      <c r="N182" s="18"/>
      <c r="O182" s="18"/>
      <c r="P182" s="18" t="e">
        <f t="shared" si="5"/>
        <v>#REF!</v>
      </c>
      <c r="Q182" s="19" t="e">
        <f>IF(R182=0,VLOOKUP(G182,#REF!, 3),R182)</f>
        <v>#REF!</v>
      </c>
      <c r="R182" s="13" t="e">
        <f>VLOOKUP(G182,#REF!, 5)</f>
        <v>#REF!</v>
      </c>
      <c r="S182" s="18" t="s">
        <v>18</v>
      </c>
      <c r="T182" s="43"/>
      <c r="AA182"/>
    </row>
    <row r="183" spans="1:27" ht="185.45" customHeight="1" x14ac:dyDescent="0.2">
      <c r="A183" s="12" t="s">
        <v>1020</v>
      </c>
      <c r="B183" s="12" t="s">
        <v>1021</v>
      </c>
      <c r="C183" s="37" t="s">
        <v>1022</v>
      </c>
      <c r="D183" s="12" t="s">
        <v>1023</v>
      </c>
      <c r="E183" s="8" t="s">
        <v>1008</v>
      </c>
      <c r="F183" s="8" t="s">
        <v>1024</v>
      </c>
      <c r="G183" s="8" t="str">
        <f t="shared" si="4"/>
        <v>S1-00283</v>
      </c>
      <c r="H183" s="52" t="e">
        <f>VLOOKUP(G183,#REF!, 2)</f>
        <v>#REF!</v>
      </c>
      <c r="I183" s="52" t="e">
        <f>VLOOKUP(G183,#REF!, 4)</f>
        <v>#REF!</v>
      </c>
      <c r="J183" s="22" t="s">
        <v>1010</v>
      </c>
      <c r="K183" s="22" t="s">
        <v>2765</v>
      </c>
      <c r="L183" s="18" t="s">
        <v>2769</v>
      </c>
      <c r="M183" s="18"/>
      <c r="N183" s="18"/>
      <c r="O183" s="18"/>
      <c r="P183" s="18" t="e">
        <f t="shared" si="5"/>
        <v>#REF!</v>
      </c>
      <c r="Q183" s="19" t="e">
        <f>IF(R183=0,VLOOKUP(G183,#REF!, 3),R183)</f>
        <v>#REF!</v>
      </c>
      <c r="R183" s="13" t="e">
        <f>VLOOKUP(G183,#REF!, 5)</f>
        <v>#REF!</v>
      </c>
      <c r="S183" s="18" t="s">
        <v>18</v>
      </c>
      <c r="T183" s="43"/>
      <c r="AA183"/>
    </row>
    <row r="184" spans="1:27" ht="206.5" x14ac:dyDescent="0.2">
      <c r="A184" s="12" t="s">
        <v>1025</v>
      </c>
      <c r="B184" s="12" t="s">
        <v>1026</v>
      </c>
      <c r="C184" s="37" t="s">
        <v>1027</v>
      </c>
      <c r="D184" s="12" t="s">
        <v>1028</v>
      </c>
      <c r="E184" s="8" t="s">
        <v>1029</v>
      </c>
      <c r="F184" s="8" t="s">
        <v>960</v>
      </c>
      <c r="G184" s="8" t="str">
        <f t="shared" si="4"/>
        <v>S1-00287</v>
      </c>
      <c r="H184" s="52" t="e">
        <f>VLOOKUP(G184,#REF!, 2)</f>
        <v>#REF!</v>
      </c>
      <c r="I184" s="52" t="e">
        <f>VLOOKUP(G184,#REF!, 4)</f>
        <v>#REF!</v>
      </c>
      <c r="J184" s="22" t="s">
        <v>1010</v>
      </c>
      <c r="K184" s="22" t="s">
        <v>2765</v>
      </c>
      <c r="L184" s="18" t="s">
        <v>2770</v>
      </c>
      <c r="M184" s="18"/>
      <c r="N184" s="18"/>
      <c r="O184" s="35"/>
      <c r="P184" s="18" t="e">
        <f t="shared" si="5"/>
        <v>#REF!</v>
      </c>
      <c r="Q184" s="19" t="e">
        <f>IF(R184=0,VLOOKUP(G184,#REF!, 3),R184)</f>
        <v>#REF!</v>
      </c>
      <c r="R184" s="13" t="e">
        <f>VLOOKUP(G184,#REF!, 5)</f>
        <v>#REF!</v>
      </c>
      <c r="S184" s="18" t="s">
        <v>18</v>
      </c>
      <c r="T184" s="43"/>
      <c r="AA184"/>
    </row>
    <row r="185" spans="1:27" ht="271.05" x14ac:dyDescent="0.2">
      <c r="A185" s="12" t="s">
        <v>1030</v>
      </c>
      <c r="B185" s="12" t="s">
        <v>1031</v>
      </c>
      <c r="C185" s="37" t="s">
        <v>1032</v>
      </c>
      <c r="D185" s="12" t="s">
        <v>1033</v>
      </c>
      <c r="E185" s="8" t="s">
        <v>1029</v>
      </c>
      <c r="F185" s="8" t="s">
        <v>694</v>
      </c>
      <c r="G185" s="8" t="str">
        <f t="shared" si="4"/>
        <v>S1-00288</v>
      </c>
      <c r="H185" s="52" t="e">
        <f>VLOOKUP(G185,#REF!, 2)</f>
        <v>#REF!</v>
      </c>
      <c r="I185" s="52" t="e">
        <f>VLOOKUP(G185,#REF!, 4)</f>
        <v>#REF!</v>
      </c>
      <c r="J185" s="22" t="s">
        <v>1010</v>
      </c>
      <c r="K185" s="22" t="s">
        <v>2765</v>
      </c>
      <c r="L185" s="18" t="s">
        <v>2771</v>
      </c>
      <c r="M185" s="18"/>
      <c r="N185" s="18"/>
      <c r="O185" s="35"/>
      <c r="P185" s="18" t="e">
        <f t="shared" si="5"/>
        <v>#REF!</v>
      </c>
      <c r="Q185" s="19" t="e">
        <f>IF(R185=0,VLOOKUP(G185,#REF!, 3),R185)</f>
        <v>#REF!</v>
      </c>
      <c r="R185" s="13" t="e">
        <f>VLOOKUP(G185,#REF!, 5)</f>
        <v>#REF!</v>
      </c>
      <c r="S185" s="18" t="s">
        <v>18</v>
      </c>
      <c r="T185" s="43"/>
      <c r="AA185"/>
    </row>
    <row r="186" spans="1:27" ht="316.2" customHeight="1" x14ac:dyDescent="0.2">
      <c r="A186" s="12" t="s">
        <v>1034</v>
      </c>
      <c r="B186" s="12" t="s">
        <v>1035</v>
      </c>
      <c r="C186" s="37" t="s">
        <v>1036</v>
      </c>
      <c r="D186" s="12" t="s">
        <v>1037</v>
      </c>
      <c r="E186" s="8" t="s">
        <v>1038</v>
      </c>
      <c r="F186" s="8" t="s">
        <v>559</v>
      </c>
      <c r="G186" s="8" t="str">
        <f t="shared" si="4"/>
        <v>S1-00294</v>
      </c>
      <c r="H186" s="52" t="e">
        <f>VLOOKUP(G186,#REF!, 2)</f>
        <v>#REF!</v>
      </c>
      <c r="I186" s="52" t="e">
        <f>VLOOKUP(G186,#REF!, 4)</f>
        <v>#REF!</v>
      </c>
      <c r="J186" s="22" t="s">
        <v>1039</v>
      </c>
      <c r="K186" s="22" t="s">
        <v>2345</v>
      </c>
      <c r="L186" s="19" t="s">
        <v>2772</v>
      </c>
      <c r="M186" s="18"/>
      <c r="N186" s="18" t="s">
        <v>2773</v>
      </c>
      <c r="O186" s="18" t="s">
        <v>2297</v>
      </c>
      <c r="P186" s="18" t="e">
        <f t="shared" si="5"/>
        <v>#REF!</v>
      </c>
      <c r="Q186" s="19" t="e">
        <f>IF(R186=0,VLOOKUP(G186,#REF!, 3),R186)</f>
        <v>#REF!</v>
      </c>
      <c r="R186" s="13" t="e">
        <f>VLOOKUP(G186,#REF!, 5)</f>
        <v>#REF!</v>
      </c>
      <c r="S186" s="18" t="s">
        <v>18</v>
      </c>
      <c r="T186" s="43"/>
      <c r="AA186"/>
    </row>
    <row r="187" spans="1:27" ht="315.7" customHeight="1" x14ac:dyDescent="0.2">
      <c r="A187" s="12" t="s">
        <v>1040</v>
      </c>
      <c r="B187" s="12" t="s">
        <v>1041</v>
      </c>
      <c r="C187" s="37" t="s">
        <v>1042</v>
      </c>
      <c r="D187" s="12" t="s">
        <v>1043</v>
      </c>
      <c r="E187" s="8" t="s">
        <v>1038</v>
      </c>
      <c r="F187" s="8" t="s">
        <v>1044</v>
      </c>
      <c r="G187" s="8" t="str">
        <f t="shared" si="4"/>
        <v>S1-00295</v>
      </c>
      <c r="H187" s="52" t="e">
        <f>VLOOKUP(G187,#REF!, 2)</f>
        <v>#REF!</v>
      </c>
      <c r="I187" s="52" t="e">
        <f>VLOOKUP(G187,#REF!, 4)</f>
        <v>#REF!</v>
      </c>
      <c r="J187" s="22" t="s">
        <v>1045</v>
      </c>
      <c r="K187" s="22" t="s">
        <v>2345</v>
      </c>
      <c r="L187" s="18" t="s">
        <v>2774</v>
      </c>
      <c r="M187" s="18" t="s">
        <v>2775</v>
      </c>
      <c r="N187" s="18" t="s">
        <v>2773</v>
      </c>
      <c r="O187" s="18" t="s">
        <v>2297</v>
      </c>
      <c r="P187" s="18" t="e">
        <f t="shared" si="5"/>
        <v>#REF!</v>
      </c>
      <c r="Q187" s="19" t="e">
        <f>IF(R187=0,VLOOKUP(G187,#REF!, 3),R187)</f>
        <v>#REF!</v>
      </c>
      <c r="R187" s="13" t="e">
        <f>VLOOKUP(G187,#REF!, 5)</f>
        <v>#REF!</v>
      </c>
      <c r="S187" s="18" t="s">
        <v>18</v>
      </c>
      <c r="T187" s="43"/>
      <c r="AA187"/>
    </row>
    <row r="188" spans="1:27" ht="334.2" customHeight="1" x14ac:dyDescent="0.2">
      <c r="A188" s="12" t="s">
        <v>1046</v>
      </c>
      <c r="B188" s="12" t="s">
        <v>1047</v>
      </c>
      <c r="C188" s="37" t="s">
        <v>1048</v>
      </c>
      <c r="D188" s="12" t="s">
        <v>2776</v>
      </c>
      <c r="E188" s="8" t="s">
        <v>1038</v>
      </c>
      <c r="F188" s="8" t="s">
        <v>894</v>
      </c>
      <c r="G188" s="8" t="str">
        <f t="shared" si="4"/>
        <v>S1-00296</v>
      </c>
      <c r="H188" s="52" t="e">
        <f>VLOOKUP(G188,#REF!, 2)</f>
        <v>#REF!</v>
      </c>
      <c r="I188" s="52" t="e">
        <f>VLOOKUP(G188,#REF!, 4)</f>
        <v>#REF!</v>
      </c>
      <c r="J188" s="22" t="s">
        <v>1050</v>
      </c>
      <c r="K188" s="22" t="s">
        <v>2345</v>
      </c>
      <c r="L188" s="18" t="s">
        <v>2777</v>
      </c>
      <c r="M188" s="18"/>
      <c r="N188" s="18" t="s">
        <v>2773</v>
      </c>
      <c r="O188" s="18" t="s">
        <v>2297</v>
      </c>
      <c r="P188" s="18" t="e">
        <f t="shared" si="5"/>
        <v>#REF!</v>
      </c>
      <c r="Q188" s="19" t="e">
        <f>IF(R188=0,VLOOKUP(G188,#REF!, 3),R188)</f>
        <v>#REF!</v>
      </c>
      <c r="R188" s="13" t="e">
        <f>VLOOKUP(G188,#REF!, 5)</f>
        <v>#REF!</v>
      </c>
      <c r="S188" s="18" t="s">
        <v>18</v>
      </c>
      <c r="T188" s="43"/>
      <c r="AA188"/>
    </row>
    <row r="189" spans="1:27" ht="319.10000000000002" customHeight="1" x14ac:dyDescent="0.2">
      <c r="A189" s="12" t="s">
        <v>1051</v>
      </c>
      <c r="B189" s="12" t="s">
        <v>1052</v>
      </c>
      <c r="C189" s="37" t="s">
        <v>1053</v>
      </c>
      <c r="D189" s="12" t="s">
        <v>1054</v>
      </c>
      <c r="E189" s="8" t="s">
        <v>1038</v>
      </c>
      <c r="F189" s="8" t="s">
        <v>1055</v>
      </c>
      <c r="G189" s="8" t="str">
        <f t="shared" si="4"/>
        <v>S1-00297</v>
      </c>
      <c r="H189" s="52" t="e">
        <f>VLOOKUP(G189,#REF!, 2)</f>
        <v>#REF!</v>
      </c>
      <c r="I189" s="52" t="e">
        <f>VLOOKUP(G189,#REF!, 4)</f>
        <v>#REF!</v>
      </c>
      <c r="J189" s="22" t="s">
        <v>1056</v>
      </c>
      <c r="K189" s="22" t="s">
        <v>2345</v>
      </c>
      <c r="L189" s="18" t="s">
        <v>2778</v>
      </c>
      <c r="M189" s="18"/>
      <c r="N189" s="18" t="s">
        <v>2773</v>
      </c>
      <c r="O189" s="18" t="s">
        <v>2297</v>
      </c>
      <c r="P189" s="18" t="e">
        <f t="shared" si="5"/>
        <v>#REF!</v>
      </c>
      <c r="Q189" s="19" t="e">
        <f>IF(R189=0,VLOOKUP(G189,#REF!, 3),R189)</f>
        <v>#REF!</v>
      </c>
      <c r="R189" s="13" t="e">
        <f>VLOOKUP(G189,#REF!, 5)</f>
        <v>#REF!</v>
      </c>
      <c r="S189" s="18" t="s">
        <v>18</v>
      </c>
      <c r="T189" s="43"/>
      <c r="AA189"/>
    </row>
    <row r="190" spans="1:27" ht="340.15" customHeight="1" x14ac:dyDescent="0.2">
      <c r="A190" s="12" t="s">
        <v>1057</v>
      </c>
      <c r="B190" s="12" t="s">
        <v>1058</v>
      </c>
      <c r="C190" s="37" t="s">
        <v>1059</v>
      </c>
      <c r="D190" s="12" t="s">
        <v>1060</v>
      </c>
      <c r="E190" s="8" t="s">
        <v>1038</v>
      </c>
      <c r="F190" s="8" t="s">
        <v>1061</v>
      </c>
      <c r="G190" s="8" t="str">
        <f t="shared" si="4"/>
        <v>S1-00298</v>
      </c>
      <c r="H190" s="52" t="e">
        <f>VLOOKUP(G190,#REF!, 2)</f>
        <v>#REF!</v>
      </c>
      <c r="I190" s="52" t="e">
        <f>VLOOKUP(G190,#REF!, 4)</f>
        <v>#REF!</v>
      </c>
      <c r="J190" s="22" t="s">
        <v>1062</v>
      </c>
      <c r="K190" s="22" t="s">
        <v>2345</v>
      </c>
      <c r="L190" s="18" t="s">
        <v>2779</v>
      </c>
      <c r="M190" s="18"/>
      <c r="N190" s="18" t="s">
        <v>2773</v>
      </c>
      <c r="O190" s="18" t="s">
        <v>2297</v>
      </c>
      <c r="P190" s="18" t="e">
        <f t="shared" si="5"/>
        <v>#REF!</v>
      </c>
      <c r="Q190" s="19" t="e">
        <f>IF(R190=0,VLOOKUP(G190,#REF!, 3),R190)</f>
        <v>#REF!</v>
      </c>
      <c r="R190" s="13" t="e">
        <f>VLOOKUP(G190,#REF!, 5)</f>
        <v>#REF!</v>
      </c>
      <c r="S190" s="18" t="s">
        <v>18</v>
      </c>
      <c r="T190" s="43"/>
      <c r="AA190"/>
    </row>
    <row r="191" spans="1:27" ht="315" customHeight="1" x14ac:dyDescent="0.2">
      <c r="A191" s="12" t="s">
        <v>1063</v>
      </c>
      <c r="B191" s="12" t="s">
        <v>1064</v>
      </c>
      <c r="C191" s="37" t="s">
        <v>1065</v>
      </c>
      <c r="D191" s="12" t="s">
        <v>1066</v>
      </c>
      <c r="E191" s="8" t="s">
        <v>1038</v>
      </c>
      <c r="F191" s="8" t="s">
        <v>1067</v>
      </c>
      <c r="G191" s="8" t="str">
        <f t="shared" si="4"/>
        <v>S1-00299</v>
      </c>
      <c r="H191" s="52" t="e">
        <f>VLOOKUP(G191,#REF!, 2)</f>
        <v>#REF!</v>
      </c>
      <c r="I191" s="52" t="e">
        <f>VLOOKUP(G191,#REF!, 4)</f>
        <v>#REF!</v>
      </c>
      <c r="J191" s="22" t="s">
        <v>1068</v>
      </c>
      <c r="K191" s="22" t="s">
        <v>2345</v>
      </c>
      <c r="L191" s="18" t="s">
        <v>2780</v>
      </c>
      <c r="M191" s="18"/>
      <c r="N191" s="18" t="s">
        <v>2773</v>
      </c>
      <c r="O191" s="18" t="s">
        <v>2297</v>
      </c>
      <c r="P191" s="18" t="e">
        <f t="shared" si="5"/>
        <v>#REF!</v>
      </c>
      <c r="Q191" s="19" t="e">
        <f>IF(R191=0,VLOOKUP(G191,#REF!, 3),R191)</f>
        <v>#REF!</v>
      </c>
      <c r="R191" s="13" t="e">
        <f>VLOOKUP(G191,#REF!, 5)</f>
        <v>#REF!</v>
      </c>
      <c r="S191" s="18" t="s">
        <v>18</v>
      </c>
      <c r="T191" s="43"/>
      <c r="AA191"/>
    </row>
    <row r="192" spans="1:27" ht="334.2" customHeight="1" x14ac:dyDescent="0.2">
      <c r="A192" s="12" t="s">
        <v>1069</v>
      </c>
      <c r="B192" s="12" t="s">
        <v>1070</v>
      </c>
      <c r="C192" s="37" t="s">
        <v>1071</v>
      </c>
      <c r="D192" s="12" t="s">
        <v>1072</v>
      </c>
      <c r="E192" s="8" t="s">
        <v>1038</v>
      </c>
      <c r="F192" s="8" t="s">
        <v>1073</v>
      </c>
      <c r="G192" s="8" t="str">
        <f t="shared" si="4"/>
        <v>S1-00300</v>
      </c>
      <c r="H192" s="52" t="e">
        <f>VLOOKUP(G192,#REF!, 2)</f>
        <v>#REF!</v>
      </c>
      <c r="I192" s="52" t="e">
        <f>VLOOKUP(G192,#REF!, 4)</f>
        <v>#REF!</v>
      </c>
      <c r="J192" s="22" t="s">
        <v>1074</v>
      </c>
      <c r="K192" s="22" t="s">
        <v>2345</v>
      </c>
      <c r="L192" s="18" t="s">
        <v>2781</v>
      </c>
      <c r="M192" s="18"/>
      <c r="N192" s="18" t="s">
        <v>2773</v>
      </c>
      <c r="O192" s="18" t="s">
        <v>2297</v>
      </c>
      <c r="P192" s="18" t="e">
        <f t="shared" si="5"/>
        <v>#REF!</v>
      </c>
      <c r="Q192" s="19" t="e">
        <f>IF(R192=0,VLOOKUP(G192,#REF!, 3),R192)</f>
        <v>#REF!</v>
      </c>
      <c r="R192" s="13" t="e">
        <f>VLOOKUP(G192,#REF!, 5)</f>
        <v>#REF!</v>
      </c>
      <c r="S192" s="18" t="s">
        <v>18</v>
      </c>
      <c r="T192" s="43"/>
      <c r="AA192"/>
    </row>
    <row r="193" spans="1:27" ht="315.7" customHeight="1" x14ac:dyDescent="0.2">
      <c r="A193" s="12" t="s">
        <v>1075</v>
      </c>
      <c r="B193" s="12" t="s">
        <v>1076</v>
      </c>
      <c r="C193" s="37" t="s">
        <v>1077</v>
      </c>
      <c r="D193" s="12" t="s">
        <v>1078</v>
      </c>
      <c r="E193" s="8" t="s">
        <v>1038</v>
      </c>
      <c r="F193" s="8" t="s">
        <v>1079</v>
      </c>
      <c r="G193" s="8" t="str">
        <f t="shared" si="4"/>
        <v>S1-00301</v>
      </c>
      <c r="H193" s="52" t="e">
        <f>VLOOKUP(G193,#REF!, 2)</f>
        <v>#REF!</v>
      </c>
      <c r="I193" s="52" t="e">
        <f>VLOOKUP(G193,#REF!, 4)</f>
        <v>#REF!</v>
      </c>
      <c r="J193" s="22" t="s">
        <v>1080</v>
      </c>
      <c r="K193" s="22" t="s">
        <v>2345</v>
      </c>
      <c r="L193" s="18" t="s">
        <v>2782</v>
      </c>
      <c r="M193" s="18"/>
      <c r="N193" s="18" t="s">
        <v>2773</v>
      </c>
      <c r="O193" s="18" t="s">
        <v>2297</v>
      </c>
      <c r="P193" s="18" t="e">
        <f t="shared" si="5"/>
        <v>#REF!</v>
      </c>
      <c r="Q193" s="19" t="e">
        <f>IF(R193=0,VLOOKUP(G193,#REF!, 3),R193)</f>
        <v>#REF!</v>
      </c>
      <c r="R193" s="13" t="e">
        <f>VLOOKUP(G193,#REF!, 5)</f>
        <v>#REF!</v>
      </c>
      <c r="S193" s="18" t="s">
        <v>18</v>
      </c>
      <c r="T193" s="43"/>
      <c r="AA193"/>
    </row>
    <row r="194" spans="1:27" ht="327.60000000000002" customHeight="1" x14ac:dyDescent="0.2">
      <c r="A194" s="12" t="s">
        <v>1081</v>
      </c>
      <c r="B194" s="12" t="s">
        <v>1082</v>
      </c>
      <c r="C194" s="37" t="s">
        <v>1083</v>
      </c>
      <c r="D194" s="12" t="s">
        <v>1084</v>
      </c>
      <c r="E194" s="8" t="s">
        <v>1038</v>
      </c>
      <c r="F194" s="8" t="s">
        <v>1085</v>
      </c>
      <c r="G194" s="8" t="str">
        <f t="shared" si="4"/>
        <v>S1-00302</v>
      </c>
      <c r="H194" s="52" t="e">
        <f>VLOOKUP(G194,#REF!, 2)</f>
        <v>#REF!</v>
      </c>
      <c r="I194" s="52" t="e">
        <f>VLOOKUP(G194,#REF!, 4)</f>
        <v>#REF!</v>
      </c>
      <c r="J194" s="22" t="s">
        <v>1086</v>
      </c>
      <c r="K194" s="22" t="s">
        <v>2345</v>
      </c>
      <c r="L194" s="18" t="s">
        <v>2783</v>
      </c>
      <c r="M194" s="18"/>
      <c r="N194" s="18" t="s">
        <v>2773</v>
      </c>
      <c r="O194" s="18" t="s">
        <v>2297</v>
      </c>
      <c r="P194" s="18" t="e">
        <f t="shared" si="5"/>
        <v>#REF!</v>
      </c>
      <c r="Q194" s="19" t="e">
        <f>IF(R194=0,VLOOKUP(G194,#REF!, 3),R194)</f>
        <v>#REF!</v>
      </c>
      <c r="R194" s="13" t="e">
        <f>VLOOKUP(G194,#REF!, 5)</f>
        <v>#REF!</v>
      </c>
      <c r="S194" s="18" t="s">
        <v>18</v>
      </c>
      <c r="T194" s="43"/>
      <c r="AA194"/>
    </row>
    <row r="195" spans="1:27" ht="409.1" customHeight="1" x14ac:dyDescent="0.2">
      <c r="A195" s="12" t="s">
        <v>1087</v>
      </c>
      <c r="B195" s="12" t="s">
        <v>1088</v>
      </c>
      <c r="C195" s="37" t="s">
        <v>1089</v>
      </c>
      <c r="D195" s="12" t="s">
        <v>1090</v>
      </c>
      <c r="E195" s="8" t="s">
        <v>1038</v>
      </c>
      <c r="F195" s="8" t="s">
        <v>1091</v>
      </c>
      <c r="G195" s="8" t="str">
        <f t="shared" ref="G195:G258" si="6">SUBSTITUTE(B195,"BRDP-","")</f>
        <v>S1-00303</v>
      </c>
      <c r="H195" s="52" t="e">
        <f>VLOOKUP(G195,#REF!, 2)</f>
        <v>#REF!</v>
      </c>
      <c r="I195" s="52" t="e">
        <f>VLOOKUP(G195,#REF!, 4)</f>
        <v>#REF!</v>
      </c>
      <c r="J195" s="22" t="s">
        <v>1092</v>
      </c>
      <c r="K195" s="22" t="s">
        <v>2345</v>
      </c>
      <c r="L195" s="18" t="s">
        <v>2784</v>
      </c>
      <c r="M195" s="18"/>
      <c r="N195" s="18" t="s">
        <v>2773</v>
      </c>
      <c r="O195" s="18" t="s">
        <v>2297</v>
      </c>
      <c r="P195" s="18" t="e">
        <f t="shared" ref="P195:P258" si="7">IF(Q195=0,"",Q195)</f>
        <v>#REF!</v>
      </c>
      <c r="Q195" s="19" t="e">
        <f>IF(R195=0,VLOOKUP(G195,#REF!, 3),R195)</f>
        <v>#REF!</v>
      </c>
      <c r="R195" s="13" t="e">
        <f>VLOOKUP(G195,#REF!, 5)</f>
        <v>#REF!</v>
      </c>
      <c r="S195" s="18" t="s">
        <v>18</v>
      </c>
      <c r="T195" s="43"/>
      <c r="AA195"/>
    </row>
    <row r="196" spans="1:27" ht="329.95" customHeight="1" x14ac:dyDescent="0.2">
      <c r="A196" s="12" t="s">
        <v>1093</v>
      </c>
      <c r="B196" s="12" t="s">
        <v>1094</v>
      </c>
      <c r="C196" s="37" t="s">
        <v>1095</v>
      </c>
      <c r="D196" s="12" t="s">
        <v>1096</v>
      </c>
      <c r="E196" s="8" t="s">
        <v>1038</v>
      </c>
      <c r="F196" s="8" t="s">
        <v>1097</v>
      </c>
      <c r="G196" s="8" t="str">
        <f t="shared" si="6"/>
        <v>S1-00309</v>
      </c>
      <c r="H196" s="52" t="e">
        <f>VLOOKUP(G196,#REF!, 2)</f>
        <v>#REF!</v>
      </c>
      <c r="I196" s="52" t="e">
        <f>VLOOKUP(G196,#REF!, 4)</f>
        <v>#REF!</v>
      </c>
      <c r="J196" s="22" t="s">
        <v>1098</v>
      </c>
      <c r="K196" s="22" t="s">
        <v>2345</v>
      </c>
      <c r="L196" s="18" t="s">
        <v>2785</v>
      </c>
      <c r="M196" s="18"/>
      <c r="N196" s="18" t="s">
        <v>2773</v>
      </c>
      <c r="O196" s="18" t="s">
        <v>2297</v>
      </c>
      <c r="P196" s="18" t="e">
        <f t="shared" si="7"/>
        <v>#REF!</v>
      </c>
      <c r="Q196" s="19" t="e">
        <f>IF(R196=0,VLOOKUP(G196,#REF!, 3),R196)</f>
        <v>#REF!</v>
      </c>
      <c r="R196" s="13" t="e">
        <f>VLOOKUP(G196,#REF!, 5)</f>
        <v>#REF!</v>
      </c>
      <c r="S196" s="18" t="s">
        <v>18</v>
      </c>
      <c r="T196" s="43"/>
      <c r="AA196"/>
    </row>
    <row r="197" spans="1:27" ht="354.25" customHeight="1" x14ac:dyDescent="0.2">
      <c r="A197" s="12" t="s">
        <v>1099</v>
      </c>
      <c r="B197" s="12" t="s">
        <v>1100</v>
      </c>
      <c r="C197" s="37" t="s">
        <v>1101</v>
      </c>
      <c r="D197" s="12" t="s">
        <v>1102</v>
      </c>
      <c r="E197" s="8" t="s">
        <v>1038</v>
      </c>
      <c r="F197" s="8" t="s">
        <v>1103</v>
      </c>
      <c r="G197" s="8" t="str">
        <f t="shared" si="6"/>
        <v>S1-00310</v>
      </c>
      <c r="H197" s="52" t="e">
        <f>VLOOKUP(G197,#REF!, 2)</f>
        <v>#REF!</v>
      </c>
      <c r="I197" s="52" t="e">
        <f>VLOOKUP(G197,#REF!, 4)</f>
        <v>#REF!</v>
      </c>
      <c r="J197" s="22" t="s">
        <v>1104</v>
      </c>
      <c r="K197" s="22" t="s">
        <v>2345</v>
      </c>
      <c r="L197" s="18" t="s">
        <v>2786</v>
      </c>
      <c r="M197" s="18"/>
      <c r="N197" s="18" t="s">
        <v>2773</v>
      </c>
      <c r="O197" s="18" t="s">
        <v>2297</v>
      </c>
      <c r="P197" s="18" t="e">
        <f t="shared" si="7"/>
        <v>#REF!</v>
      </c>
      <c r="Q197" s="19" t="e">
        <f>IF(R197=0,VLOOKUP(G197,#REF!, 3),R197)</f>
        <v>#REF!</v>
      </c>
      <c r="R197" s="13" t="e">
        <f>VLOOKUP(G197,#REF!, 5)</f>
        <v>#REF!</v>
      </c>
      <c r="S197" s="18" t="s">
        <v>18</v>
      </c>
      <c r="T197" s="43"/>
      <c r="AA197"/>
    </row>
    <row r="198" spans="1:27" ht="333.7" customHeight="1" x14ac:dyDescent="0.2">
      <c r="A198" s="12" t="s">
        <v>1105</v>
      </c>
      <c r="B198" s="12" t="s">
        <v>1106</v>
      </c>
      <c r="C198" s="37" t="s">
        <v>1107</v>
      </c>
      <c r="D198" s="12" t="s">
        <v>1108</v>
      </c>
      <c r="E198" s="8" t="s">
        <v>1038</v>
      </c>
      <c r="F198" s="8" t="s">
        <v>1109</v>
      </c>
      <c r="G198" s="8" t="str">
        <f t="shared" si="6"/>
        <v>S1-00311</v>
      </c>
      <c r="H198" s="52" t="e">
        <f>VLOOKUP(G198,#REF!, 2)</f>
        <v>#REF!</v>
      </c>
      <c r="I198" s="52" t="e">
        <f>VLOOKUP(G198,#REF!, 4)</f>
        <v>#REF!</v>
      </c>
      <c r="J198" s="22" t="s">
        <v>1104</v>
      </c>
      <c r="K198" s="22" t="s">
        <v>2345</v>
      </c>
      <c r="L198" s="18" t="s">
        <v>2787</v>
      </c>
      <c r="M198" s="18"/>
      <c r="N198" s="18" t="s">
        <v>2773</v>
      </c>
      <c r="O198" s="18" t="s">
        <v>2297</v>
      </c>
      <c r="P198" s="18" t="e">
        <f t="shared" si="7"/>
        <v>#REF!</v>
      </c>
      <c r="Q198" s="19" t="e">
        <f>IF(R198=0,VLOOKUP(G198,#REF!, 3),R198)</f>
        <v>#REF!</v>
      </c>
      <c r="R198" s="13" t="e">
        <f>VLOOKUP(G198,#REF!, 5)</f>
        <v>#REF!</v>
      </c>
      <c r="S198" s="18" t="s">
        <v>18</v>
      </c>
      <c r="T198" s="43"/>
      <c r="AA198"/>
    </row>
    <row r="199" spans="1:27" ht="64.55" x14ac:dyDescent="0.2">
      <c r="A199" s="12" t="s">
        <v>1110</v>
      </c>
      <c r="B199" s="12" t="s">
        <v>1111</v>
      </c>
      <c r="C199" s="37" t="s">
        <v>1112</v>
      </c>
      <c r="D199" s="12" t="s">
        <v>1113</v>
      </c>
      <c r="E199" s="8" t="s">
        <v>1114</v>
      </c>
      <c r="F199" s="8" t="s">
        <v>246</v>
      </c>
      <c r="G199" s="8" t="str">
        <f t="shared" si="6"/>
        <v>S1-00313</v>
      </c>
      <c r="H199" s="52" t="e">
        <f>VLOOKUP(G199,#REF!, 2)</f>
        <v>#REF!</v>
      </c>
      <c r="I199" s="52" t="e">
        <f>VLOOKUP(G199,#REF!, 4)</f>
        <v>#REF!</v>
      </c>
      <c r="J199" s="22" t="s">
        <v>970</v>
      </c>
      <c r="K199" s="22" t="s">
        <v>2345</v>
      </c>
      <c r="L199" s="18" t="s">
        <v>2788</v>
      </c>
      <c r="M199" s="18"/>
      <c r="N199" s="18"/>
      <c r="O199" s="18"/>
      <c r="P199" s="18" t="e">
        <f t="shared" si="7"/>
        <v>#REF!</v>
      </c>
      <c r="Q199" s="19" t="e">
        <f>IF(R199=0,VLOOKUP(G199,#REF!, 3),R199)</f>
        <v>#REF!</v>
      </c>
      <c r="R199" s="13" t="e">
        <f>VLOOKUP(G199,#REF!, 5)</f>
        <v>#REF!</v>
      </c>
      <c r="S199" s="18" t="s">
        <v>18</v>
      </c>
      <c r="T199" s="43"/>
      <c r="AA199"/>
    </row>
    <row r="200" spans="1:27" ht="51.65" x14ac:dyDescent="0.2">
      <c r="A200" s="12" t="s">
        <v>1110</v>
      </c>
      <c r="B200" s="12" t="s">
        <v>1115</v>
      </c>
      <c r="C200" s="37" t="s">
        <v>1116</v>
      </c>
      <c r="D200" s="12" t="s">
        <v>1117</v>
      </c>
      <c r="E200" s="8" t="s">
        <v>1114</v>
      </c>
      <c r="F200" s="8" t="s">
        <v>246</v>
      </c>
      <c r="G200" s="8" t="str">
        <f t="shared" si="6"/>
        <v>S1-00314</v>
      </c>
      <c r="H200" s="52" t="e">
        <f>VLOOKUP(G200,#REF!, 2)</f>
        <v>#REF!</v>
      </c>
      <c r="I200" s="52" t="e">
        <f>VLOOKUP(G200,#REF!, 4)</f>
        <v>#REF!</v>
      </c>
      <c r="J200" s="22" t="s">
        <v>970</v>
      </c>
      <c r="K200" s="22" t="s">
        <v>2345</v>
      </c>
      <c r="L200" s="18" t="s">
        <v>2789</v>
      </c>
      <c r="M200" s="18"/>
      <c r="N200" s="18"/>
      <c r="O200" s="18"/>
      <c r="P200" s="18" t="e">
        <f t="shared" si="7"/>
        <v>#REF!</v>
      </c>
      <c r="Q200" s="19" t="e">
        <f>IF(R200=0,VLOOKUP(G200,#REF!, 3),R200)</f>
        <v>#REF!</v>
      </c>
      <c r="R200" s="13" t="e">
        <f>VLOOKUP(G200,#REF!, 5)</f>
        <v>#REF!</v>
      </c>
      <c r="S200" s="18" t="s">
        <v>18</v>
      </c>
      <c r="T200" s="43"/>
      <c r="AA200"/>
    </row>
    <row r="201" spans="1:27" ht="51.65" x14ac:dyDescent="0.2">
      <c r="A201" s="12" t="s">
        <v>1118</v>
      </c>
      <c r="B201" s="12" t="s">
        <v>1119</v>
      </c>
      <c r="C201" s="37" t="s">
        <v>1120</v>
      </c>
      <c r="D201" s="12" t="s">
        <v>1121</v>
      </c>
      <c r="E201" s="8" t="s">
        <v>1114</v>
      </c>
      <c r="F201" s="8" t="s">
        <v>1122</v>
      </c>
      <c r="G201" s="8" t="str">
        <f t="shared" si="6"/>
        <v>S1-00315</v>
      </c>
      <c r="H201" s="52" t="e">
        <f>VLOOKUP(G201,#REF!, 2)</f>
        <v>#REF!</v>
      </c>
      <c r="I201" s="52" t="e">
        <f>VLOOKUP(G201,#REF!, 4)</f>
        <v>#REF!</v>
      </c>
      <c r="J201" s="22" t="s">
        <v>1123</v>
      </c>
      <c r="K201" s="22" t="s">
        <v>2345</v>
      </c>
      <c r="L201" s="18" t="s">
        <v>2789</v>
      </c>
      <c r="M201" s="18"/>
      <c r="N201" s="18"/>
      <c r="O201" s="18"/>
      <c r="P201" s="18" t="e">
        <f t="shared" si="7"/>
        <v>#REF!</v>
      </c>
      <c r="Q201" s="19" t="e">
        <f>IF(R201=0,VLOOKUP(G201,#REF!, 3),R201)</f>
        <v>#REF!</v>
      </c>
      <c r="R201" s="13" t="e">
        <f>VLOOKUP(G201,#REF!, 5)</f>
        <v>#REF!</v>
      </c>
      <c r="S201" s="18" t="s">
        <v>18</v>
      </c>
      <c r="T201" s="43"/>
      <c r="AA201"/>
    </row>
    <row r="202" spans="1:27" ht="409.6" x14ac:dyDescent="0.2">
      <c r="A202" s="12" t="s">
        <v>1124</v>
      </c>
      <c r="B202" s="12" t="s">
        <v>1125</v>
      </c>
      <c r="C202" s="37" t="s">
        <v>1126</v>
      </c>
      <c r="D202" s="12" t="s">
        <v>2790</v>
      </c>
      <c r="E202" s="8" t="s">
        <v>1128</v>
      </c>
      <c r="F202" s="8" t="s">
        <v>153</v>
      </c>
      <c r="G202" s="8" t="str">
        <f t="shared" si="6"/>
        <v>S1-00316</v>
      </c>
      <c r="H202" s="52" t="e">
        <f>VLOOKUP(G202,#REF!, 2)</f>
        <v>#REF!</v>
      </c>
      <c r="I202" s="52" t="e">
        <f>VLOOKUP(G202,#REF!, 4)</f>
        <v>#REF!</v>
      </c>
      <c r="J202" s="22" t="s">
        <v>1129</v>
      </c>
      <c r="K202" s="22" t="s">
        <v>2791</v>
      </c>
      <c r="L202" s="18" t="s">
        <v>2792</v>
      </c>
      <c r="M202" s="18"/>
      <c r="N202" s="18" t="s">
        <v>2793</v>
      </c>
      <c r="O202" s="18" t="s">
        <v>2297</v>
      </c>
      <c r="P202" s="18" t="e">
        <f t="shared" si="7"/>
        <v>#REF!</v>
      </c>
      <c r="Q202" s="19" t="e">
        <f>IF(R202=0,VLOOKUP(G202,#REF!, 3),R202)</f>
        <v>#REF!</v>
      </c>
      <c r="R202" s="13" t="e">
        <f>VLOOKUP(G202,#REF!, 5)</f>
        <v>#REF!</v>
      </c>
      <c r="S202" s="18" t="s">
        <v>18</v>
      </c>
      <c r="T202" s="43"/>
      <c r="V202" s="4" t="s">
        <v>2547</v>
      </c>
      <c r="AA202"/>
    </row>
    <row r="203" spans="1:27" ht="408.6" customHeight="1" x14ac:dyDescent="0.2">
      <c r="A203" s="12" t="s">
        <v>1130</v>
      </c>
      <c r="B203" s="12" t="s">
        <v>1131</v>
      </c>
      <c r="C203" s="37" t="s">
        <v>1132</v>
      </c>
      <c r="D203" s="12" t="s">
        <v>2794</v>
      </c>
      <c r="E203" s="8" t="s">
        <v>1128</v>
      </c>
      <c r="F203" s="8" t="s">
        <v>427</v>
      </c>
      <c r="G203" s="8" t="str">
        <f t="shared" si="6"/>
        <v>S1-00317</v>
      </c>
      <c r="H203" s="52" t="e">
        <f>VLOOKUP(G203,#REF!, 2)</f>
        <v>#REF!</v>
      </c>
      <c r="I203" s="52" t="e">
        <f>VLOOKUP(G203,#REF!, 4)</f>
        <v>#REF!</v>
      </c>
      <c r="J203" s="22" t="s">
        <v>1134</v>
      </c>
      <c r="K203" s="22" t="s">
        <v>2795</v>
      </c>
      <c r="L203" s="18" t="s">
        <v>2796</v>
      </c>
      <c r="M203" s="18"/>
      <c r="N203" s="18" t="s">
        <v>2793</v>
      </c>
      <c r="O203" s="18" t="s">
        <v>2297</v>
      </c>
      <c r="P203" s="18" t="e">
        <f t="shared" si="7"/>
        <v>#REF!</v>
      </c>
      <c r="Q203" s="19" t="e">
        <f>IF(R203=0,VLOOKUP(G203,#REF!, 3),R203)</f>
        <v>#REF!</v>
      </c>
      <c r="R203" s="13" t="e">
        <f>VLOOKUP(G203,#REF!, 5)</f>
        <v>#REF!</v>
      </c>
      <c r="S203" s="18" t="s">
        <v>18</v>
      </c>
      <c r="T203" s="43"/>
      <c r="V203" s="4" t="s">
        <v>2547</v>
      </c>
      <c r="AA203"/>
    </row>
    <row r="204" spans="1:27" ht="154.9" x14ac:dyDescent="0.2">
      <c r="A204" s="12" t="s">
        <v>1135</v>
      </c>
      <c r="B204" s="12" t="s">
        <v>1136</v>
      </c>
      <c r="C204" s="37" t="s">
        <v>1137</v>
      </c>
      <c r="D204" s="12" t="s">
        <v>2797</v>
      </c>
      <c r="E204" s="8" t="s">
        <v>1128</v>
      </c>
      <c r="F204" s="8" t="s">
        <v>192</v>
      </c>
      <c r="G204" s="8" t="str">
        <f t="shared" si="6"/>
        <v>S1-00318</v>
      </c>
      <c r="H204" s="52" t="e">
        <f>VLOOKUP(G204,#REF!, 2)</f>
        <v>#REF!</v>
      </c>
      <c r="I204" s="52" t="e">
        <f>VLOOKUP(G204,#REF!, 4)</f>
        <v>#REF!</v>
      </c>
      <c r="J204" s="22" t="s">
        <v>1139</v>
      </c>
      <c r="K204" s="22" t="s">
        <v>2798</v>
      </c>
      <c r="L204" s="18" t="s">
        <v>2799</v>
      </c>
      <c r="M204" s="18"/>
      <c r="N204" s="18"/>
      <c r="O204" s="18"/>
      <c r="P204" s="18" t="e">
        <f t="shared" si="7"/>
        <v>#REF!</v>
      </c>
      <c r="Q204" s="19" t="e">
        <f>IF(R204=0,VLOOKUP(G204,#REF!, 3),R204)</f>
        <v>#REF!</v>
      </c>
      <c r="R204" s="13" t="e">
        <f>VLOOKUP(G204,#REF!, 5)</f>
        <v>#REF!</v>
      </c>
      <c r="S204" s="18" t="s">
        <v>18</v>
      </c>
      <c r="T204" s="43"/>
      <c r="V204" s="4" t="s">
        <v>2547</v>
      </c>
      <c r="AA204"/>
    </row>
    <row r="205" spans="1:27" ht="64.55" x14ac:dyDescent="0.2">
      <c r="A205" s="12" t="s">
        <v>1135</v>
      </c>
      <c r="B205" s="12" t="s">
        <v>1140</v>
      </c>
      <c r="C205" s="37" t="s">
        <v>1141</v>
      </c>
      <c r="D205" s="12" t="s">
        <v>1142</v>
      </c>
      <c r="E205" s="8" t="s">
        <v>1128</v>
      </c>
      <c r="F205" s="8" t="s">
        <v>192</v>
      </c>
      <c r="G205" s="8" t="str">
        <f t="shared" si="6"/>
        <v>S1-00319</v>
      </c>
      <c r="H205" s="52" t="e">
        <f>VLOOKUP(G205,#REF!, 2)</f>
        <v>#REF!</v>
      </c>
      <c r="I205" s="52" t="e">
        <f>VLOOKUP(G205,#REF!, 4)</f>
        <v>#REF!</v>
      </c>
      <c r="J205" s="22" t="s">
        <v>1143</v>
      </c>
      <c r="K205" s="22" t="s">
        <v>2800</v>
      </c>
      <c r="L205" s="18" t="s">
        <v>2801</v>
      </c>
      <c r="M205" s="18"/>
      <c r="N205" s="18" t="s">
        <v>2802</v>
      </c>
      <c r="O205" s="18" t="s">
        <v>2297</v>
      </c>
      <c r="P205" s="18" t="e">
        <f t="shared" si="7"/>
        <v>#REF!</v>
      </c>
      <c r="Q205" s="19" t="e">
        <f>IF(R205=0,VLOOKUP(G205,#REF!, 3),R205)</f>
        <v>#REF!</v>
      </c>
      <c r="R205" s="13" t="e">
        <f>VLOOKUP(G205,#REF!, 5)</f>
        <v>#REF!</v>
      </c>
      <c r="S205" s="18" t="s">
        <v>18</v>
      </c>
      <c r="T205" s="43"/>
      <c r="V205" s="4" t="s">
        <v>2547</v>
      </c>
      <c r="AA205"/>
    </row>
    <row r="206" spans="1:27" ht="298.2" customHeight="1" x14ac:dyDescent="0.2">
      <c r="A206" s="12" t="s">
        <v>1144</v>
      </c>
      <c r="B206" s="12" t="s">
        <v>1145</v>
      </c>
      <c r="C206" s="37" t="s">
        <v>1146</v>
      </c>
      <c r="D206" s="12" t="s">
        <v>2803</v>
      </c>
      <c r="E206" s="8" t="s">
        <v>1148</v>
      </c>
      <c r="F206" s="8" t="s">
        <v>472</v>
      </c>
      <c r="G206" s="8" t="str">
        <f t="shared" si="6"/>
        <v>S1-00320</v>
      </c>
      <c r="H206" s="52" t="e">
        <f>VLOOKUP(G206,#REF!, 2)</f>
        <v>#REF!</v>
      </c>
      <c r="I206" s="52" t="e">
        <f>VLOOKUP(G206,#REF!, 4)</f>
        <v>#REF!</v>
      </c>
      <c r="J206" s="22" t="s">
        <v>1129</v>
      </c>
      <c r="K206" s="22" t="s">
        <v>2804</v>
      </c>
      <c r="L206" s="18" t="s">
        <v>2805</v>
      </c>
      <c r="M206" s="18" t="s">
        <v>2806</v>
      </c>
      <c r="N206" s="18"/>
      <c r="O206" s="18"/>
      <c r="P206" s="18" t="e">
        <f t="shared" si="7"/>
        <v>#REF!</v>
      </c>
      <c r="Q206" s="19" t="e">
        <f>IF(R206=0,VLOOKUP(G206,#REF!, 3),R206)</f>
        <v>#REF!</v>
      </c>
      <c r="R206" s="13" t="e">
        <f>VLOOKUP(G206,#REF!, 5)</f>
        <v>#REF!</v>
      </c>
      <c r="S206" s="18" t="s">
        <v>18</v>
      </c>
      <c r="T206" s="43" t="s">
        <v>2807</v>
      </c>
      <c r="U206" s="4" t="s">
        <v>2309</v>
      </c>
      <c r="V206" s="4" t="s">
        <v>2547</v>
      </c>
      <c r="AA206"/>
    </row>
    <row r="207" spans="1:27" ht="378.7" customHeight="1" x14ac:dyDescent="0.2">
      <c r="A207" s="12" t="s">
        <v>1149</v>
      </c>
      <c r="B207" s="12" t="s">
        <v>1150</v>
      </c>
      <c r="C207" s="37" t="s">
        <v>1151</v>
      </c>
      <c r="D207" s="12" t="s">
        <v>1152</v>
      </c>
      <c r="E207" s="8" t="s">
        <v>1148</v>
      </c>
      <c r="F207" s="8" t="s">
        <v>559</v>
      </c>
      <c r="G207" s="8" t="str">
        <f t="shared" si="6"/>
        <v>S1-00321</v>
      </c>
      <c r="H207" s="52" t="e">
        <f>VLOOKUP(G207,#REF!, 2)</f>
        <v>#REF!</v>
      </c>
      <c r="I207" s="52" t="e">
        <f>VLOOKUP(G207,#REF!, 4)</f>
        <v>#REF!</v>
      </c>
      <c r="J207" s="22" t="s">
        <v>1153</v>
      </c>
      <c r="K207" s="22" t="s">
        <v>2808</v>
      </c>
      <c r="L207" s="18" t="s">
        <v>2809</v>
      </c>
      <c r="M207" s="18" t="s">
        <v>2810</v>
      </c>
      <c r="N207" s="18"/>
      <c r="O207" s="18"/>
      <c r="P207" s="18" t="e">
        <f>IF(Q207=0,"",Q207)</f>
        <v>#REF!</v>
      </c>
      <c r="Q207" s="19" t="e">
        <f>IF(R207=0,VLOOKUP(G207,#REF!, 3),R207)</f>
        <v>#REF!</v>
      </c>
      <c r="R207" s="13" t="e">
        <f>VLOOKUP(G207,#REF!, 5)</f>
        <v>#REF!</v>
      </c>
      <c r="S207" s="18" t="s">
        <v>18</v>
      </c>
      <c r="T207" s="43" t="s">
        <v>2811</v>
      </c>
      <c r="U207" s="4" t="s">
        <v>2309</v>
      </c>
      <c r="V207" s="4" t="s">
        <v>2547</v>
      </c>
      <c r="AA207"/>
    </row>
    <row r="208" spans="1:27" ht="81" customHeight="1" x14ac:dyDescent="0.2">
      <c r="A208" s="12" t="s">
        <v>1154</v>
      </c>
      <c r="B208" s="12" t="s">
        <v>1155</v>
      </c>
      <c r="C208" s="37" t="s">
        <v>1156</v>
      </c>
      <c r="D208" s="12" t="s">
        <v>2812</v>
      </c>
      <c r="E208" s="8" t="s">
        <v>1148</v>
      </c>
      <c r="F208" s="8" t="s">
        <v>1158</v>
      </c>
      <c r="G208" s="8" t="str">
        <f t="shared" si="6"/>
        <v>S1-00322</v>
      </c>
      <c r="H208" s="52" t="e">
        <f>VLOOKUP(G208,#REF!, 2)</f>
        <v>#REF!</v>
      </c>
      <c r="I208" s="52" t="e">
        <f>VLOOKUP(G208,#REF!, 4)</f>
        <v>#REF!</v>
      </c>
      <c r="J208" s="22" t="s">
        <v>1129</v>
      </c>
      <c r="K208" s="22" t="s">
        <v>2813</v>
      </c>
      <c r="L208" s="18" t="s">
        <v>2814</v>
      </c>
      <c r="M208" s="18" t="s">
        <v>2815</v>
      </c>
      <c r="N208" s="18"/>
      <c r="O208" s="35"/>
      <c r="P208" s="18" t="e">
        <f t="shared" si="7"/>
        <v>#REF!</v>
      </c>
      <c r="Q208" s="19" t="e">
        <f>IF(R208=0,VLOOKUP(G208,#REF!, 3),R208)</f>
        <v>#REF!</v>
      </c>
      <c r="R208" s="13" t="e">
        <f>VLOOKUP(G208,#REF!, 5)</f>
        <v>#REF!</v>
      </c>
      <c r="S208" s="18" t="s">
        <v>18</v>
      </c>
      <c r="T208" s="43" t="s">
        <v>2816</v>
      </c>
      <c r="U208" s="4" t="s">
        <v>2321</v>
      </c>
      <c r="V208" s="4" t="s">
        <v>2547</v>
      </c>
      <c r="AA208"/>
    </row>
    <row r="209" spans="1:27" ht="409.1" customHeight="1" x14ac:dyDescent="0.2">
      <c r="A209" s="12" t="s">
        <v>1159</v>
      </c>
      <c r="B209" s="12" t="s">
        <v>1160</v>
      </c>
      <c r="C209" s="37" t="s">
        <v>1161</v>
      </c>
      <c r="D209" s="12" t="s">
        <v>1147</v>
      </c>
      <c r="E209" s="8" t="s">
        <v>1162</v>
      </c>
      <c r="F209" s="8" t="s">
        <v>472</v>
      </c>
      <c r="G209" s="8" t="str">
        <f t="shared" si="6"/>
        <v>S1-00323</v>
      </c>
      <c r="H209" s="52" t="e">
        <f>VLOOKUP(G209,#REF!, 2)</f>
        <v>#REF!</v>
      </c>
      <c r="I209" s="52" t="e">
        <f>VLOOKUP(G209,#REF!, 4)</f>
        <v>#REF!</v>
      </c>
      <c r="J209" s="22" t="s">
        <v>1163</v>
      </c>
      <c r="K209" s="22" t="s">
        <v>2817</v>
      </c>
      <c r="L209" s="19" t="s">
        <v>2818</v>
      </c>
      <c r="M209" s="19" t="s">
        <v>2819</v>
      </c>
      <c r="N209" s="19"/>
      <c r="O209" s="19"/>
      <c r="P209" s="18" t="e">
        <f t="shared" si="7"/>
        <v>#REF!</v>
      </c>
      <c r="Q209" s="19" t="e">
        <f>IF(R209=0,VLOOKUP(G209,#REF!, 3),R209)</f>
        <v>#REF!</v>
      </c>
      <c r="R209" s="13" t="e">
        <f>VLOOKUP(G209,#REF!, 5)</f>
        <v>#REF!</v>
      </c>
      <c r="S209" s="18" t="s">
        <v>18</v>
      </c>
      <c r="T209" s="43" t="s">
        <v>2820</v>
      </c>
      <c r="U209" s="4" t="s">
        <v>2321</v>
      </c>
      <c r="V209" s="4" t="s">
        <v>2547</v>
      </c>
      <c r="AA209"/>
    </row>
    <row r="210" spans="1:27" ht="103.25" x14ac:dyDescent="0.2">
      <c r="A210" s="12" t="s">
        <v>1164</v>
      </c>
      <c r="B210" s="12" t="s">
        <v>1165</v>
      </c>
      <c r="C210" s="37" t="s">
        <v>1166</v>
      </c>
      <c r="D210" s="12" t="s">
        <v>2821</v>
      </c>
      <c r="E210" s="8" t="s">
        <v>1162</v>
      </c>
      <c r="F210" s="8" t="s">
        <v>1168</v>
      </c>
      <c r="G210" s="8" t="str">
        <f t="shared" si="6"/>
        <v>S1-00324</v>
      </c>
      <c r="H210" s="52" t="e">
        <f>VLOOKUP(G210,#REF!, 2)</f>
        <v>#REF!</v>
      </c>
      <c r="I210" s="52" t="e">
        <f>VLOOKUP(G210,#REF!, 4)</f>
        <v>#REF!</v>
      </c>
      <c r="J210" s="22" t="s">
        <v>1163</v>
      </c>
      <c r="K210" s="22" t="s">
        <v>2817</v>
      </c>
      <c r="L210" s="18" t="s">
        <v>2822</v>
      </c>
      <c r="M210" s="19" t="s">
        <v>2823</v>
      </c>
      <c r="N210" s="18"/>
      <c r="O210" s="35"/>
      <c r="P210" s="18" t="e">
        <f t="shared" si="7"/>
        <v>#REF!</v>
      </c>
      <c r="Q210" s="19" t="e">
        <f>IF(R210=0,VLOOKUP(G210,#REF!, 3),R210)</f>
        <v>#REF!</v>
      </c>
      <c r="R210" s="13" t="e">
        <f>VLOOKUP(G210,#REF!, 5)</f>
        <v>#REF!</v>
      </c>
      <c r="S210" s="18" t="s">
        <v>18</v>
      </c>
      <c r="T210" s="43" t="s">
        <v>2824</v>
      </c>
      <c r="U210" s="4" t="s">
        <v>2321</v>
      </c>
      <c r="V210" s="4" t="s">
        <v>2547</v>
      </c>
      <c r="AA210"/>
    </row>
    <row r="211" spans="1:27" ht="129.1" x14ac:dyDescent="0.2">
      <c r="A211" s="12" t="s">
        <v>1169</v>
      </c>
      <c r="B211" s="12" t="s">
        <v>1170</v>
      </c>
      <c r="C211" s="37" t="s">
        <v>1171</v>
      </c>
      <c r="D211" s="12" t="s">
        <v>1152</v>
      </c>
      <c r="E211" s="8" t="s">
        <v>1162</v>
      </c>
      <c r="F211" s="8" t="s">
        <v>1172</v>
      </c>
      <c r="G211" s="8" t="str">
        <f t="shared" si="6"/>
        <v>S1-00325</v>
      </c>
      <c r="H211" s="52" t="e">
        <f>VLOOKUP(G211,#REF!, 2)</f>
        <v>#REF!</v>
      </c>
      <c r="I211" s="52" t="e">
        <f>VLOOKUP(G211,#REF!, 4)</f>
        <v>#REF!</v>
      </c>
      <c r="J211" s="22" t="s">
        <v>1163</v>
      </c>
      <c r="K211" s="22" t="s">
        <v>2817</v>
      </c>
      <c r="L211" s="18" t="s">
        <v>2825</v>
      </c>
      <c r="M211" s="18" t="s">
        <v>2826</v>
      </c>
      <c r="N211" s="18"/>
      <c r="O211" s="18"/>
      <c r="P211" s="18" t="e">
        <f t="shared" si="7"/>
        <v>#REF!</v>
      </c>
      <c r="Q211" s="19" t="e">
        <f>IF(R211=0,VLOOKUP(G211,#REF!, 3),R211)</f>
        <v>#REF!</v>
      </c>
      <c r="R211" s="13" t="e">
        <f>VLOOKUP(G211,#REF!, 5)</f>
        <v>#REF!</v>
      </c>
      <c r="S211" s="18" t="s">
        <v>18</v>
      </c>
      <c r="T211" s="43" t="s">
        <v>2827</v>
      </c>
      <c r="U211" s="4" t="s">
        <v>2309</v>
      </c>
      <c r="V211" s="4" t="s">
        <v>2547</v>
      </c>
      <c r="AA211"/>
    </row>
    <row r="212" spans="1:27" ht="236.75" customHeight="1" x14ac:dyDescent="0.2">
      <c r="A212" s="12" t="s">
        <v>1173</v>
      </c>
      <c r="B212" s="12" t="s">
        <v>1174</v>
      </c>
      <c r="C212" s="37" t="s">
        <v>1175</v>
      </c>
      <c r="D212" s="12" t="s">
        <v>2828</v>
      </c>
      <c r="E212" s="8" t="s">
        <v>1162</v>
      </c>
      <c r="F212" s="8" t="s">
        <v>1177</v>
      </c>
      <c r="G212" s="8" t="str">
        <f t="shared" si="6"/>
        <v>S1-00326</v>
      </c>
      <c r="H212" s="52" t="e">
        <f>VLOOKUP(G212,#REF!, 2)</f>
        <v>#REF!</v>
      </c>
      <c r="I212" s="52" t="e">
        <f>VLOOKUP(G212,#REF!, 4)</f>
        <v>#REF!</v>
      </c>
      <c r="J212" s="22" t="s">
        <v>1163</v>
      </c>
      <c r="K212" s="22" t="s">
        <v>2817</v>
      </c>
      <c r="L212" s="18" t="s">
        <v>2829</v>
      </c>
      <c r="M212" s="18" t="s">
        <v>2830</v>
      </c>
      <c r="N212" s="18"/>
      <c r="O212" s="18"/>
      <c r="P212" s="18" t="e">
        <f t="shared" si="7"/>
        <v>#REF!</v>
      </c>
      <c r="Q212" s="19" t="e">
        <f>IF(R212=0,VLOOKUP(G212,#REF!, 3),R212)</f>
        <v>#REF!</v>
      </c>
      <c r="R212" s="13" t="e">
        <f>VLOOKUP(G212,#REF!, 5)</f>
        <v>#REF!</v>
      </c>
      <c r="S212" s="18" t="s">
        <v>18</v>
      </c>
      <c r="T212" s="43" t="s">
        <v>2824</v>
      </c>
      <c r="U212" s="4" t="s">
        <v>2309</v>
      </c>
      <c r="V212" s="4" t="s">
        <v>2547</v>
      </c>
      <c r="AA212"/>
    </row>
    <row r="213" spans="1:27" ht="193.6" x14ac:dyDescent="0.2">
      <c r="A213" s="12" t="s">
        <v>1178</v>
      </c>
      <c r="B213" s="12" t="s">
        <v>1179</v>
      </c>
      <c r="C213" s="37" t="s">
        <v>1180</v>
      </c>
      <c r="D213" s="12" t="s">
        <v>1181</v>
      </c>
      <c r="E213" s="8" t="s">
        <v>1182</v>
      </c>
      <c r="F213" s="8" t="s">
        <v>472</v>
      </c>
      <c r="G213" s="8" t="str">
        <f t="shared" si="6"/>
        <v>S1-00327</v>
      </c>
      <c r="H213" s="52" t="e">
        <f>VLOOKUP(G213,#REF!, 2)</f>
        <v>#REF!</v>
      </c>
      <c r="I213" s="52" t="e">
        <f>VLOOKUP(G213,#REF!, 4)</f>
        <v>#REF!</v>
      </c>
      <c r="J213" s="22" t="s">
        <v>1183</v>
      </c>
      <c r="K213" s="22" t="s">
        <v>2831</v>
      </c>
      <c r="L213" s="18" t="s">
        <v>2832</v>
      </c>
      <c r="M213" s="18"/>
      <c r="N213" s="18"/>
      <c r="O213" s="18"/>
      <c r="P213" s="18" t="e">
        <f t="shared" si="7"/>
        <v>#REF!</v>
      </c>
      <c r="Q213" s="19" t="e">
        <f>IF(R213=0,VLOOKUP(G213,#REF!, 3),R213)</f>
        <v>#REF!</v>
      </c>
      <c r="R213" s="13" t="e">
        <f>VLOOKUP(G213,#REF!, 5)</f>
        <v>#REF!</v>
      </c>
      <c r="S213" s="18" t="s">
        <v>18</v>
      </c>
      <c r="T213" s="43" t="s">
        <v>2833</v>
      </c>
      <c r="V213" s="4" t="s">
        <v>2547</v>
      </c>
      <c r="AA213"/>
    </row>
    <row r="214" spans="1:27" ht="77.45" x14ac:dyDescent="0.2">
      <c r="A214" s="12" t="s">
        <v>1184</v>
      </c>
      <c r="B214" s="12" t="s">
        <v>1185</v>
      </c>
      <c r="C214" s="37" t="s">
        <v>1186</v>
      </c>
      <c r="D214" s="12" t="s">
        <v>1187</v>
      </c>
      <c r="E214" s="8" t="s">
        <v>1188</v>
      </c>
      <c r="F214" s="8" t="s">
        <v>153</v>
      </c>
      <c r="G214" s="8" t="str">
        <f t="shared" si="6"/>
        <v>S1-00328</v>
      </c>
      <c r="H214" s="52" t="e">
        <f>VLOOKUP(G214,#REF!, 2)</f>
        <v>#REF!</v>
      </c>
      <c r="I214" s="52" t="e">
        <f>VLOOKUP(G214,#REF!, 4)</f>
        <v>#REF!</v>
      </c>
      <c r="J214" s="22" t="s">
        <v>1189</v>
      </c>
      <c r="K214" s="22" t="s">
        <v>2834</v>
      </c>
      <c r="L214" s="18" t="s">
        <v>2835</v>
      </c>
      <c r="M214" s="18"/>
      <c r="N214" s="18"/>
      <c r="O214" s="18"/>
      <c r="P214" s="18" t="e">
        <f t="shared" si="7"/>
        <v>#REF!</v>
      </c>
      <c r="Q214" s="19" t="e">
        <f>IF(R214=0,VLOOKUP(G214,#REF!, 3),R214)</f>
        <v>#REF!</v>
      </c>
      <c r="R214" s="13" t="e">
        <f>VLOOKUP(G214,#REF!, 5)</f>
        <v>#REF!</v>
      </c>
      <c r="S214" s="18" t="s">
        <v>18</v>
      </c>
      <c r="T214" s="43"/>
      <c r="AA214"/>
    </row>
    <row r="215" spans="1:27" ht="210.6" customHeight="1" x14ac:dyDescent="0.2">
      <c r="A215" s="12" t="s">
        <v>1190</v>
      </c>
      <c r="B215" s="12" t="s">
        <v>1191</v>
      </c>
      <c r="C215" s="37" t="s">
        <v>1192</v>
      </c>
      <c r="D215" s="12" t="s">
        <v>1193</v>
      </c>
      <c r="E215" s="8" t="s">
        <v>1194</v>
      </c>
      <c r="F215" s="8" t="s">
        <v>66</v>
      </c>
      <c r="G215" s="8" t="str">
        <f t="shared" si="6"/>
        <v>S1-00329</v>
      </c>
      <c r="H215" s="52" t="e">
        <f>VLOOKUP(G215,#REF!, 2)</f>
        <v>#REF!</v>
      </c>
      <c r="I215" s="52" t="e">
        <f>VLOOKUP(G215,#REF!, 4)</f>
        <v>#REF!</v>
      </c>
      <c r="J215" s="22" t="s">
        <v>1195</v>
      </c>
      <c r="K215" s="22" t="s">
        <v>2836</v>
      </c>
      <c r="L215" s="18" t="s">
        <v>2837</v>
      </c>
      <c r="M215" s="18"/>
      <c r="N215" s="18"/>
      <c r="O215" s="18"/>
      <c r="P215" s="18" t="e">
        <f t="shared" si="7"/>
        <v>#REF!</v>
      </c>
      <c r="Q215" s="19" t="e">
        <f>IF(R215=0,VLOOKUP(G215,#REF!, 3),R215)</f>
        <v>#REF!</v>
      </c>
      <c r="R215" s="13" t="e">
        <f>VLOOKUP(G215,#REF!, 5)</f>
        <v>#REF!</v>
      </c>
      <c r="S215" s="18" t="s">
        <v>18</v>
      </c>
      <c r="T215" s="43"/>
      <c r="AA215"/>
    </row>
    <row r="216" spans="1:27" ht="312.64999999999998" customHeight="1" x14ac:dyDescent="0.2">
      <c r="A216" s="12" t="s">
        <v>1196</v>
      </c>
      <c r="B216" s="12" t="s">
        <v>1197</v>
      </c>
      <c r="C216" s="37" t="s">
        <v>1198</v>
      </c>
      <c r="D216" s="12" t="s">
        <v>1199</v>
      </c>
      <c r="E216" s="8" t="s">
        <v>1200</v>
      </c>
      <c r="F216" s="8" t="s">
        <v>66</v>
      </c>
      <c r="G216" s="8" t="str">
        <f t="shared" si="6"/>
        <v>S1-00330</v>
      </c>
      <c r="H216" s="52" t="e">
        <f>VLOOKUP(G216,#REF!, 2)</f>
        <v>#REF!</v>
      </c>
      <c r="I216" s="52" t="e">
        <f>VLOOKUP(G216,#REF!, 4)</f>
        <v>#REF!</v>
      </c>
      <c r="J216" s="22" t="s">
        <v>1195</v>
      </c>
      <c r="K216" s="22" t="s">
        <v>2838</v>
      </c>
      <c r="L216" s="18" t="s">
        <v>2839</v>
      </c>
      <c r="M216" s="18"/>
      <c r="N216" s="19" t="s">
        <v>2840</v>
      </c>
      <c r="O216" s="18" t="s">
        <v>2297</v>
      </c>
      <c r="P216" s="18" t="e">
        <f t="shared" si="7"/>
        <v>#REF!</v>
      </c>
      <c r="Q216" s="19" t="e">
        <f>IF(R216=0,VLOOKUP(G216,#REF!, 3),R216)</f>
        <v>#REF!</v>
      </c>
      <c r="R216" s="13" t="e">
        <f>VLOOKUP(G216,#REF!, 5)</f>
        <v>#REF!</v>
      </c>
      <c r="S216" s="18" t="s">
        <v>18</v>
      </c>
      <c r="T216" s="43"/>
      <c r="AA216"/>
    </row>
    <row r="217" spans="1:27" ht="90.35" x14ac:dyDescent="0.2">
      <c r="A217" s="12" t="s">
        <v>1201</v>
      </c>
      <c r="B217" s="12" t="s">
        <v>1202</v>
      </c>
      <c r="C217" s="37" t="s">
        <v>1203</v>
      </c>
      <c r="D217" s="12" t="s">
        <v>1204</v>
      </c>
      <c r="E217" s="8" t="s">
        <v>1205</v>
      </c>
      <c r="F217" s="8" t="s">
        <v>116</v>
      </c>
      <c r="G217" s="8" t="str">
        <f t="shared" si="6"/>
        <v>S1-00331</v>
      </c>
      <c r="H217" s="52" t="e">
        <f>VLOOKUP(G217,#REF!, 2)</f>
        <v>#REF!</v>
      </c>
      <c r="I217" s="52" t="e">
        <f>VLOOKUP(G217,#REF!, 4)</f>
        <v>#REF!</v>
      </c>
      <c r="J217" s="22" t="s">
        <v>1206</v>
      </c>
      <c r="K217" s="22" t="s">
        <v>2841</v>
      </c>
      <c r="L217" s="18" t="s">
        <v>2842</v>
      </c>
      <c r="M217" s="18" t="s">
        <v>2843</v>
      </c>
      <c r="N217" s="18"/>
      <c r="O217" s="35"/>
      <c r="P217" s="18" t="e">
        <f t="shared" si="7"/>
        <v>#REF!</v>
      </c>
      <c r="Q217" s="19" t="e">
        <f>IF(R217=0,VLOOKUP(G217,#REF!, 3),R217)</f>
        <v>#REF!</v>
      </c>
      <c r="R217" s="13" t="e">
        <f>VLOOKUP(G217,#REF!, 5)</f>
        <v>#REF!</v>
      </c>
      <c r="S217" s="18" t="s">
        <v>18</v>
      </c>
      <c r="T217" s="43" t="s">
        <v>2844</v>
      </c>
      <c r="U217" s="4" t="s">
        <v>2321</v>
      </c>
      <c r="V217" s="12" t="s">
        <v>2845</v>
      </c>
      <c r="AA217"/>
    </row>
    <row r="218" spans="1:27" ht="232.3" x14ac:dyDescent="0.2">
      <c r="A218" s="12" t="s">
        <v>1207</v>
      </c>
      <c r="B218" s="12" t="s">
        <v>1208</v>
      </c>
      <c r="C218" s="37" t="s">
        <v>1209</v>
      </c>
      <c r="D218" s="12" t="s">
        <v>2846</v>
      </c>
      <c r="E218" s="8" t="s">
        <v>1211</v>
      </c>
      <c r="F218" s="8" t="s">
        <v>116</v>
      </c>
      <c r="G218" s="8" t="str">
        <f t="shared" si="6"/>
        <v>S1-00332</v>
      </c>
      <c r="H218" s="52" t="e">
        <f>VLOOKUP(G218,#REF!, 2)</f>
        <v>#REF!</v>
      </c>
      <c r="I218" s="52" t="e">
        <f>VLOOKUP(G218,#REF!, 4)</f>
        <v>#REF!</v>
      </c>
      <c r="J218" s="22" t="s">
        <v>1212</v>
      </c>
      <c r="K218" s="22" t="s">
        <v>2847</v>
      </c>
      <c r="L218" s="18" t="s">
        <v>2848</v>
      </c>
      <c r="M218" s="18"/>
      <c r="N218" s="19" t="s">
        <v>2849</v>
      </c>
      <c r="O218" s="19" t="s">
        <v>2297</v>
      </c>
      <c r="P218" s="18" t="e">
        <f t="shared" si="7"/>
        <v>#REF!</v>
      </c>
      <c r="Q218" s="19" t="e">
        <f>IF(R218=0,VLOOKUP(G218,#REF!, 3),R218)</f>
        <v>#REF!</v>
      </c>
      <c r="R218" s="13" t="e">
        <f>VLOOKUP(G218,#REF!, 5)</f>
        <v>#REF!</v>
      </c>
      <c r="S218" s="18" t="s">
        <v>18</v>
      </c>
      <c r="T218" s="43"/>
      <c r="V218" s="12" t="s">
        <v>2845</v>
      </c>
      <c r="AA218"/>
    </row>
    <row r="219" spans="1:27" ht="64.55" x14ac:dyDescent="0.2">
      <c r="A219" s="12" t="s">
        <v>1207</v>
      </c>
      <c r="B219" s="12" t="s">
        <v>1213</v>
      </c>
      <c r="C219" s="37" t="s">
        <v>1214</v>
      </c>
      <c r="D219" s="12" t="s">
        <v>1215</v>
      </c>
      <c r="E219" s="8" t="s">
        <v>1211</v>
      </c>
      <c r="F219" s="8" t="s">
        <v>116</v>
      </c>
      <c r="G219" s="8" t="str">
        <f t="shared" si="6"/>
        <v>S1-00333</v>
      </c>
      <c r="H219" s="52" t="e">
        <f>VLOOKUP(G219,#REF!, 2)</f>
        <v>#REF!</v>
      </c>
      <c r="I219" s="52" t="e">
        <f>VLOOKUP(G219,#REF!, 4)</f>
        <v>#REF!</v>
      </c>
      <c r="J219" s="22" t="s">
        <v>1216</v>
      </c>
      <c r="K219" s="22" t="s">
        <v>2850</v>
      </c>
      <c r="L219" s="18" t="s">
        <v>2851</v>
      </c>
      <c r="M219" s="18"/>
      <c r="N219" s="19" t="s">
        <v>2849</v>
      </c>
      <c r="O219" s="19" t="s">
        <v>2297</v>
      </c>
      <c r="P219" s="18" t="e">
        <f t="shared" si="7"/>
        <v>#REF!</v>
      </c>
      <c r="Q219" s="19" t="e">
        <f>IF(R219=0,VLOOKUP(G219,#REF!, 3),R219)</f>
        <v>#REF!</v>
      </c>
      <c r="R219" s="13" t="e">
        <f>VLOOKUP(G219,#REF!, 5)</f>
        <v>#REF!</v>
      </c>
      <c r="S219" s="18" t="s">
        <v>18</v>
      </c>
      <c r="T219" s="43"/>
      <c r="V219" s="12" t="s">
        <v>2845</v>
      </c>
      <c r="AA219"/>
    </row>
    <row r="220" spans="1:27" ht="103.25" x14ac:dyDescent="0.2">
      <c r="A220" s="12" t="s">
        <v>1217</v>
      </c>
      <c r="B220" s="12" t="s">
        <v>1218</v>
      </c>
      <c r="C220" s="37" t="s">
        <v>1219</v>
      </c>
      <c r="D220" s="12" t="s">
        <v>1220</v>
      </c>
      <c r="E220" s="8" t="s">
        <v>1221</v>
      </c>
      <c r="F220" s="8" t="s">
        <v>66</v>
      </c>
      <c r="G220" s="8" t="str">
        <f t="shared" si="6"/>
        <v>S1-00334</v>
      </c>
      <c r="H220" s="52" t="e">
        <f>VLOOKUP(G220,#REF!, 2)</f>
        <v>#REF!</v>
      </c>
      <c r="I220" s="52" t="e">
        <f>VLOOKUP(G220,#REF!, 4)</f>
        <v>#REF!</v>
      </c>
      <c r="J220" s="22" t="s">
        <v>1222</v>
      </c>
      <c r="K220" s="22" t="s">
        <v>2852</v>
      </c>
      <c r="L220" s="18" t="s">
        <v>2853</v>
      </c>
      <c r="M220" s="18"/>
      <c r="N220" s="19" t="s">
        <v>2854</v>
      </c>
      <c r="O220" s="19" t="s">
        <v>2297</v>
      </c>
      <c r="P220" s="18" t="e">
        <f t="shared" si="7"/>
        <v>#REF!</v>
      </c>
      <c r="Q220" s="19" t="e">
        <f>IF(R220=0,VLOOKUP(G220,#REF!, 3),R220)</f>
        <v>#REF!</v>
      </c>
      <c r="R220" s="13" t="e">
        <f>VLOOKUP(G220,#REF!, 5)</f>
        <v>#REF!</v>
      </c>
      <c r="S220" s="18" t="s">
        <v>18</v>
      </c>
      <c r="T220" s="43"/>
      <c r="V220" s="12" t="s">
        <v>2845</v>
      </c>
      <c r="AA220"/>
    </row>
    <row r="221" spans="1:27" ht="51.65" x14ac:dyDescent="0.2">
      <c r="A221" s="12" t="s">
        <v>1223</v>
      </c>
      <c r="B221" s="12" t="s">
        <v>1224</v>
      </c>
      <c r="C221" s="37" t="s">
        <v>1225</v>
      </c>
      <c r="D221" s="12" t="s">
        <v>1226</v>
      </c>
      <c r="E221" s="8" t="s">
        <v>1221</v>
      </c>
      <c r="F221" s="8" t="s">
        <v>116</v>
      </c>
      <c r="G221" s="8" t="str">
        <f t="shared" si="6"/>
        <v>S1-00335</v>
      </c>
      <c r="H221" s="52" t="e">
        <f>VLOOKUP(G221,#REF!, 2)</f>
        <v>#REF!</v>
      </c>
      <c r="I221" s="52" t="e">
        <f>VLOOKUP(G221,#REF!, 4)</f>
        <v>#REF!</v>
      </c>
      <c r="J221" s="22" t="s">
        <v>1227</v>
      </c>
      <c r="K221" s="22" t="s">
        <v>2345</v>
      </c>
      <c r="L221" s="18" t="s">
        <v>2855</v>
      </c>
      <c r="M221" s="18"/>
      <c r="N221" s="18"/>
      <c r="O221" s="18"/>
      <c r="P221" s="18" t="e">
        <f t="shared" si="7"/>
        <v>#REF!</v>
      </c>
      <c r="Q221" s="19" t="e">
        <f>IF(R221=0,VLOOKUP(G221,#REF!, 3),R221)</f>
        <v>#REF!</v>
      </c>
      <c r="R221" s="13" t="e">
        <f>VLOOKUP(G221,#REF!, 5)</f>
        <v>#REF!</v>
      </c>
      <c r="S221" s="18" t="s">
        <v>18</v>
      </c>
      <c r="T221" s="43"/>
      <c r="V221" s="12" t="s">
        <v>2845</v>
      </c>
      <c r="AA221"/>
    </row>
    <row r="222" spans="1:27" ht="198.7" customHeight="1" x14ac:dyDescent="0.2">
      <c r="A222" s="12" t="s">
        <v>1228</v>
      </c>
      <c r="B222" s="4" t="s">
        <v>1229</v>
      </c>
      <c r="C222" s="7" t="s">
        <v>1230</v>
      </c>
      <c r="D222" s="4" t="s">
        <v>1231</v>
      </c>
      <c r="E222" s="8" t="s">
        <v>1232</v>
      </c>
      <c r="F222" s="8" t="s">
        <v>116</v>
      </c>
      <c r="G222" s="8" t="str">
        <f t="shared" si="6"/>
        <v>S1-00336</v>
      </c>
      <c r="H222" s="8" t="e">
        <f>VLOOKUP(G222,#REF!, 2)</f>
        <v>#REF!</v>
      </c>
      <c r="I222" s="8" t="e">
        <f>VLOOKUP(G222,#REF!, 4)</f>
        <v>#REF!</v>
      </c>
      <c r="J222" s="22" t="s">
        <v>1233</v>
      </c>
      <c r="K222" s="22" t="s">
        <v>2856</v>
      </c>
      <c r="L222" s="18" t="s">
        <v>2857</v>
      </c>
      <c r="M222" s="18" t="s">
        <v>2858</v>
      </c>
      <c r="N222" s="19" t="s">
        <v>2859</v>
      </c>
      <c r="O222" s="19" t="s">
        <v>2297</v>
      </c>
      <c r="P222" s="18" t="e">
        <f t="shared" si="7"/>
        <v>#REF!</v>
      </c>
      <c r="Q222" s="19" t="e">
        <f>IF(R222=0,VLOOKUP(G222,#REF!, 3),R222)</f>
        <v>#REF!</v>
      </c>
      <c r="R222" s="13" t="e">
        <f>VLOOKUP(G222,#REF!, 5)</f>
        <v>#REF!</v>
      </c>
      <c r="S222" s="18" t="s">
        <v>18</v>
      </c>
      <c r="T222" s="43" t="s">
        <v>2860</v>
      </c>
      <c r="V222" s="12" t="s">
        <v>2845</v>
      </c>
      <c r="W222" s="4" t="s">
        <v>2861</v>
      </c>
      <c r="AA222"/>
    </row>
    <row r="223" spans="1:27" ht="283.10000000000002" customHeight="1" x14ac:dyDescent="0.2">
      <c r="A223" s="12" t="s">
        <v>1234</v>
      </c>
      <c r="B223" s="12" t="s">
        <v>1235</v>
      </c>
      <c r="C223" s="37" t="s">
        <v>1236</v>
      </c>
      <c r="D223" s="12" t="s">
        <v>1237</v>
      </c>
      <c r="E223" s="8" t="s">
        <v>1232</v>
      </c>
      <c r="F223" s="8" t="s">
        <v>122</v>
      </c>
      <c r="G223" s="8" t="str">
        <f t="shared" si="6"/>
        <v>S1-00337</v>
      </c>
      <c r="H223" s="52" t="e">
        <f>VLOOKUP(G223,#REF!, 2)</f>
        <v>#REF!</v>
      </c>
      <c r="I223" s="52" t="e">
        <f>VLOOKUP(G223,#REF!, 4)</f>
        <v>#REF!</v>
      </c>
      <c r="J223" s="22" t="s">
        <v>1238</v>
      </c>
      <c r="K223" s="22" t="s">
        <v>2345</v>
      </c>
      <c r="L223" s="18" t="s">
        <v>2862</v>
      </c>
      <c r="M223" s="18"/>
      <c r="N223" s="18"/>
      <c r="O223" s="18"/>
      <c r="P223" s="18" t="e">
        <f t="shared" si="7"/>
        <v>#REF!</v>
      </c>
      <c r="Q223" s="19" t="e">
        <f>IF(R223=0,VLOOKUP(G223,#REF!, 3),R223)</f>
        <v>#REF!</v>
      </c>
      <c r="R223" s="13" t="e">
        <f>VLOOKUP(G223,#REF!, 5)</f>
        <v>#REF!</v>
      </c>
      <c r="S223" s="18" t="s">
        <v>18</v>
      </c>
      <c r="T223" s="43"/>
      <c r="V223" s="12" t="s">
        <v>2845</v>
      </c>
      <c r="AA223"/>
    </row>
    <row r="224" spans="1:27" ht="107.5" customHeight="1" x14ac:dyDescent="0.2">
      <c r="A224" s="12" t="s">
        <v>1239</v>
      </c>
      <c r="B224" s="12" t="s">
        <v>1240</v>
      </c>
      <c r="C224" s="37" t="s">
        <v>1241</v>
      </c>
      <c r="D224" s="12" t="s">
        <v>1242</v>
      </c>
      <c r="E224" s="8" t="s">
        <v>1232</v>
      </c>
      <c r="F224" s="8" t="s">
        <v>307</v>
      </c>
      <c r="G224" s="8" t="str">
        <f t="shared" si="6"/>
        <v>S1-00338</v>
      </c>
      <c r="H224" s="52" t="e">
        <f>VLOOKUP(G224,#REF!, 2)</f>
        <v>#REF!</v>
      </c>
      <c r="I224" s="52" t="e">
        <f>VLOOKUP(G224,#REF!, 4)</f>
        <v>#REF!</v>
      </c>
      <c r="J224" s="22" t="s">
        <v>1243</v>
      </c>
      <c r="K224" s="22" t="s">
        <v>2863</v>
      </c>
      <c r="L224" s="18" t="s">
        <v>2864</v>
      </c>
      <c r="M224" s="18"/>
      <c r="N224" s="19" t="s">
        <v>2865</v>
      </c>
      <c r="O224" s="19" t="s">
        <v>2297</v>
      </c>
      <c r="P224" s="18" t="e">
        <f t="shared" si="7"/>
        <v>#REF!</v>
      </c>
      <c r="Q224" s="19" t="e">
        <f>IF(R224=0,VLOOKUP(G224,#REF!, 3),R224)</f>
        <v>#REF!</v>
      </c>
      <c r="R224" s="13" t="e">
        <f>VLOOKUP(G224,#REF!, 5)</f>
        <v>#REF!</v>
      </c>
      <c r="S224" s="18" t="s">
        <v>18</v>
      </c>
      <c r="T224" s="43"/>
      <c r="V224" s="12" t="s">
        <v>2845</v>
      </c>
      <c r="AA224"/>
    </row>
    <row r="225" spans="1:27" ht="117" customHeight="1" x14ac:dyDescent="0.2">
      <c r="A225" s="12" t="s">
        <v>1244</v>
      </c>
      <c r="B225" s="12" t="s">
        <v>1245</v>
      </c>
      <c r="C225" s="37" t="s">
        <v>1246</v>
      </c>
      <c r="D225" s="12" t="s">
        <v>1247</v>
      </c>
      <c r="E225" s="8" t="s">
        <v>1232</v>
      </c>
      <c r="F225" s="8" t="s">
        <v>1122</v>
      </c>
      <c r="G225" s="8" t="str">
        <f t="shared" si="6"/>
        <v>S1-00339</v>
      </c>
      <c r="H225" s="52" t="e">
        <f>VLOOKUP(G225,#REF!, 2)</f>
        <v>#REF!</v>
      </c>
      <c r="I225" s="52" t="e">
        <f>VLOOKUP(G225,#REF!, 4)</f>
        <v>#REF!</v>
      </c>
      <c r="J225" s="22" t="s">
        <v>1248</v>
      </c>
      <c r="K225" s="22" t="s">
        <v>2345</v>
      </c>
      <c r="L225" s="18" t="s">
        <v>2866</v>
      </c>
      <c r="M225" s="18"/>
      <c r="N225" s="18"/>
      <c r="O225" s="18"/>
      <c r="P225" s="18" t="e">
        <f t="shared" si="7"/>
        <v>#REF!</v>
      </c>
      <c r="Q225" s="19" t="e">
        <f>IF(R225=0,VLOOKUP(G225,#REF!, 3),R225)</f>
        <v>#REF!</v>
      </c>
      <c r="R225" s="13" t="e">
        <f>VLOOKUP(G225,#REF!, 5)</f>
        <v>#REF!</v>
      </c>
      <c r="S225" s="18" t="s">
        <v>18</v>
      </c>
      <c r="T225" s="43"/>
      <c r="V225" s="12" t="s">
        <v>2845</v>
      </c>
      <c r="AA225"/>
    </row>
    <row r="226" spans="1:27" ht="90.35" x14ac:dyDescent="0.2">
      <c r="A226" s="12" t="s">
        <v>1250</v>
      </c>
      <c r="B226" s="12" t="s">
        <v>1251</v>
      </c>
      <c r="C226" s="37" t="s">
        <v>1252</v>
      </c>
      <c r="D226" s="12" t="s">
        <v>1253</v>
      </c>
      <c r="E226" s="8" t="s">
        <v>1232</v>
      </c>
      <c r="F226" s="8" t="s">
        <v>1254</v>
      </c>
      <c r="G226" s="8" t="str">
        <f t="shared" si="6"/>
        <v>S1-00340</v>
      </c>
      <c r="H226" s="52" t="e">
        <f>VLOOKUP(G226,#REF!, 2)</f>
        <v>#REF!</v>
      </c>
      <c r="I226" s="52" t="e">
        <f>VLOOKUP(G226,#REF!, 4)</f>
        <v>#REF!</v>
      </c>
      <c r="J226" s="22" t="s">
        <v>2867</v>
      </c>
      <c r="K226" s="22" t="s">
        <v>2345</v>
      </c>
      <c r="L226" s="18" t="s">
        <v>2868</v>
      </c>
      <c r="M226" s="18"/>
      <c r="N226" s="18"/>
      <c r="O226" s="18"/>
      <c r="P226" s="18" t="e">
        <f t="shared" si="7"/>
        <v>#REF!</v>
      </c>
      <c r="Q226" s="19" t="e">
        <f>IF(R226=0,VLOOKUP(G226,#REF!, 3),R226)</f>
        <v>#REF!</v>
      </c>
      <c r="R226" s="13" t="e">
        <f>VLOOKUP(G226,#REF!, 5)</f>
        <v>#REF!</v>
      </c>
      <c r="S226" s="18" t="s">
        <v>18</v>
      </c>
      <c r="T226" s="43"/>
      <c r="V226" s="12" t="s">
        <v>2845</v>
      </c>
      <c r="AA226"/>
    </row>
    <row r="227" spans="1:27" ht="110.75" customHeight="1" x14ac:dyDescent="0.2">
      <c r="A227" s="12" t="s">
        <v>1250</v>
      </c>
      <c r="B227" s="12" t="s">
        <v>1255</v>
      </c>
      <c r="C227" s="37" t="s">
        <v>1256</v>
      </c>
      <c r="D227" s="12" t="s">
        <v>1257</v>
      </c>
      <c r="E227" s="8" t="s">
        <v>1232</v>
      </c>
      <c r="F227" s="8" t="s">
        <v>1254</v>
      </c>
      <c r="G227" s="8" t="str">
        <f t="shared" si="6"/>
        <v>S1-00341</v>
      </c>
      <c r="H227" s="52" t="e">
        <f>VLOOKUP(G227,#REF!, 2)</f>
        <v>#REF!</v>
      </c>
      <c r="I227" s="52" t="e">
        <f>VLOOKUP(G227,#REF!, 4)</f>
        <v>#REF!</v>
      </c>
      <c r="J227" s="22" t="s">
        <v>1258</v>
      </c>
      <c r="K227" s="22" t="s">
        <v>2345</v>
      </c>
      <c r="L227" s="18" t="s">
        <v>2868</v>
      </c>
      <c r="M227" s="18"/>
      <c r="N227" s="18"/>
      <c r="O227" s="18"/>
      <c r="P227" s="18" t="e">
        <f t="shared" si="7"/>
        <v>#REF!</v>
      </c>
      <c r="Q227" s="19" t="e">
        <f>IF(R227=0,VLOOKUP(G227,#REF!, 3),R227)</f>
        <v>#REF!</v>
      </c>
      <c r="R227" s="13" t="e">
        <f>VLOOKUP(G227,#REF!, 5)</f>
        <v>#REF!</v>
      </c>
      <c r="S227" s="18" t="s">
        <v>18</v>
      </c>
      <c r="T227" s="43"/>
      <c r="V227" s="12" t="s">
        <v>2845</v>
      </c>
      <c r="AA227"/>
    </row>
    <row r="228" spans="1:27" ht="409.6" x14ac:dyDescent="0.2">
      <c r="A228" s="12" t="s">
        <v>1259</v>
      </c>
      <c r="B228" s="12" t="s">
        <v>1260</v>
      </c>
      <c r="C228" s="37" t="s">
        <v>1261</v>
      </c>
      <c r="D228" s="12" t="s">
        <v>1262</v>
      </c>
      <c r="E228" s="8" t="s">
        <v>1263</v>
      </c>
      <c r="F228" s="8" t="s">
        <v>66</v>
      </c>
      <c r="G228" s="8" t="str">
        <f t="shared" si="6"/>
        <v>S1-00342</v>
      </c>
      <c r="H228" s="52" t="e">
        <f>VLOOKUP(G228,#REF!, 2)</f>
        <v>#REF!</v>
      </c>
      <c r="I228" s="52" t="e">
        <f>VLOOKUP(G228,#REF!, 4)</f>
        <v>#REF!</v>
      </c>
      <c r="J228" s="22" t="s">
        <v>2869</v>
      </c>
      <c r="K228" s="22" t="s">
        <v>2863</v>
      </c>
      <c r="L228" s="18" t="s">
        <v>2870</v>
      </c>
      <c r="M228" s="18"/>
      <c r="N228" s="19" t="s">
        <v>2871</v>
      </c>
      <c r="O228" s="19" t="s">
        <v>2297</v>
      </c>
      <c r="P228" s="18" t="e">
        <f t="shared" si="7"/>
        <v>#REF!</v>
      </c>
      <c r="Q228" s="19" t="e">
        <f>IF(R228=0,VLOOKUP(G228,#REF!, 3),R228)</f>
        <v>#REF!</v>
      </c>
      <c r="R228" s="13" t="e">
        <f>VLOOKUP(G228,#REF!, 5)</f>
        <v>#REF!</v>
      </c>
      <c r="S228" s="18" t="s">
        <v>18</v>
      </c>
      <c r="T228" s="43"/>
      <c r="V228" s="12" t="s">
        <v>2845</v>
      </c>
      <c r="AA228"/>
    </row>
    <row r="229" spans="1:27" ht="325.2" customHeight="1" x14ac:dyDescent="0.2">
      <c r="A229" s="12" t="s">
        <v>1266</v>
      </c>
      <c r="B229" s="12" t="s">
        <v>1267</v>
      </c>
      <c r="C229" s="37" t="s">
        <v>1268</v>
      </c>
      <c r="D229" s="12" t="s">
        <v>1269</v>
      </c>
      <c r="E229" s="8" t="s">
        <v>1270</v>
      </c>
      <c r="F229" s="8" t="s">
        <v>66</v>
      </c>
      <c r="G229" s="8" t="str">
        <f t="shared" si="6"/>
        <v>S1-00344</v>
      </c>
      <c r="H229" s="52" t="e">
        <f>VLOOKUP(G229,#REF!, 2)</f>
        <v>#REF!</v>
      </c>
      <c r="I229" s="52" t="e">
        <f>VLOOKUP(G229,#REF!, 4)</f>
        <v>#REF!</v>
      </c>
      <c r="J229" s="22" t="s">
        <v>1271</v>
      </c>
      <c r="K229" s="22" t="s">
        <v>2872</v>
      </c>
      <c r="L229" s="18" t="s">
        <v>2873</v>
      </c>
      <c r="M229" s="18"/>
      <c r="N229" s="19" t="s">
        <v>2874</v>
      </c>
      <c r="O229" s="19" t="s">
        <v>2297</v>
      </c>
      <c r="P229" s="18" t="e">
        <f t="shared" si="7"/>
        <v>#REF!</v>
      </c>
      <c r="Q229" s="19" t="e">
        <f>IF(R229=0,VLOOKUP(G229,#REF!, 3),R229)</f>
        <v>#REF!</v>
      </c>
      <c r="R229" s="13" t="e">
        <f>VLOOKUP(G229,#REF!, 5)</f>
        <v>#REF!</v>
      </c>
      <c r="S229" s="18" t="s">
        <v>18</v>
      </c>
      <c r="T229" s="43"/>
      <c r="V229" s="12" t="s">
        <v>2845</v>
      </c>
      <c r="AA229"/>
    </row>
    <row r="230" spans="1:27" ht="142" x14ac:dyDescent="0.2">
      <c r="A230" s="12" t="s">
        <v>1272</v>
      </c>
      <c r="B230" s="12" t="s">
        <v>1273</v>
      </c>
      <c r="C230" s="37" t="s">
        <v>1274</v>
      </c>
      <c r="D230" s="12" t="s">
        <v>2875</v>
      </c>
      <c r="E230" s="8" t="s">
        <v>1270</v>
      </c>
      <c r="F230" s="8" t="s">
        <v>307</v>
      </c>
      <c r="G230" s="8" t="str">
        <f t="shared" si="6"/>
        <v>S1-00348</v>
      </c>
      <c r="H230" s="52" t="e">
        <f>VLOOKUP(G230,#REF!, 2)</f>
        <v>#REF!</v>
      </c>
      <c r="I230" s="52" t="e">
        <f>VLOOKUP(G230,#REF!, 4)</f>
        <v>#REF!</v>
      </c>
      <c r="J230" s="22" t="s">
        <v>1248</v>
      </c>
      <c r="K230" s="22" t="s">
        <v>2876</v>
      </c>
      <c r="L230" s="18" t="s">
        <v>2877</v>
      </c>
      <c r="M230" s="18"/>
      <c r="N230" s="19" t="s">
        <v>2878</v>
      </c>
      <c r="O230" s="19" t="s">
        <v>2297</v>
      </c>
      <c r="P230" s="18" t="e">
        <f t="shared" si="7"/>
        <v>#REF!</v>
      </c>
      <c r="Q230" s="19" t="e">
        <f>IF(R230=0,VLOOKUP(G230,#REF!, 3),R230)</f>
        <v>#REF!</v>
      </c>
      <c r="R230" s="13" t="e">
        <f>VLOOKUP(G230,#REF!, 5)</f>
        <v>#REF!</v>
      </c>
      <c r="S230" s="18" t="s">
        <v>18</v>
      </c>
      <c r="T230" s="43"/>
      <c r="V230" s="12" t="s">
        <v>2845</v>
      </c>
      <c r="AA230"/>
    </row>
    <row r="231" spans="1:27" ht="188.15" customHeight="1" x14ac:dyDescent="0.2">
      <c r="A231" s="12" t="s">
        <v>1276</v>
      </c>
      <c r="B231" s="12" t="s">
        <v>1277</v>
      </c>
      <c r="C231" s="37" t="s">
        <v>1278</v>
      </c>
      <c r="D231" s="12" t="s">
        <v>1279</v>
      </c>
      <c r="E231" s="8" t="s">
        <v>1280</v>
      </c>
      <c r="F231" s="8" t="s">
        <v>116</v>
      </c>
      <c r="G231" s="8" t="str">
        <f t="shared" si="6"/>
        <v>S1-00350</v>
      </c>
      <c r="H231" s="52" t="e">
        <f>VLOOKUP(G231,#REF!, 2)</f>
        <v>#REF!</v>
      </c>
      <c r="I231" s="52" t="e">
        <f>VLOOKUP(G231,#REF!, 4)</f>
        <v>#REF!</v>
      </c>
      <c r="J231" s="22" t="s">
        <v>1281</v>
      </c>
      <c r="K231" s="22" t="s">
        <v>2879</v>
      </c>
      <c r="L231" s="18" t="s">
        <v>2880</v>
      </c>
      <c r="M231" s="18"/>
      <c r="N231" s="18"/>
      <c r="O231" s="18"/>
      <c r="P231" s="18" t="e">
        <f t="shared" si="7"/>
        <v>#REF!</v>
      </c>
      <c r="Q231" s="19" t="e">
        <f>IF(R231=0,VLOOKUP(G231,#REF!, 3),R231)</f>
        <v>#REF!</v>
      </c>
      <c r="R231" s="13" t="e">
        <f>VLOOKUP(G231,#REF!, 5)</f>
        <v>#REF!</v>
      </c>
      <c r="S231" s="18" t="s">
        <v>18</v>
      </c>
      <c r="T231" s="43"/>
      <c r="AA231"/>
    </row>
    <row r="232" spans="1:27" ht="294.64999999999998" customHeight="1" x14ac:dyDescent="0.2">
      <c r="A232" s="12" t="s">
        <v>1276</v>
      </c>
      <c r="B232" s="12" t="s">
        <v>1282</v>
      </c>
      <c r="C232" s="37" t="s">
        <v>1283</v>
      </c>
      <c r="D232" s="12" t="s">
        <v>1284</v>
      </c>
      <c r="E232" s="8" t="s">
        <v>1280</v>
      </c>
      <c r="F232" s="8" t="s">
        <v>116</v>
      </c>
      <c r="G232" s="8" t="str">
        <f t="shared" si="6"/>
        <v>S1-00351</v>
      </c>
      <c r="H232" s="52" t="e">
        <f>VLOOKUP(G232,#REF!, 2)</f>
        <v>#REF!</v>
      </c>
      <c r="I232" s="52" t="e">
        <f>VLOOKUP(G232,#REF!, 4)</f>
        <v>#REF!</v>
      </c>
      <c r="J232" s="22" t="s">
        <v>1285</v>
      </c>
      <c r="K232" s="22" t="s">
        <v>2881</v>
      </c>
      <c r="L232" s="18" t="s">
        <v>2882</v>
      </c>
      <c r="M232" s="18"/>
      <c r="N232" s="18"/>
      <c r="O232" s="18"/>
      <c r="P232" s="18" t="e">
        <f t="shared" si="7"/>
        <v>#REF!</v>
      </c>
      <c r="Q232" s="19" t="e">
        <f>IF(R232=0,VLOOKUP(G232,#REF!, 3),R232)</f>
        <v>#REF!</v>
      </c>
      <c r="R232" s="13" t="e">
        <f>VLOOKUP(G232,#REF!, 5)</f>
        <v>#REF!</v>
      </c>
      <c r="S232" s="18" t="s">
        <v>18</v>
      </c>
      <c r="T232" s="43"/>
      <c r="AA232"/>
    </row>
    <row r="233" spans="1:27" ht="64.55" x14ac:dyDescent="0.2">
      <c r="A233" s="12" t="s">
        <v>1286</v>
      </c>
      <c r="B233" s="12" t="s">
        <v>1287</v>
      </c>
      <c r="C233" s="37" t="s">
        <v>1288</v>
      </c>
      <c r="D233" s="12" t="s">
        <v>1289</v>
      </c>
      <c r="E233" s="8" t="s">
        <v>1280</v>
      </c>
      <c r="F233" s="8" t="s">
        <v>612</v>
      </c>
      <c r="G233" s="8" t="str">
        <f t="shared" si="6"/>
        <v>S1-00352</v>
      </c>
      <c r="H233" s="52" t="e">
        <f>VLOOKUP(G233,#REF!, 2)</f>
        <v>#REF!</v>
      </c>
      <c r="I233" s="52" t="e">
        <f>VLOOKUP(G233,#REF!, 4)</f>
        <v>#REF!</v>
      </c>
      <c r="J233" s="22" t="s">
        <v>1290</v>
      </c>
      <c r="K233" s="22" t="s">
        <v>2883</v>
      </c>
      <c r="L233" s="18" t="s">
        <v>2884</v>
      </c>
      <c r="M233" s="18"/>
      <c r="N233" s="18"/>
      <c r="O233" s="18"/>
      <c r="P233" s="18" t="e">
        <f t="shared" si="7"/>
        <v>#REF!</v>
      </c>
      <c r="Q233" s="19" t="e">
        <f>IF(R233=0,VLOOKUP(G233,#REF!, 3),R233)</f>
        <v>#REF!</v>
      </c>
      <c r="R233" s="13" t="e">
        <f>VLOOKUP(G233,#REF!, 5)</f>
        <v>#REF!</v>
      </c>
      <c r="S233" s="18" t="s">
        <v>18</v>
      </c>
      <c r="T233" s="43"/>
      <c r="AA233"/>
    </row>
    <row r="234" spans="1:27" ht="77.45" x14ac:dyDescent="0.2">
      <c r="A234" s="12" t="s">
        <v>1286</v>
      </c>
      <c r="B234" s="12" t="s">
        <v>1291</v>
      </c>
      <c r="C234" s="37" t="s">
        <v>1292</v>
      </c>
      <c r="D234" s="12" t="s">
        <v>2885</v>
      </c>
      <c r="E234" s="8" t="s">
        <v>1280</v>
      </c>
      <c r="F234" s="8" t="s">
        <v>612</v>
      </c>
      <c r="G234" s="8" t="str">
        <f t="shared" si="6"/>
        <v>S1-00353</v>
      </c>
      <c r="H234" s="52" t="e">
        <f>VLOOKUP(G234,#REF!, 2)</f>
        <v>#REF!</v>
      </c>
      <c r="I234" s="52" t="e">
        <f>VLOOKUP(G234,#REF!, 4)</f>
        <v>#REF!</v>
      </c>
      <c r="J234" s="22" t="s">
        <v>1294</v>
      </c>
      <c r="K234" s="22" t="s">
        <v>2886</v>
      </c>
      <c r="L234" s="18" t="s">
        <v>2887</v>
      </c>
      <c r="M234" s="18"/>
      <c r="N234" s="18"/>
      <c r="O234" s="18"/>
      <c r="P234" s="18" t="e">
        <f t="shared" si="7"/>
        <v>#REF!</v>
      </c>
      <c r="Q234" s="19" t="e">
        <f>IF(R234=0,VLOOKUP(G234,#REF!, 3),R234)</f>
        <v>#REF!</v>
      </c>
      <c r="R234" s="13" t="e">
        <f>VLOOKUP(G234,#REF!, 5)</f>
        <v>#REF!</v>
      </c>
      <c r="S234" s="18" t="s">
        <v>18</v>
      </c>
      <c r="T234" s="43"/>
      <c r="AA234"/>
    </row>
    <row r="235" spans="1:27" ht="52.15" customHeight="1" x14ac:dyDescent="0.2">
      <c r="A235" s="12" t="s">
        <v>1295</v>
      </c>
      <c r="B235" s="12" t="s">
        <v>1296</v>
      </c>
      <c r="C235" s="37" t="s">
        <v>1297</v>
      </c>
      <c r="D235" s="12" t="s">
        <v>1298</v>
      </c>
      <c r="E235" s="8" t="s">
        <v>1280</v>
      </c>
      <c r="F235" s="8" t="s">
        <v>1299</v>
      </c>
      <c r="G235" s="8" t="str">
        <f t="shared" si="6"/>
        <v>S1-00354</v>
      </c>
      <c r="H235" s="52" t="e">
        <f>VLOOKUP(G235,#REF!, 2)</f>
        <v>#REF!</v>
      </c>
      <c r="I235" s="52" t="e">
        <f>VLOOKUP(G235,#REF!, 4)</f>
        <v>#REF!</v>
      </c>
      <c r="J235" s="22" t="s">
        <v>1294</v>
      </c>
      <c r="K235" s="22" t="s">
        <v>2888</v>
      </c>
      <c r="L235" s="18" t="s">
        <v>2889</v>
      </c>
      <c r="M235" s="18"/>
      <c r="N235" s="18"/>
      <c r="O235" s="18"/>
      <c r="P235" s="18" t="e">
        <f t="shared" si="7"/>
        <v>#REF!</v>
      </c>
      <c r="Q235" s="19" t="e">
        <f>IF(R235=0,VLOOKUP(G235,#REF!, 3),R235)</f>
        <v>#REF!</v>
      </c>
      <c r="R235" s="13" t="e">
        <f>VLOOKUP(G235,#REF!, 5)</f>
        <v>#REF!</v>
      </c>
      <c r="S235" s="18" t="s">
        <v>18</v>
      </c>
      <c r="T235" s="43"/>
      <c r="AA235"/>
    </row>
    <row r="236" spans="1:27" ht="77.45" x14ac:dyDescent="0.2">
      <c r="A236" s="12" t="s">
        <v>1300</v>
      </c>
      <c r="B236" s="12" t="s">
        <v>1301</v>
      </c>
      <c r="C236" s="37" t="s">
        <v>1302</v>
      </c>
      <c r="D236" s="12" t="s">
        <v>2890</v>
      </c>
      <c r="E236" s="8" t="s">
        <v>1280</v>
      </c>
      <c r="F236" s="8" t="s">
        <v>1304</v>
      </c>
      <c r="G236" s="8" t="str">
        <f t="shared" si="6"/>
        <v>S1-00355</v>
      </c>
      <c r="H236" s="52" t="e">
        <f>VLOOKUP(G236,#REF!, 2)</f>
        <v>#REF!</v>
      </c>
      <c r="I236" s="52" t="e">
        <f>VLOOKUP(G236,#REF!, 4)</f>
        <v>#REF!</v>
      </c>
      <c r="J236" s="22" t="s">
        <v>1305</v>
      </c>
      <c r="K236" s="22" t="s">
        <v>2891</v>
      </c>
      <c r="L236" s="18" t="s">
        <v>2892</v>
      </c>
      <c r="M236" s="18"/>
      <c r="N236" s="18"/>
      <c r="O236" s="18"/>
      <c r="P236" s="18" t="e">
        <f t="shared" si="7"/>
        <v>#REF!</v>
      </c>
      <c r="Q236" s="19" t="e">
        <f>IF(R236=0,VLOOKUP(G236,#REF!, 3),R236)</f>
        <v>#REF!</v>
      </c>
      <c r="R236" s="13" t="e">
        <f>VLOOKUP(G236,#REF!, 5)</f>
        <v>#REF!</v>
      </c>
      <c r="S236" s="18" t="s">
        <v>18</v>
      </c>
      <c r="T236" s="43"/>
      <c r="AA236"/>
    </row>
    <row r="237" spans="1:27" ht="219.4" x14ac:dyDescent="0.2">
      <c r="A237" s="32" t="s">
        <v>1306</v>
      </c>
      <c r="B237" s="12" t="s">
        <v>1307</v>
      </c>
      <c r="C237" s="37" t="s">
        <v>1308</v>
      </c>
      <c r="D237" s="12" t="s">
        <v>1309</v>
      </c>
      <c r="E237" s="8" t="s">
        <v>1310</v>
      </c>
      <c r="F237" s="8" t="s">
        <v>66</v>
      </c>
      <c r="G237" s="8" t="str">
        <f t="shared" si="6"/>
        <v>S1-00356</v>
      </c>
      <c r="H237" s="52" t="e">
        <f>VLOOKUP(G237,#REF!, 2)</f>
        <v>#REF!</v>
      </c>
      <c r="I237" s="52" t="e">
        <f>VLOOKUP(G237,#REF!, 4)</f>
        <v>#REF!</v>
      </c>
      <c r="J237" s="22" t="s">
        <v>1311</v>
      </c>
      <c r="K237" s="22" t="s">
        <v>2893</v>
      </c>
      <c r="L237" s="18" t="s">
        <v>2894</v>
      </c>
      <c r="M237" s="18"/>
      <c r="N237" s="18"/>
      <c r="O237" s="18"/>
      <c r="P237" s="18" t="e">
        <f t="shared" si="7"/>
        <v>#REF!</v>
      </c>
      <c r="Q237" s="19" t="e">
        <f>IF(R237=0,VLOOKUP(G237,#REF!, 3),R237)</f>
        <v>#REF!</v>
      </c>
      <c r="R237" s="13" t="e">
        <f>VLOOKUP(G237,#REF!, 5)</f>
        <v>#REF!</v>
      </c>
      <c r="S237" s="18" t="s">
        <v>18</v>
      </c>
      <c r="T237" s="43"/>
      <c r="AA237"/>
    </row>
    <row r="238" spans="1:27" ht="64.2" customHeight="1" x14ac:dyDescent="0.2">
      <c r="A238" s="12" t="s">
        <v>1312</v>
      </c>
      <c r="B238" s="12" t="s">
        <v>1313</v>
      </c>
      <c r="C238" s="37" t="s">
        <v>1314</v>
      </c>
      <c r="D238" s="12" t="s">
        <v>1315</v>
      </c>
      <c r="E238" s="8" t="s">
        <v>1316</v>
      </c>
      <c r="F238" s="8" t="s">
        <v>153</v>
      </c>
      <c r="G238" s="8" t="str">
        <f t="shared" si="6"/>
        <v>S1-00359</v>
      </c>
      <c r="H238" s="52" t="e">
        <f>VLOOKUP(G238,#REF!, 2)</f>
        <v>#REF!</v>
      </c>
      <c r="I238" s="52" t="e">
        <f>VLOOKUP(G238,#REF!, 4)</f>
        <v>#REF!</v>
      </c>
      <c r="J238" s="22" t="s">
        <v>1317</v>
      </c>
      <c r="K238" s="22" t="s">
        <v>2895</v>
      </c>
      <c r="L238" s="18" t="s">
        <v>2896</v>
      </c>
      <c r="M238" s="18"/>
      <c r="N238" s="18"/>
      <c r="O238" s="35"/>
      <c r="P238" s="18" t="e">
        <f t="shared" si="7"/>
        <v>#REF!</v>
      </c>
      <c r="Q238" s="19" t="e">
        <f>IF(R238=0,VLOOKUP(G238,#REF!, 3),R238)</f>
        <v>#REF!</v>
      </c>
      <c r="R238" s="13" t="e">
        <f>VLOOKUP(G238,#REF!, 5)</f>
        <v>#REF!</v>
      </c>
      <c r="S238" s="18" t="s">
        <v>18</v>
      </c>
      <c r="T238" s="43"/>
      <c r="AA238"/>
    </row>
    <row r="239" spans="1:27" ht="103.25" x14ac:dyDescent="0.2">
      <c r="A239" s="12" t="s">
        <v>1318</v>
      </c>
      <c r="B239" s="12" t="s">
        <v>1319</v>
      </c>
      <c r="C239" s="37" t="s">
        <v>1320</v>
      </c>
      <c r="D239" s="12" t="s">
        <v>1321</v>
      </c>
      <c r="E239" s="8" t="s">
        <v>1322</v>
      </c>
      <c r="F239" s="8" t="s">
        <v>173</v>
      </c>
      <c r="G239" s="8" t="str">
        <f t="shared" si="6"/>
        <v>S1-00545</v>
      </c>
      <c r="H239" s="52" t="e">
        <f>VLOOKUP(G239,#REF!, 2)</f>
        <v>#REF!</v>
      </c>
      <c r="I239" s="52" t="e">
        <f>VLOOKUP(G239,#REF!, 4)</f>
        <v>#REF!</v>
      </c>
      <c r="J239" s="22" t="s">
        <v>2897</v>
      </c>
      <c r="K239" s="22" t="s">
        <v>2898</v>
      </c>
      <c r="L239" s="18" t="s">
        <v>2899</v>
      </c>
      <c r="M239" s="18" t="s">
        <v>2900</v>
      </c>
      <c r="N239" s="18" t="s">
        <v>2901</v>
      </c>
      <c r="O239" s="18" t="s">
        <v>2377</v>
      </c>
      <c r="P239" s="18" t="e">
        <f t="shared" si="7"/>
        <v>#REF!</v>
      </c>
      <c r="Q239" s="19" t="e">
        <f>IF(R239=0,VLOOKUP(G239,#REF!, 3),R239)</f>
        <v>#REF!</v>
      </c>
      <c r="R239" s="13" t="e">
        <f>VLOOKUP(G239,#REF!, 5)</f>
        <v>#REF!</v>
      </c>
      <c r="S239" s="18" t="s">
        <v>18</v>
      </c>
      <c r="T239" s="43" t="s">
        <v>2902</v>
      </c>
      <c r="U239" s="4" t="s">
        <v>2309</v>
      </c>
      <c r="AA239"/>
    </row>
    <row r="240" spans="1:27" ht="229.95" customHeight="1" x14ac:dyDescent="0.2">
      <c r="A240" s="12" t="s">
        <v>1325</v>
      </c>
      <c r="B240" s="12" t="s">
        <v>1326</v>
      </c>
      <c r="C240" s="37" t="s">
        <v>1327</v>
      </c>
      <c r="D240" s="12" t="s">
        <v>1328</v>
      </c>
      <c r="E240" s="8" t="s">
        <v>1322</v>
      </c>
      <c r="F240" s="8" t="s">
        <v>1329</v>
      </c>
      <c r="G240" s="8" t="str">
        <f t="shared" si="6"/>
        <v>S1-00360</v>
      </c>
      <c r="H240" s="52" t="e">
        <f>VLOOKUP(G240,#REF!, 2)</f>
        <v>#REF!</v>
      </c>
      <c r="I240" s="52" t="e">
        <f>VLOOKUP(G240,#REF!, 4)</f>
        <v>#REF!</v>
      </c>
      <c r="J240" s="22" t="s">
        <v>1330</v>
      </c>
      <c r="K240" s="22" t="s">
        <v>2903</v>
      </c>
      <c r="L240" s="18" t="s">
        <v>2904</v>
      </c>
      <c r="M240" s="18"/>
      <c r="N240" s="18" t="s">
        <v>2905</v>
      </c>
      <c r="O240" s="18" t="s">
        <v>2377</v>
      </c>
      <c r="P240" s="18" t="e">
        <f t="shared" si="7"/>
        <v>#REF!</v>
      </c>
      <c r="Q240" s="19" t="e">
        <f>IF(R240=0,VLOOKUP(G240,#REF!, 3),R240)</f>
        <v>#REF!</v>
      </c>
      <c r="R240" s="13" t="e">
        <f>VLOOKUP(G240,#REF!, 5)</f>
        <v>#REF!</v>
      </c>
      <c r="S240" s="18" t="s">
        <v>18</v>
      </c>
      <c r="T240" s="43"/>
      <c r="AA240"/>
    </row>
    <row r="241" spans="1:27" ht="251.15" customHeight="1" x14ac:dyDescent="0.2">
      <c r="A241" s="12" t="s">
        <v>1332</v>
      </c>
      <c r="B241" s="12" t="s">
        <v>1333</v>
      </c>
      <c r="C241" s="37" t="s">
        <v>1334</v>
      </c>
      <c r="D241" s="12" t="s">
        <v>1335</v>
      </c>
      <c r="E241" s="8" t="s">
        <v>1322</v>
      </c>
      <c r="F241" s="8" t="s">
        <v>1336</v>
      </c>
      <c r="G241" s="8" t="str">
        <f t="shared" si="6"/>
        <v>S1-00361</v>
      </c>
      <c r="H241" s="52" t="e">
        <f>VLOOKUP(G241,#REF!, 2)</f>
        <v>#REF!</v>
      </c>
      <c r="I241" s="52" t="e">
        <f>VLOOKUP(G241,#REF!, 4)</f>
        <v>#REF!</v>
      </c>
      <c r="J241" s="22" t="s">
        <v>1337</v>
      </c>
      <c r="K241" s="22" t="s">
        <v>2906</v>
      </c>
      <c r="L241" s="18" t="s">
        <v>2907</v>
      </c>
      <c r="M241" s="18" t="s">
        <v>2908</v>
      </c>
      <c r="N241" s="19" t="s">
        <v>2909</v>
      </c>
      <c r="O241" s="19" t="s">
        <v>2377</v>
      </c>
      <c r="P241" s="18" t="e">
        <f t="shared" si="7"/>
        <v>#REF!</v>
      </c>
      <c r="Q241" s="19" t="e">
        <f>IF(R241=0,VLOOKUP(G241,#REF!, 3),R241)</f>
        <v>#REF!</v>
      </c>
      <c r="R241" s="13" t="e">
        <f>VLOOKUP(G241,#REF!, 5)</f>
        <v>#REF!</v>
      </c>
      <c r="S241" s="18" t="s">
        <v>18</v>
      </c>
      <c r="T241" s="43" t="s">
        <v>2910</v>
      </c>
      <c r="U241" s="4" t="s">
        <v>2309</v>
      </c>
      <c r="AA241"/>
    </row>
    <row r="242" spans="1:27" ht="64.55" x14ac:dyDescent="0.2">
      <c r="A242" s="12" t="s">
        <v>1338</v>
      </c>
      <c r="B242" s="12" t="s">
        <v>1339</v>
      </c>
      <c r="C242" s="37" t="s">
        <v>1340</v>
      </c>
      <c r="D242" s="12" t="s">
        <v>1341</v>
      </c>
      <c r="E242" s="8" t="s">
        <v>1342</v>
      </c>
      <c r="F242" s="8" t="s">
        <v>173</v>
      </c>
      <c r="G242" s="8" t="str">
        <f t="shared" si="6"/>
        <v>S1-00365</v>
      </c>
      <c r="H242" s="52" t="e">
        <f>VLOOKUP(G242,#REF!, 2)</f>
        <v>#REF!</v>
      </c>
      <c r="I242" s="52" t="e">
        <f>VLOOKUP(G242,#REF!, 4)</f>
        <v>#REF!</v>
      </c>
      <c r="J242" s="22" t="s">
        <v>1343</v>
      </c>
      <c r="K242" s="22" t="s">
        <v>2911</v>
      </c>
      <c r="L242" s="18" t="s">
        <v>2912</v>
      </c>
      <c r="M242" s="18"/>
      <c r="N242" s="18" t="s">
        <v>2913</v>
      </c>
      <c r="O242" s="18" t="s">
        <v>2297</v>
      </c>
      <c r="P242" s="18" t="e">
        <f t="shared" si="7"/>
        <v>#REF!</v>
      </c>
      <c r="Q242" s="19" t="e">
        <f>IF(R242=0,VLOOKUP(G242,#REF!, 3),R242)</f>
        <v>#REF!</v>
      </c>
      <c r="R242" s="13" t="e">
        <f>VLOOKUP(G242,#REF!, 5)</f>
        <v>#REF!</v>
      </c>
      <c r="S242" s="18" t="s">
        <v>18</v>
      </c>
      <c r="T242" s="43"/>
      <c r="AA242"/>
    </row>
    <row r="243" spans="1:27" ht="142" x14ac:dyDescent="0.2">
      <c r="A243" s="12" t="s">
        <v>1345</v>
      </c>
      <c r="B243" s="12" t="s">
        <v>1346</v>
      </c>
      <c r="C243" s="51" t="s">
        <v>1347</v>
      </c>
      <c r="D243" s="39" t="s">
        <v>1348</v>
      </c>
      <c r="E243" s="10" t="s">
        <v>1349</v>
      </c>
      <c r="F243" s="10" t="s">
        <v>246</v>
      </c>
      <c r="G243" s="8" t="str">
        <f t="shared" si="6"/>
        <v>S1-00564</v>
      </c>
      <c r="H243" s="52" t="e">
        <f>VLOOKUP(G243,#REF!, 2)</f>
        <v>#REF!</v>
      </c>
      <c r="I243" s="52" t="e">
        <f>VLOOKUP(G243,#REF!, 4)</f>
        <v>#REF!</v>
      </c>
      <c r="J243" s="22" t="s">
        <v>1350</v>
      </c>
      <c r="K243" s="22" t="s">
        <v>2914</v>
      </c>
      <c r="L243" s="22" t="s">
        <v>2915</v>
      </c>
      <c r="M243" s="19" t="s">
        <v>2753</v>
      </c>
      <c r="N243" s="18"/>
      <c r="O243" s="18"/>
      <c r="P243" s="18" t="e">
        <f t="shared" si="7"/>
        <v>#REF!</v>
      </c>
      <c r="Q243" s="19" t="e">
        <f>IF(R243=0,VLOOKUP(G243,#REF!, 3),R243)</f>
        <v>#REF!</v>
      </c>
      <c r="R243" s="13" t="e">
        <f>VLOOKUP(G243,#REF!, 5)</f>
        <v>#REF!</v>
      </c>
      <c r="S243" s="18" t="s">
        <v>18</v>
      </c>
      <c r="T243" s="43" t="s">
        <v>2916</v>
      </c>
      <c r="U243" s="4" t="s">
        <v>2299</v>
      </c>
      <c r="AA243"/>
    </row>
    <row r="244" spans="1:27" ht="280.2" customHeight="1" x14ac:dyDescent="0.2">
      <c r="A244" s="12" t="s">
        <v>1351</v>
      </c>
      <c r="B244" s="12" t="s">
        <v>1352</v>
      </c>
      <c r="C244" s="37" t="s">
        <v>1353</v>
      </c>
      <c r="D244" s="12" t="s">
        <v>1354</v>
      </c>
      <c r="E244" s="8" t="s">
        <v>1349</v>
      </c>
      <c r="F244" s="8" t="s">
        <v>1205</v>
      </c>
      <c r="G244" s="8" t="str">
        <f t="shared" si="6"/>
        <v>S1-00565</v>
      </c>
      <c r="H244" s="52" t="e">
        <f>VLOOKUP(G244,#REF!, 2)</f>
        <v>#REF!</v>
      </c>
      <c r="I244" s="52" t="e">
        <f>VLOOKUP(G244,#REF!, 4)</f>
        <v>#REF!</v>
      </c>
      <c r="J244" s="22" t="s">
        <v>1350</v>
      </c>
      <c r="K244" s="22" t="s">
        <v>2914</v>
      </c>
      <c r="L244" s="22" t="s">
        <v>2917</v>
      </c>
      <c r="M244" s="19" t="s">
        <v>2753</v>
      </c>
      <c r="N244" s="18"/>
      <c r="O244" s="18"/>
      <c r="P244" s="18" t="e">
        <f t="shared" si="7"/>
        <v>#REF!</v>
      </c>
      <c r="Q244" s="19" t="e">
        <f>IF(R244=0,VLOOKUP(G244,#REF!, 3),R244)</f>
        <v>#REF!</v>
      </c>
      <c r="R244" s="13" t="e">
        <f>VLOOKUP(G244,#REF!, 5)</f>
        <v>#REF!</v>
      </c>
      <c r="S244" s="18" t="s">
        <v>18</v>
      </c>
      <c r="T244" s="43" t="s">
        <v>2916</v>
      </c>
      <c r="U244" s="4" t="s">
        <v>2299</v>
      </c>
      <c r="AA244"/>
    </row>
    <row r="245" spans="1:27" ht="245.25" x14ac:dyDescent="0.2">
      <c r="A245" s="12" t="s">
        <v>1355</v>
      </c>
      <c r="B245" s="12" t="s">
        <v>1356</v>
      </c>
      <c r="C245" s="37" t="s">
        <v>1357</v>
      </c>
      <c r="D245" s="12" t="s">
        <v>2918</v>
      </c>
      <c r="E245" s="8" t="s">
        <v>1349</v>
      </c>
      <c r="F245" s="8" t="s">
        <v>1270</v>
      </c>
      <c r="G245" s="8" t="str">
        <f t="shared" si="6"/>
        <v>S1-00566</v>
      </c>
      <c r="H245" s="52" t="e">
        <f>VLOOKUP(G245,#REF!, 2)</f>
        <v>#REF!</v>
      </c>
      <c r="I245" s="52" t="e">
        <f>VLOOKUP(G245,#REF!, 4)</f>
        <v>#REF!</v>
      </c>
      <c r="J245" s="22" t="s">
        <v>1350</v>
      </c>
      <c r="K245" s="22" t="s">
        <v>2914</v>
      </c>
      <c r="L245" s="22" t="s">
        <v>2919</v>
      </c>
      <c r="M245" s="19" t="s">
        <v>2753</v>
      </c>
      <c r="N245" s="18"/>
      <c r="O245" s="18"/>
      <c r="P245" s="18" t="e">
        <f t="shared" si="7"/>
        <v>#REF!</v>
      </c>
      <c r="Q245" s="19" t="e">
        <f>IF(R245=0,VLOOKUP(G245,#REF!, 3),R245)</f>
        <v>#REF!</v>
      </c>
      <c r="R245" s="13" t="e">
        <f>VLOOKUP(G245,#REF!, 5)</f>
        <v>#REF!</v>
      </c>
      <c r="S245" s="18" t="s">
        <v>18</v>
      </c>
      <c r="T245" s="43" t="s">
        <v>2916</v>
      </c>
      <c r="U245" s="4" t="s">
        <v>2299</v>
      </c>
      <c r="AA245"/>
    </row>
    <row r="246" spans="1:27" ht="219.4" x14ac:dyDescent="0.2">
      <c r="A246" s="12" t="s">
        <v>1359</v>
      </c>
      <c r="B246" s="12" t="s">
        <v>1360</v>
      </c>
      <c r="C246" s="37" t="s">
        <v>1361</v>
      </c>
      <c r="D246" s="12" t="s">
        <v>2920</v>
      </c>
      <c r="E246" s="8" t="s">
        <v>1349</v>
      </c>
      <c r="F246" s="8" t="s">
        <v>1363</v>
      </c>
      <c r="G246" s="8" t="str">
        <f t="shared" si="6"/>
        <v>S1-00567</v>
      </c>
      <c r="H246" s="52" t="e">
        <f>VLOOKUP(G246,#REF!, 2)</f>
        <v>#REF!</v>
      </c>
      <c r="I246" s="52" t="e">
        <f>VLOOKUP(G246,#REF!, 4)</f>
        <v>#REF!</v>
      </c>
      <c r="J246" s="22" t="s">
        <v>1350</v>
      </c>
      <c r="K246" s="22" t="s">
        <v>2914</v>
      </c>
      <c r="L246" s="22" t="s">
        <v>2921</v>
      </c>
      <c r="M246" s="19" t="s">
        <v>2753</v>
      </c>
      <c r="N246" s="18"/>
      <c r="O246" s="18"/>
      <c r="P246" s="18" t="e">
        <f t="shared" si="7"/>
        <v>#REF!</v>
      </c>
      <c r="Q246" s="19" t="e">
        <f>IF(R246=0,VLOOKUP(G246,#REF!, 3),R246)</f>
        <v>#REF!</v>
      </c>
      <c r="R246" s="13" t="e">
        <f>VLOOKUP(G246,#REF!, 5)</f>
        <v>#REF!</v>
      </c>
      <c r="S246" s="18" t="s">
        <v>18</v>
      </c>
      <c r="T246" s="43" t="s">
        <v>2916</v>
      </c>
      <c r="U246" s="4" t="s">
        <v>2299</v>
      </c>
      <c r="AA246"/>
    </row>
    <row r="247" spans="1:27" ht="229.95" customHeight="1" x14ac:dyDescent="0.2">
      <c r="A247" s="12" t="s">
        <v>1364</v>
      </c>
      <c r="B247" s="12" t="s">
        <v>1365</v>
      </c>
      <c r="C247" s="37" t="s">
        <v>1366</v>
      </c>
      <c r="D247" s="12" t="s">
        <v>1367</v>
      </c>
      <c r="E247" s="8" t="s">
        <v>1368</v>
      </c>
      <c r="F247" s="8" t="s">
        <v>153</v>
      </c>
      <c r="G247" s="8" t="str">
        <f t="shared" si="6"/>
        <v>S1-00367</v>
      </c>
      <c r="H247" s="52" t="e">
        <f>VLOOKUP(G247,#REF!, 2)</f>
        <v>#REF!</v>
      </c>
      <c r="I247" s="52" t="e">
        <f>VLOOKUP(G247,#REF!, 4)</f>
        <v>#REF!</v>
      </c>
      <c r="J247" s="22" t="s">
        <v>1350</v>
      </c>
      <c r="K247" s="22" t="s">
        <v>2922</v>
      </c>
      <c r="L247" s="18" t="s">
        <v>2923</v>
      </c>
      <c r="M247" s="18"/>
      <c r="N247" s="18"/>
      <c r="O247" s="18"/>
      <c r="P247" s="18" t="e">
        <f t="shared" si="7"/>
        <v>#REF!</v>
      </c>
      <c r="Q247" s="19" t="e">
        <f>IF(R247=0,VLOOKUP(G247,#REF!, 3),R247)</f>
        <v>#REF!</v>
      </c>
      <c r="R247" s="13" t="e">
        <f>VLOOKUP(G247,#REF!, 5)</f>
        <v>#REF!</v>
      </c>
      <c r="S247" s="18" t="s">
        <v>18</v>
      </c>
      <c r="T247" s="43"/>
      <c r="AA247"/>
    </row>
    <row r="248" spans="1:27" ht="295.14999999999998" customHeight="1" x14ac:dyDescent="0.2">
      <c r="A248" s="12" t="s">
        <v>1369</v>
      </c>
      <c r="B248" s="12" t="s">
        <v>1370</v>
      </c>
      <c r="C248" s="37" t="s">
        <v>1371</v>
      </c>
      <c r="D248" s="12" t="s">
        <v>1372</v>
      </c>
      <c r="E248" s="8" t="s">
        <v>1368</v>
      </c>
      <c r="F248" s="8" t="s">
        <v>1254</v>
      </c>
      <c r="G248" s="8" t="str">
        <f t="shared" si="6"/>
        <v>S1-00369</v>
      </c>
      <c r="H248" s="52" t="e">
        <f>VLOOKUP(G248,#REF!, 2)</f>
        <v>#REF!</v>
      </c>
      <c r="I248" s="52" t="e">
        <f>VLOOKUP(G248,#REF!, 4)</f>
        <v>#REF!</v>
      </c>
      <c r="J248" s="22" t="s">
        <v>1373</v>
      </c>
      <c r="K248" s="22" t="s">
        <v>2924</v>
      </c>
      <c r="L248" s="18" t="s">
        <v>2925</v>
      </c>
      <c r="M248" s="18"/>
      <c r="N248" s="18"/>
      <c r="O248" s="18"/>
      <c r="P248" s="18" t="e">
        <f t="shared" si="7"/>
        <v>#REF!</v>
      </c>
      <c r="Q248" s="19" t="e">
        <f>IF(R248=0,VLOOKUP(G248,#REF!, 3),R248)</f>
        <v>#REF!</v>
      </c>
      <c r="R248" s="13" t="e">
        <f>VLOOKUP(G248,#REF!, 5)</f>
        <v>#REF!</v>
      </c>
      <c r="S248" s="18" t="s">
        <v>18</v>
      </c>
      <c r="T248" s="43"/>
      <c r="AA248"/>
    </row>
    <row r="249" spans="1:27" ht="408.6" customHeight="1" x14ac:dyDescent="0.2">
      <c r="A249" s="12" t="s">
        <v>1374</v>
      </c>
      <c r="B249" s="12" t="s">
        <v>1375</v>
      </c>
      <c r="C249" s="37" t="s">
        <v>1376</v>
      </c>
      <c r="D249" s="12" t="s">
        <v>1377</v>
      </c>
      <c r="E249" s="8" t="s">
        <v>1378</v>
      </c>
      <c r="F249" s="8" t="s">
        <v>153</v>
      </c>
      <c r="G249" s="8" t="str">
        <f t="shared" si="6"/>
        <v>S1-00370</v>
      </c>
      <c r="H249" s="52" t="e">
        <f>VLOOKUP(G249,#REF!, 2)</f>
        <v>#REF!</v>
      </c>
      <c r="I249" s="52" t="e">
        <f>VLOOKUP(G249,#REF!, 4)</f>
        <v>#REF!</v>
      </c>
      <c r="J249" s="22" t="s">
        <v>1350</v>
      </c>
      <c r="K249" s="22" t="s">
        <v>2926</v>
      </c>
      <c r="L249" s="18" t="s">
        <v>2927</v>
      </c>
      <c r="M249" s="18"/>
      <c r="N249" s="18"/>
      <c r="O249" s="18"/>
      <c r="P249" s="18" t="e">
        <f t="shared" si="7"/>
        <v>#REF!</v>
      </c>
      <c r="Q249" s="19" t="e">
        <f>IF(R249=0,VLOOKUP(G249,#REF!, 3),R249)</f>
        <v>#REF!</v>
      </c>
      <c r="R249" s="13" t="e">
        <f>VLOOKUP(G249,#REF!, 5)</f>
        <v>#REF!</v>
      </c>
      <c r="S249" s="18" t="s">
        <v>18</v>
      </c>
      <c r="T249" s="43"/>
      <c r="AA249"/>
    </row>
    <row r="250" spans="1:27" ht="77.45" x14ac:dyDescent="0.2">
      <c r="A250" s="12" t="s">
        <v>1379</v>
      </c>
      <c r="B250" s="12" t="s">
        <v>1380</v>
      </c>
      <c r="C250" s="37" t="s">
        <v>1381</v>
      </c>
      <c r="D250" s="12" t="s">
        <v>1382</v>
      </c>
      <c r="E250" s="8" t="s">
        <v>1383</v>
      </c>
      <c r="F250" s="8" t="s">
        <v>66</v>
      </c>
      <c r="G250" s="8" t="str">
        <f t="shared" si="6"/>
        <v>S1-00368</v>
      </c>
      <c r="H250" s="52" t="e">
        <f>VLOOKUP(G250,#REF!, 2)</f>
        <v>#REF!</v>
      </c>
      <c r="I250" s="52" t="e">
        <f>VLOOKUP(G250,#REF!, 4)</f>
        <v>#REF!</v>
      </c>
      <c r="J250" s="22" t="s">
        <v>1350</v>
      </c>
      <c r="K250" s="22" t="s">
        <v>2928</v>
      </c>
      <c r="L250" s="18" t="s">
        <v>2929</v>
      </c>
      <c r="M250" s="18"/>
      <c r="N250" s="18"/>
      <c r="O250" s="35"/>
      <c r="P250" s="18" t="e">
        <f t="shared" si="7"/>
        <v>#REF!</v>
      </c>
      <c r="Q250" s="19" t="e">
        <f>IF(R250=0,VLOOKUP(G250,#REF!, 3),R250)</f>
        <v>#REF!</v>
      </c>
      <c r="R250" s="13" t="e">
        <f>VLOOKUP(G250,#REF!, 5)</f>
        <v>#REF!</v>
      </c>
      <c r="S250" s="18" t="s">
        <v>18</v>
      </c>
      <c r="T250" s="43"/>
      <c r="AA250"/>
    </row>
    <row r="251" spans="1:27" ht="408.6" customHeight="1" x14ac:dyDescent="0.2">
      <c r="A251" s="12" t="s">
        <v>1384</v>
      </c>
      <c r="B251" s="12" t="s">
        <v>1385</v>
      </c>
      <c r="C251" s="51" t="s">
        <v>1386</v>
      </c>
      <c r="D251" s="39" t="s">
        <v>2930</v>
      </c>
      <c r="E251" s="10" t="s">
        <v>1388</v>
      </c>
      <c r="F251" s="10" t="s">
        <v>612</v>
      </c>
      <c r="G251" s="8" t="str">
        <f t="shared" si="6"/>
        <v>S1-00373</v>
      </c>
      <c r="H251" s="52" t="e">
        <f>VLOOKUP(G251,#REF!, 2)</f>
        <v>#REF!</v>
      </c>
      <c r="I251" s="52" t="e">
        <f>VLOOKUP(G251,#REF!, 4)</f>
        <v>#REF!</v>
      </c>
      <c r="J251" s="22" t="s">
        <v>1389</v>
      </c>
      <c r="K251" s="22" t="s">
        <v>2931</v>
      </c>
      <c r="L251" s="18" t="s">
        <v>2932</v>
      </c>
      <c r="M251" s="18"/>
      <c r="N251" s="18"/>
      <c r="O251" s="18"/>
      <c r="P251" s="18" t="e">
        <f t="shared" si="7"/>
        <v>#REF!</v>
      </c>
      <c r="Q251" s="19" t="e">
        <f>IF(R251=0,VLOOKUP(G251,#REF!, 3),R251)</f>
        <v>#REF!</v>
      </c>
      <c r="R251" s="13" t="e">
        <f>VLOOKUP(G251,#REF!, 5)</f>
        <v>#REF!</v>
      </c>
      <c r="S251" s="18" t="s">
        <v>18</v>
      </c>
      <c r="T251" s="43"/>
      <c r="V251" s="12" t="s">
        <v>2845</v>
      </c>
      <c r="AA251"/>
    </row>
    <row r="252" spans="1:27" ht="228.25" customHeight="1" x14ac:dyDescent="0.2">
      <c r="A252" s="12" t="s">
        <v>1390</v>
      </c>
      <c r="B252" s="12" t="s">
        <v>1391</v>
      </c>
      <c r="C252" s="37" t="s">
        <v>1392</v>
      </c>
      <c r="D252" s="12" t="s">
        <v>1393</v>
      </c>
      <c r="E252" s="8" t="s">
        <v>1394</v>
      </c>
      <c r="F252" s="8" t="s">
        <v>1395</v>
      </c>
      <c r="G252" s="8" t="str">
        <f t="shared" si="6"/>
        <v>S1-00374</v>
      </c>
      <c r="H252" s="52" t="e">
        <f>VLOOKUP(G252,#REF!, 2)</f>
        <v>#REF!</v>
      </c>
      <c r="I252" s="52" t="e">
        <f>VLOOKUP(G252,#REF!, 4)</f>
        <v>#REF!</v>
      </c>
      <c r="J252" s="22" t="s">
        <v>1396</v>
      </c>
      <c r="K252" s="22" t="s">
        <v>2933</v>
      </c>
      <c r="L252" s="18" t="s">
        <v>2934</v>
      </c>
      <c r="M252" s="18" t="s">
        <v>2935</v>
      </c>
      <c r="N252" s="18" t="s">
        <v>2936</v>
      </c>
      <c r="O252" s="18" t="s">
        <v>2297</v>
      </c>
      <c r="P252" s="18" t="e">
        <f t="shared" si="7"/>
        <v>#REF!</v>
      </c>
      <c r="Q252" s="19" t="e">
        <f>IF(R252=0,VLOOKUP(G252,#REF!, 3),R252)</f>
        <v>#REF!</v>
      </c>
      <c r="R252" s="13" t="e">
        <f>VLOOKUP(G252,#REF!, 5)</f>
        <v>#REF!</v>
      </c>
      <c r="S252" s="18" t="s">
        <v>18</v>
      </c>
      <c r="T252" s="43" t="s">
        <v>2937</v>
      </c>
      <c r="U252" s="4" t="s">
        <v>2321</v>
      </c>
      <c r="V252" s="12" t="s">
        <v>2700</v>
      </c>
      <c r="AA252"/>
    </row>
    <row r="253" spans="1:27" ht="77.45" x14ac:dyDescent="0.2">
      <c r="A253" s="12" t="s">
        <v>1390</v>
      </c>
      <c r="B253" s="12" t="s">
        <v>1397</v>
      </c>
      <c r="C253" s="37" t="s">
        <v>1398</v>
      </c>
      <c r="D253" s="12" t="s">
        <v>1399</v>
      </c>
      <c r="E253" s="8" t="s">
        <v>1394</v>
      </c>
      <c r="F253" s="8" t="s">
        <v>1395</v>
      </c>
      <c r="G253" s="8" t="str">
        <f t="shared" si="6"/>
        <v>S1-00376</v>
      </c>
      <c r="H253" s="52" t="e">
        <f>VLOOKUP(G253,#REF!, 2)</f>
        <v>#REF!</v>
      </c>
      <c r="I253" s="52" t="e">
        <f>VLOOKUP(G253,#REF!, 4)</f>
        <v>#REF!</v>
      </c>
      <c r="J253" s="22" t="s">
        <v>1400</v>
      </c>
      <c r="K253" s="22" t="s">
        <v>2938</v>
      </c>
      <c r="L253" s="18"/>
      <c r="M253" s="18"/>
      <c r="N253" s="18"/>
      <c r="O253" s="18"/>
      <c r="P253" s="18" t="e">
        <f t="shared" si="7"/>
        <v>#REF!</v>
      </c>
      <c r="Q253" s="19" t="e">
        <f>IF(R253=0,VLOOKUP(G253,#REF!, 3),R253)</f>
        <v>#REF!</v>
      </c>
      <c r="R253" s="13" t="e">
        <f>VLOOKUP(G253,#REF!, 5)</f>
        <v>#REF!</v>
      </c>
      <c r="S253" s="18" t="s">
        <v>18</v>
      </c>
      <c r="T253" s="43"/>
      <c r="V253" s="12" t="s">
        <v>2700</v>
      </c>
      <c r="AA253"/>
    </row>
    <row r="254" spans="1:27" ht="296.85000000000002" x14ac:dyDescent="0.2">
      <c r="A254" s="12" t="s">
        <v>1390</v>
      </c>
      <c r="B254" s="12" t="s">
        <v>1401</v>
      </c>
      <c r="C254" s="51" t="s">
        <v>1402</v>
      </c>
      <c r="D254" s="39" t="s">
        <v>1403</v>
      </c>
      <c r="E254" s="10" t="s">
        <v>1394</v>
      </c>
      <c r="F254" s="10" t="s">
        <v>1395</v>
      </c>
      <c r="G254" s="8" t="str">
        <f t="shared" si="6"/>
        <v>S1-00377</v>
      </c>
      <c r="H254" s="52" t="e">
        <f>VLOOKUP(G254,#REF!, 2)</f>
        <v>#REF!</v>
      </c>
      <c r="I254" s="52" t="e">
        <f>VLOOKUP(G254,#REF!, 4)</f>
        <v>#REF!</v>
      </c>
      <c r="J254" s="22" t="s">
        <v>1400</v>
      </c>
      <c r="K254" s="22" t="s">
        <v>2939</v>
      </c>
      <c r="L254" s="19" t="s">
        <v>2940</v>
      </c>
      <c r="M254" s="19" t="s">
        <v>2941</v>
      </c>
      <c r="N254" s="19"/>
      <c r="O254" s="38"/>
      <c r="P254" s="18" t="e">
        <f t="shared" si="7"/>
        <v>#REF!</v>
      </c>
      <c r="Q254" s="19" t="e">
        <f>IF(R254=0,VLOOKUP(G254,#REF!, 3),R254)</f>
        <v>#REF!</v>
      </c>
      <c r="R254" s="13" t="e">
        <f>VLOOKUP(G254,#REF!, 5)</f>
        <v>#REF!</v>
      </c>
      <c r="S254" s="18" t="s">
        <v>18</v>
      </c>
      <c r="T254" s="43" t="s">
        <v>2942</v>
      </c>
      <c r="U254" s="4" t="s">
        <v>2309</v>
      </c>
      <c r="V254" s="12" t="s">
        <v>2700</v>
      </c>
      <c r="AA254"/>
    </row>
    <row r="255" spans="1:27" ht="216" customHeight="1" x14ac:dyDescent="0.2">
      <c r="A255" s="12" t="s">
        <v>1390</v>
      </c>
      <c r="B255" s="12" t="s">
        <v>1404</v>
      </c>
      <c r="C255" s="51" t="s">
        <v>1405</v>
      </c>
      <c r="D255" s="39" t="s">
        <v>1406</v>
      </c>
      <c r="E255" s="10" t="s">
        <v>1394</v>
      </c>
      <c r="F255" s="10" t="s">
        <v>1395</v>
      </c>
      <c r="G255" s="8" t="str">
        <f t="shared" si="6"/>
        <v>S1-00378</v>
      </c>
      <c r="H255" s="52" t="e">
        <f>VLOOKUP(G255,#REF!, 2)</f>
        <v>#REF!</v>
      </c>
      <c r="I255" s="52" t="e">
        <f>VLOOKUP(G255,#REF!, 4)</f>
        <v>#REF!</v>
      </c>
      <c r="J255" s="22" t="s">
        <v>1400</v>
      </c>
      <c r="K255" s="22" t="s">
        <v>2943</v>
      </c>
      <c r="L255" s="18" t="s">
        <v>2944</v>
      </c>
      <c r="M255" s="18"/>
      <c r="N255" s="18"/>
      <c r="O255" s="18"/>
      <c r="P255" s="18" t="e">
        <f t="shared" si="7"/>
        <v>#REF!</v>
      </c>
      <c r="Q255" s="19" t="e">
        <f>IF(R255=0,VLOOKUP(G255,#REF!, 3),R255)</f>
        <v>#REF!</v>
      </c>
      <c r="R255" s="13" t="e">
        <f>VLOOKUP(G255,#REF!, 5)</f>
        <v>#REF!</v>
      </c>
      <c r="S255" s="18" t="s">
        <v>18</v>
      </c>
      <c r="T255" s="43"/>
      <c r="V255" s="12" t="s">
        <v>2700</v>
      </c>
      <c r="AA255"/>
    </row>
    <row r="256" spans="1:27" ht="116.15" x14ac:dyDescent="0.2">
      <c r="A256" s="12" t="s">
        <v>1390</v>
      </c>
      <c r="B256" s="12" t="s">
        <v>1407</v>
      </c>
      <c r="C256" s="37" t="s">
        <v>1408</v>
      </c>
      <c r="D256" s="12" t="s">
        <v>1409</v>
      </c>
      <c r="E256" s="8" t="s">
        <v>1394</v>
      </c>
      <c r="F256" s="8" t="s">
        <v>1395</v>
      </c>
      <c r="G256" s="8" t="str">
        <f t="shared" si="6"/>
        <v>S1-00379</v>
      </c>
      <c r="H256" s="52" t="e">
        <f>VLOOKUP(G256,#REF!, 2)</f>
        <v>#REF!</v>
      </c>
      <c r="I256" s="52" t="e">
        <f>VLOOKUP(G256,#REF!, 4)</f>
        <v>#REF!</v>
      </c>
      <c r="J256" s="22" t="s">
        <v>1400</v>
      </c>
      <c r="K256" s="22" t="s">
        <v>2945</v>
      </c>
      <c r="L256" s="18" t="s">
        <v>2946</v>
      </c>
      <c r="M256" s="18" t="s">
        <v>2947</v>
      </c>
      <c r="N256" s="18"/>
      <c r="O256" s="35"/>
      <c r="P256" s="18" t="e">
        <f t="shared" si="7"/>
        <v>#REF!</v>
      </c>
      <c r="Q256" s="19" t="e">
        <f>IF(R256=0,VLOOKUP(G256,#REF!, 3),R256)</f>
        <v>#REF!</v>
      </c>
      <c r="R256" s="13" t="e">
        <f>VLOOKUP(G256,#REF!, 5)</f>
        <v>#REF!</v>
      </c>
      <c r="S256" s="18" t="s">
        <v>18</v>
      </c>
      <c r="T256" s="43" t="s">
        <v>2948</v>
      </c>
      <c r="U256" s="4" t="s">
        <v>2309</v>
      </c>
      <c r="V256" s="12" t="s">
        <v>2700</v>
      </c>
      <c r="AA256"/>
    </row>
    <row r="257" spans="1:27" ht="51.65" x14ac:dyDescent="0.2">
      <c r="A257" s="12" t="s">
        <v>1410</v>
      </c>
      <c r="B257" s="12" t="s">
        <v>1411</v>
      </c>
      <c r="C257" s="37" t="s">
        <v>1412</v>
      </c>
      <c r="D257" s="12" t="s">
        <v>1413</v>
      </c>
      <c r="E257" s="8" t="s">
        <v>1394</v>
      </c>
      <c r="F257" s="8" t="s">
        <v>1414</v>
      </c>
      <c r="G257" s="8" t="str">
        <f t="shared" si="6"/>
        <v>S1-00380</v>
      </c>
      <c r="H257" s="52" t="e">
        <f>VLOOKUP(G257,#REF!, 2)</f>
        <v>#REF!</v>
      </c>
      <c r="I257" s="52" t="e">
        <f>VLOOKUP(G257,#REF!, 4)</f>
        <v>#REF!</v>
      </c>
      <c r="J257" s="22" t="s">
        <v>1400</v>
      </c>
      <c r="K257" s="22" t="s">
        <v>2949</v>
      </c>
      <c r="L257" s="18"/>
      <c r="M257" s="18"/>
      <c r="N257" s="18"/>
      <c r="O257" s="18"/>
      <c r="P257" s="18" t="e">
        <f t="shared" si="7"/>
        <v>#REF!</v>
      </c>
      <c r="Q257" s="19" t="e">
        <f>IF(R257=0,VLOOKUP(G257,#REF!, 3),R257)</f>
        <v>#REF!</v>
      </c>
      <c r="R257" s="13" t="e">
        <f>VLOOKUP(G257,#REF!, 5)</f>
        <v>#REF!</v>
      </c>
      <c r="S257" s="18" t="s">
        <v>18</v>
      </c>
      <c r="T257" s="43"/>
      <c r="V257" s="12" t="s">
        <v>2700</v>
      </c>
      <c r="AA257"/>
    </row>
    <row r="258" spans="1:27" ht="217.2" customHeight="1" x14ac:dyDescent="0.2">
      <c r="A258" s="12" t="s">
        <v>1415</v>
      </c>
      <c r="B258" s="12" t="s">
        <v>1416</v>
      </c>
      <c r="C258" s="37" t="s">
        <v>1417</v>
      </c>
      <c r="D258" s="12" t="s">
        <v>1418</v>
      </c>
      <c r="E258" s="8" t="s">
        <v>1394</v>
      </c>
      <c r="F258" s="8" t="s">
        <v>1419</v>
      </c>
      <c r="G258" s="8" t="str">
        <f t="shared" si="6"/>
        <v>S1-00381</v>
      </c>
      <c r="H258" s="52" t="e">
        <f>VLOOKUP(G258,#REF!, 2)</f>
        <v>#REF!</v>
      </c>
      <c r="I258" s="52" t="e">
        <f>VLOOKUP(G258,#REF!, 4)</f>
        <v>#REF!</v>
      </c>
      <c r="J258" s="22" t="s">
        <v>1400</v>
      </c>
      <c r="K258" s="22" t="s">
        <v>2950</v>
      </c>
      <c r="L258" s="18" t="s">
        <v>2951</v>
      </c>
      <c r="M258" s="18"/>
      <c r="N258" s="18"/>
      <c r="O258" s="18"/>
      <c r="P258" s="18" t="e">
        <f t="shared" si="7"/>
        <v>#REF!</v>
      </c>
      <c r="Q258" s="19" t="e">
        <f>IF(R258=0,VLOOKUP(G258,#REF!, 3),R258)</f>
        <v>#REF!</v>
      </c>
      <c r="R258" s="13" t="e">
        <f>VLOOKUP(G258,#REF!, 5)</f>
        <v>#REF!</v>
      </c>
      <c r="S258" s="18" t="s">
        <v>18</v>
      </c>
      <c r="T258" s="43"/>
      <c r="V258" s="12" t="s">
        <v>2700</v>
      </c>
      <c r="AA258"/>
    </row>
    <row r="259" spans="1:27" ht="127.9" customHeight="1" x14ac:dyDescent="0.2">
      <c r="A259" s="12" t="s">
        <v>1420</v>
      </c>
      <c r="B259" s="12" t="s">
        <v>1421</v>
      </c>
      <c r="C259" s="37" t="s">
        <v>1422</v>
      </c>
      <c r="D259" s="12" t="s">
        <v>1423</v>
      </c>
      <c r="E259" s="8" t="s">
        <v>1424</v>
      </c>
      <c r="F259" s="8" t="s">
        <v>66</v>
      </c>
      <c r="G259" s="8" t="str">
        <f t="shared" ref="G259:G322" si="8">SUBSTITUTE(B259,"BRDP-","")</f>
        <v>S1-00382</v>
      </c>
      <c r="H259" s="52" t="e">
        <f>VLOOKUP(G259,#REF!, 2)</f>
        <v>#REF!</v>
      </c>
      <c r="I259" s="52" t="e">
        <f>VLOOKUP(G259,#REF!, 4)</f>
        <v>#REF!</v>
      </c>
      <c r="J259" s="22" t="s">
        <v>1425</v>
      </c>
      <c r="K259" s="22" t="s">
        <v>2662</v>
      </c>
      <c r="L259" s="18" t="s">
        <v>2952</v>
      </c>
      <c r="M259" s="18" t="s">
        <v>2953</v>
      </c>
      <c r="N259" s="18"/>
      <c r="O259" s="35"/>
      <c r="P259" s="18" t="e">
        <f t="shared" ref="P259:P322" si="9">IF(Q259=0,"",Q259)</f>
        <v>#REF!</v>
      </c>
      <c r="Q259" s="19" t="e">
        <f>IF(R259=0,VLOOKUP(G259,#REF!, 3),R259)</f>
        <v>#REF!</v>
      </c>
      <c r="R259" s="13" t="e">
        <f>VLOOKUP(G259,#REF!, 5)</f>
        <v>#REF!</v>
      </c>
      <c r="S259" s="18" t="s">
        <v>18</v>
      </c>
      <c r="T259" s="43" t="s">
        <v>2954</v>
      </c>
      <c r="U259" s="4" t="s">
        <v>2321</v>
      </c>
      <c r="AA259"/>
    </row>
    <row r="260" spans="1:27" ht="104.95" customHeight="1" x14ac:dyDescent="0.2">
      <c r="A260" s="12" t="s">
        <v>1420</v>
      </c>
      <c r="B260" s="12" t="s">
        <v>1426</v>
      </c>
      <c r="C260" s="37" t="s">
        <v>1427</v>
      </c>
      <c r="D260" s="12" t="s">
        <v>1428</v>
      </c>
      <c r="E260" s="8" t="s">
        <v>1424</v>
      </c>
      <c r="F260" s="8" t="s">
        <v>66</v>
      </c>
      <c r="G260" s="8" t="str">
        <f t="shared" si="8"/>
        <v>S1-00383</v>
      </c>
      <c r="H260" s="52" t="e">
        <f>VLOOKUP(G260,#REF!, 2)</f>
        <v>#REF!</v>
      </c>
      <c r="I260" s="52" t="e">
        <f>VLOOKUP(G260,#REF!, 4)</f>
        <v>#REF!</v>
      </c>
      <c r="J260" s="22" t="s">
        <v>1429</v>
      </c>
      <c r="K260" s="22" t="s">
        <v>2345</v>
      </c>
      <c r="L260" s="18" t="s">
        <v>2955</v>
      </c>
      <c r="M260" s="18" t="s">
        <v>2953</v>
      </c>
      <c r="N260" s="18"/>
      <c r="O260" s="18"/>
      <c r="P260" s="18" t="e">
        <f t="shared" si="9"/>
        <v>#REF!</v>
      </c>
      <c r="Q260" s="19" t="e">
        <f>IF(R260=0,VLOOKUP(G260,#REF!, 3),R260)</f>
        <v>#REF!</v>
      </c>
      <c r="R260" s="13" t="e">
        <f>VLOOKUP(G260,#REF!, 5)</f>
        <v>#REF!</v>
      </c>
      <c r="S260" s="18" t="s">
        <v>18</v>
      </c>
      <c r="T260" s="43" t="s">
        <v>2954</v>
      </c>
      <c r="U260" s="4" t="s">
        <v>2321</v>
      </c>
      <c r="AA260"/>
    </row>
    <row r="261" spans="1:27" ht="369.7" customHeight="1" x14ac:dyDescent="0.2">
      <c r="A261" s="12" t="s">
        <v>1430</v>
      </c>
      <c r="B261" s="12" t="s">
        <v>1431</v>
      </c>
      <c r="C261" s="37" t="s">
        <v>1432</v>
      </c>
      <c r="D261" s="12" t="s">
        <v>1433</v>
      </c>
      <c r="E261" s="8" t="s">
        <v>1434</v>
      </c>
      <c r="F261" s="8" t="s">
        <v>1122</v>
      </c>
      <c r="G261" s="8" t="str">
        <f t="shared" si="8"/>
        <v>S1-00385</v>
      </c>
      <c r="H261" s="52" t="e">
        <f>VLOOKUP(G261,#REF!, 2)</f>
        <v>#REF!</v>
      </c>
      <c r="I261" s="52" t="e">
        <f>VLOOKUP(G261,#REF!, 4)</f>
        <v>#REF!</v>
      </c>
      <c r="J261" s="22" t="s">
        <v>1435</v>
      </c>
      <c r="K261" s="22" t="s">
        <v>2956</v>
      </c>
      <c r="L261" s="18" t="s">
        <v>2957</v>
      </c>
      <c r="M261" s="18"/>
      <c r="N261" s="18"/>
      <c r="O261" s="18"/>
      <c r="P261" s="18" t="e">
        <f t="shared" si="9"/>
        <v>#REF!</v>
      </c>
      <c r="Q261" s="19" t="e">
        <f>IF(R261=0,VLOOKUP(G261,#REF!, 3),R261)</f>
        <v>#REF!</v>
      </c>
      <c r="R261" s="13" t="e">
        <f>VLOOKUP(G261,#REF!, 5)</f>
        <v>#REF!</v>
      </c>
      <c r="S261" s="18" t="s">
        <v>18</v>
      </c>
      <c r="T261" s="43"/>
      <c r="AA261"/>
    </row>
    <row r="262" spans="1:27" ht="109.2" customHeight="1" x14ac:dyDescent="0.2">
      <c r="A262" s="12" t="s">
        <v>1436</v>
      </c>
      <c r="B262" s="12" t="s">
        <v>1437</v>
      </c>
      <c r="C262" s="37" t="s">
        <v>1438</v>
      </c>
      <c r="D262" s="12" t="s">
        <v>1439</v>
      </c>
      <c r="E262" s="8" t="s">
        <v>1434</v>
      </c>
      <c r="F262" s="8" t="s">
        <v>103</v>
      </c>
      <c r="G262" s="8" t="str">
        <f t="shared" si="8"/>
        <v>S1-00386</v>
      </c>
      <c r="H262" s="52" t="e">
        <f>VLOOKUP(G262,#REF!, 2)</f>
        <v>#REF!</v>
      </c>
      <c r="I262" s="52" t="e">
        <f>VLOOKUP(G262,#REF!, 4)</f>
        <v>#REF!</v>
      </c>
      <c r="J262" s="22" t="s">
        <v>1440</v>
      </c>
      <c r="K262" s="22" t="s">
        <v>2956</v>
      </c>
      <c r="L262" s="18" t="s">
        <v>2958</v>
      </c>
      <c r="M262" s="18"/>
      <c r="N262" s="18"/>
      <c r="O262" s="18"/>
      <c r="P262" s="18" t="e">
        <f t="shared" si="9"/>
        <v>#REF!</v>
      </c>
      <c r="Q262" s="19" t="e">
        <f>IF(R262=0,VLOOKUP(G262,#REF!, 3),R262)</f>
        <v>#REF!</v>
      </c>
      <c r="R262" s="13" t="e">
        <f>VLOOKUP(G262,#REF!, 5)</f>
        <v>#REF!</v>
      </c>
      <c r="S262" s="18" t="s">
        <v>18</v>
      </c>
      <c r="T262" s="43"/>
      <c r="AA262"/>
    </row>
    <row r="263" spans="1:27" ht="25.85" x14ac:dyDescent="0.2">
      <c r="A263" s="12" t="s">
        <v>1441</v>
      </c>
      <c r="B263" s="12" t="s">
        <v>1442</v>
      </c>
      <c r="C263" s="37" t="s">
        <v>1443</v>
      </c>
      <c r="D263" s="12" t="s">
        <v>1444</v>
      </c>
      <c r="E263" s="8" t="s">
        <v>1445</v>
      </c>
      <c r="F263" s="8" t="s">
        <v>173</v>
      </c>
      <c r="G263" s="8" t="str">
        <f t="shared" si="8"/>
        <v>S1-00387</v>
      </c>
      <c r="H263" s="52" t="e">
        <f>VLOOKUP(G263,#REF!, 2)</f>
        <v>#REF!</v>
      </c>
      <c r="I263" s="52" t="e">
        <f>VLOOKUP(G263,#REF!, 4)</f>
        <v>#REF!</v>
      </c>
      <c r="J263" s="22" t="s">
        <v>1446</v>
      </c>
      <c r="K263" s="22" t="s">
        <v>2959</v>
      </c>
      <c r="L263" s="18" t="s">
        <v>2960</v>
      </c>
      <c r="M263" s="18"/>
      <c r="N263" s="18" t="s">
        <v>2961</v>
      </c>
      <c r="O263" s="18" t="s">
        <v>2297</v>
      </c>
      <c r="P263" s="18" t="e">
        <f t="shared" si="9"/>
        <v>#REF!</v>
      </c>
      <c r="Q263" s="19" t="e">
        <f>IF(R263=0,VLOOKUP(G263,#REF!, 3),R263)</f>
        <v>#REF!</v>
      </c>
      <c r="R263" s="13" t="e">
        <f>VLOOKUP(G263,#REF!, 5)</f>
        <v>#REF!</v>
      </c>
      <c r="S263" s="18" t="s">
        <v>18</v>
      </c>
      <c r="T263" s="43"/>
      <c r="V263" s="4" t="s">
        <v>2547</v>
      </c>
      <c r="AA263"/>
    </row>
    <row r="264" spans="1:27" ht="232.3" x14ac:dyDescent="0.2">
      <c r="A264" s="12" t="s">
        <v>1441</v>
      </c>
      <c r="B264" s="12" t="s">
        <v>1447</v>
      </c>
      <c r="C264" s="37" t="s">
        <v>1448</v>
      </c>
      <c r="D264" s="12" t="s">
        <v>1449</v>
      </c>
      <c r="E264" s="8" t="s">
        <v>1445</v>
      </c>
      <c r="F264" s="8" t="s">
        <v>173</v>
      </c>
      <c r="G264" s="8" t="str">
        <f t="shared" si="8"/>
        <v>S1-00388</v>
      </c>
      <c r="H264" s="52" t="e">
        <f>VLOOKUP(G264,#REF!, 2)</f>
        <v>#REF!</v>
      </c>
      <c r="I264" s="52" t="e">
        <f>VLOOKUP(G264,#REF!, 4)</f>
        <v>#REF!</v>
      </c>
      <c r="J264" s="22" t="s">
        <v>1450</v>
      </c>
      <c r="K264" s="22" t="s">
        <v>2962</v>
      </c>
      <c r="L264" s="18" t="s">
        <v>2963</v>
      </c>
      <c r="M264" s="18"/>
      <c r="N264" s="18"/>
      <c r="O264" s="18"/>
      <c r="P264" s="18" t="e">
        <f t="shared" si="9"/>
        <v>#REF!</v>
      </c>
      <c r="Q264" s="19" t="e">
        <f>IF(R264=0,VLOOKUP(G264,#REF!, 3),R264)</f>
        <v>#REF!</v>
      </c>
      <c r="R264" s="13" t="e">
        <f>VLOOKUP(G264,#REF!, 5)</f>
        <v>#REF!</v>
      </c>
      <c r="S264" s="18" t="s">
        <v>18</v>
      </c>
      <c r="T264" s="43" t="s">
        <v>2964</v>
      </c>
      <c r="V264" s="4" t="s">
        <v>2547</v>
      </c>
      <c r="AA264"/>
    </row>
    <row r="265" spans="1:27" ht="167.8" x14ac:dyDescent="0.2">
      <c r="A265" s="12" t="s">
        <v>1441</v>
      </c>
      <c r="B265" s="12" t="s">
        <v>1451</v>
      </c>
      <c r="C265" s="37" t="s">
        <v>1452</v>
      </c>
      <c r="D265" s="12" t="s">
        <v>1453</v>
      </c>
      <c r="E265" s="8" t="s">
        <v>1445</v>
      </c>
      <c r="F265" s="8" t="s">
        <v>173</v>
      </c>
      <c r="G265" s="8" t="str">
        <f t="shared" si="8"/>
        <v>S1-00389</v>
      </c>
      <c r="H265" s="52" t="e">
        <f>VLOOKUP(G265,#REF!, 2)</f>
        <v>#REF!</v>
      </c>
      <c r="I265" s="52" t="e">
        <f>VLOOKUP(G265,#REF!, 4)</f>
        <v>#REF!</v>
      </c>
      <c r="J265" s="22" t="s">
        <v>1454</v>
      </c>
      <c r="K265" s="22" t="s">
        <v>2965</v>
      </c>
      <c r="L265" s="19" t="s">
        <v>2966</v>
      </c>
      <c r="M265" s="19" t="s">
        <v>2967</v>
      </c>
      <c r="N265" s="19" t="s">
        <v>2961</v>
      </c>
      <c r="O265" s="19" t="s">
        <v>2297</v>
      </c>
      <c r="P265" s="18" t="e">
        <f t="shared" si="9"/>
        <v>#REF!</v>
      </c>
      <c r="Q265" s="19" t="e">
        <f>IF(R265=0,VLOOKUP(G265,#REF!, 3),R265)</f>
        <v>#REF!</v>
      </c>
      <c r="R265" s="13" t="e">
        <f>VLOOKUP(G265,#REF!, 5)</f>
        <v>#REF!</v>
      </c>
      <c r="S265" s="18" t="s">
        <v>18</v>
      </c>
      <c r="T265" s="43" t="s">
        <v>2968</v>
      </c>
      <c r="U265" s="4" t="s">
        <v>2309</v>
      </c>
      <c r="V265" s="4" t="s">
        <v>2547</v>
      </c>
      <c r="AA265"/>
    </row>
    <row r="266" spans="1:27" ht="142" x14ac:dyDescent="0.2">
      <c r="A266" s="12" t="s">
        <v>1455</v>
      </c>
      <c r="B266" s="12" t="s">
        <v>1456</v>
      </c>
      <c r="C266" s="37" t="s">
        <v>1457</v>
      </c>
      <c r="D266" s="12" t="s">
        <v>1458</v>
      </c>
      <c r="E266" s="8" t="s">
        <v>1445</v>
      </c>
      <c r="F266" s="8" t="s">
        <v>280</v>
      </c>
      <c r="G266" s="8" t="str">
        <f t="shared" si="8"/>
        <v>S1-00390</v>
      </c>
      <c r="H266" s="52" t="e">
        <f>VLOOKUP(G266,#REF!, 2)</f>
        <v>#REF!</v>
      </c>
      <c r="I266" s="52" t="e">
        <f>VLOOKUP(G266,#REF!, 4)</f>
        <v>#REF!</v>
      </c>
      <c r="J266" s="22" t="s">
        <v>1129</v>
      </c>
      <c r="K266" s="22" t="s">
        <v>2969</v>
      </c>
      <c r="L266" s="18" t="s">
        <v>2970</v>
      </c>
      <c r="M266" s="18" t="s">
        <v>2971</v>
      </c>
      <c r="N266" s="18"/>
      <c r="O266" s="35"/>
      <c r="P266" s="18" t="e">
        <f t="shared" si="9"/>
        <v>#REF!</v>
      </c>
      <c r="Q266" s="19" t="e">
        <f>IF(R266=0,VLOOKUP(G266,#REF!, 3),R266)</f>
        <v>#REF!</v>
      </c>
      <c r="R266" s="13" t="e">
        <f>VLOOKUP(G266,#REF!, 5)</f>
        <v>#REF!</v>
      </c>
      <c r="S266" s="18" t="s">
        <v>18</v>
      </c>
      <c r="T266" s="43" t="s">
        <v>2972</v>
      </c>
      <c r="U266" s="4" t="s">
        <v>2321</v>
      </c>
      <c r="V266" s="4" t="s">
        <v>2547</v>
      </c>
      <c r="AA266"/>
    </row>
    <row r="267" spans="1:27" ht="199.2" customHeight="1" x14ac:dyDescent="0.2">
      <c r="A267" s="12" t="s">
        <v>1459</v>
      </c>
      <c r="B267" s="12" t="s">
        <v>1460</v>
      </c>
      <c r="C267" s="37" t="s">
        <v>1461</v>
      </c>
      <c r="D267" s="12" t="s">
        <v>2973</v>
      </c>
      <c r="E267" s="8" t="s">
        <v>1445</v>
      </c>
      <c r="F267" s="8" t="s">
        <v>1463</v>
      </c>
      <c r="G267" s="8" t="str">
        <f t="shared" si="8"/>
        <v>S1-00391</v>
      </c>
      <c r="H267" s="52" t="e">
        <f>VLOOKUP(G267,#REF!, 2)</f>
        <v>#REF!</v>
      </c>
      <c r="I267" s="52" t="e">
        <f>VLOOKUP(G267,#REF!, 4)</f>
        <v>#REF!</v>
      </c>
      <c r="J267" s="22" t="s">
        <v>1464</v>
      </c>
      <c r="K267" s="22" t="s">
        <v>2974</v>
      </c>
      <c r="L267" s="19" t="s">
        <v>2975</v>
      </c>
      <c r="M267" s="19" t="s">
        <v>2976</v>
      </c>
      <c r="N267" s="19" t="s">
        <v>2977</v>
      </c>
      <c r="O267" s="19" t="s">
        <v>2297</v>
      </c>
      <c r="P267" s="18" t="e">
        <f t="shared" si="9"/>
        <v>#REF!</v>
      </c>
      <c r="Q267" s="19" t="e">
        <f>IF(R267=0,VLOOKUP(G267,#REF!, 3),R267)</f>
        <v>#REF!</v>
      </c>
      <c r="R267" s="13" t="e">
        <f>VLOOKUP(G267,#REF!, 5)</f>
        <v>#REF!</v>
      </c>
      <c r="S267" s="18" t="s">
        <v>18</v>
      </c>
      <c r="T267" s="43" t="s">
        <v>2974</v>
      </c>
      <c r="U267" s="4" t="s">
        <v>2309</v>
      </c>
      <c r="V267" s="4" t="s">
        <v>2547</v>
      </c>
      <c r="AA267"/>
    </row>
    <row r="268" spans="1:27" ht="409.6" x14ac:dyDescent="0.2">
      <c r="A268" s="12" t="s">
        <v>1465</v>
      </c>
      <c r="B268" s="12" t="s">
        <v>1466</v>
      </c>
      <c r="C268" s="37" t="s">
        <v>1467</v>
      </c>
      <c r="D268" s="12" t="s">
        <v>2978</v>
      </c>
      <c r="E268" s="8" t="s">
        <v>1445</v>
      </c>
      <c r="F268" s="8" t="s">
        <v>32</v>
      </c>
      <c r="G268" s="8" t="str">
        <f t="shared" si="8"/>
        <v>S1-00392</v>
      </c>
      <c r="H268" s="52" t="e">
        <f>VLOOKUP(G268,#REF!, 2)</f>
        <v>#REF!</v>
      </c>
      <c r="I268" s="52" t="e">
        <f>VLOOKUP(G268,#REF!, 4)</f>
        <v>#REF!</v>
      </c>
      <c r="J268" s="22" t="s">
        <v>1469</v>
      </c>
      <c r="K268" s="22" t="s">
        <v>2979</v>
      </c>
      <c r="L268" s="18" t="s">
        <v>2980</v>
      </c>
      <c r="M268" s="18"/>
      <c r="N268" s="18" t="s">
        <v>2981</v>
      </c>
      <c r="O268" s="18" t="s">
        <v>2297</v>
      </c>
      <c r="P268" s="18" t="e">
        <f t="shared" si="9"/>
        <v>#REF!</v>
      </c>
      <c r="Q268" s="19" t="e">
        <f>IF(R268=0,VLOOKUP(G268,#REF!, 3),R268)</f>
        <v>#REF!</v>
      </c>
      <c r="R268" s="13" t="e">
        <f>VLOOKUP(G268,#REF!, 5)</f>
        <v>#REF!</v>
      </c>
      <c r="S268" s="18" t="s">
        <v>18</v>
      </c>
      <c r="T268" s="43"/>
      <c r="V268" s="4" t="s">
        <v>2547</v>
      </c>
      <c r="AA268"/>
    </row>
    <row r="269" spans="1:27" ht="167.8" x14ac:dyDescent="0.2">
      <c r="A269" s="12" t="s">
        <v>1470</v>
      </c>
      <c r="B269" s="12" t="s">
        <v>1471</v>
      </c>
      <c r="C269" s="37" t="s">
        <v>1472</v>
      </c>
      <c r="D269" s="12" t="s">
        <v>2982</v>
      </c>
      <c r="E269" s="8" t="s">
        <v>1445</v>
      </c>
      <c r="F269" s="8" t="s">
        <v>427</v>
      </c>
      <c r="G269" s="8" t="str">
        <f t="shared" si="8"/>
        <v>S1-00393</v>
      </c>
      <c r="H269" s="52" t="e">
        <f>VLOOKUP(G269,#REF!, 2)</f>
        <v>#REF!</v>
      </c>
      <c r="I269" s="52" t="e">
        <f>VLOOKUP(G269,#REF!, 4)</f>
        <v>#REF!</v>
      </c>
      <c r="J269" s="22" t="s">
        <v>1474</v>
      </c>
      <c r="K269" s="22" t="s">
        <v>2983</v>
      </c>
      <c r="L269" s="18"/>
      <c r="M269" s="18"/>
      <c r="N269" s="18" t="s">
        <v>2984</v>
      </c>
      <c r="O269" s="18" t="s">
        <v>2297</v>
      </c>
      <c r="P269" s="18" t="e">
        <f t="shared" si="9"/>
        <v>#REF!</v>
      </c>
      <c r="Q269" s="19" t="e">
        <f>IF(R269=0,VLOOKUP(G269,#REF!, 3),R269)</f>
        <v>#REF!</v>
      </c>
      <c r="R269" s="13" t="e">
        <f>VLOOKUP(G269,#REF!, 5)</f>
        <v>#REF!</v>
      </c>
      <c r="S269" s="18" t="s">
        <v>18</v>
      </c>
      <c r="T269" s="43" t="s">
        <v>2985</v>
      </c>
      <c r="V269" s="4" t="s">
        <v>2547</v>
      </c>
      <c r="AA269"/>
    </row>
    <row r="270" spans="1:27" ht="409.6" x14ac:dyDescent="0.2">
      <c r="A270" s="12" t="s">
        <v>1475</v>
      </c>
      <c r="B270" s="12" t="s">
        <v>1476</v>
      </c>
      <c r="C270" s="51" t="s">
        <v>1477</v>
      </c>
      <c r="D270" s="39" t="s">
        <v>1478</v>
      </c>
      <c r="E270" s="10" t="s">
        <v>1479</v>
      </c>
      <c r="F270" s="10" t="s">
        <v>74</v>
      </c>
      <c r="G270" s="8" t="str">
        <f t="shared" si="8"/>
        <v>S1-00394</v>
      </c>
      <c r="H270" s="52" t="e">
        <f>VLOOKUP(G270,#REF!, 2)</f>
        <v>#REF!</v>
      </c>
      <c r="I270" s="52" t="e">
        <f>VLOOKUP(G270,#REF!, 4)</f>
        <v>#REF!</v>
      </c>
      <c r="J270" s="22" t="s">
        <v>1129</v>
      </c>
      <c r="K270" s="22" t="s">
        <v>2986</v>
      </c>
      <c r="L270" s="18" t="s">
        <v>2987</v>
      </c>
      <c r="M270" s="18"/>
      <c r="N270" s="18"/>
      <c r="O270" s="18"/>
      <c r="P270" s="18" t="e">
        <f t="shared" si="9"/>
        <v>#REF!</v>
      </c>
      <c r="Q270" s="19" t="e">
        <f>IF(R270=0,VLOOKUP(G270,#REF!, 3),R270)</f>
        <v>#REF!</v>
      </c>
      <c r="R270" s="13" t="e">
        <f>VLOOKUP(G270,#REF!, 5)</f>
        <v>#REF!</v>
      </c>
      <c r="S270" s="18" t="s">
        <v>18</v>
      </c>
      <c r="T270" s="43" t="s">
        <v>2988</v>
      </c>
      <c r="V270" s="4" t="s">
        <v>2547</v>
      </c>
      <c r="AA270"/>
    </row>
    <row r="271" spans="1:27" ht="193.95" customHeight="1" x14ac:dyDescent="0.2">
      <c r="A271" s="12" t="s">
        <v>1475</v>
      </c>
      <c r="B271" s="12" t="s">
        <v>1480</v>
      </c>
      <c r="C271" s="51" t="s">
        <v>1481</v>
      </c>
      <c r="D271" s="39" t="s">
        <v>1482</v>
      </c>
      <c r="E271" s="10" t="s">
        <v>1479</v>
      </c>
      <c r="F271" s="10" t="s">
        <v>74</v>
      </c>
      <c r="G271" s="8" t="str">
        <f t="shared" si="8"/>
        <v>S1-00395</v>
      </c>
      <c r="H271" s="52" t="e">
        <f>VLOOKUP(G271,#REF!, 2)</f>
        <v>#REF!</v>
      </c>
      <c r="I271" s="52" t="e">
        <f>VLOOKUP(G271,#REF!, 4)</f>
        <v>#REF!</v>
      </c>
      <c r="J271" s="22" t="s">
        <v>1483</v>
      </c>
      <c r="K271" s="22" t="s">
        <v>2989</v>
      </c>
      <c r="L271" s="18" t="s">
        <v>2990</v>
      </c>
      <c r="M271" s="18"/>
      <c r="N271" s="18"/>
      <c r="O271" s="35"/>
      <c r="P271" s="18" t="e">
        <f t="shared" si="9"/>
        <v>#REF!</v>
      </c>
      <c r="Q271" s="19" t="e">
        <f>IF(R271=0,VLOOKUP(G271,#REF!, 3),R271)</f>
        <v>#REF!</v>
      </c>
      <c r="R271" s="13" t="e">
        <f>VLOOKUP(G271,#REF!, 5)</f>
        <v>#REF!</v>
      </c>
      <c r="S271" s="18" t="s">
        <v>18</v>
      </c>
      <c r="T271" s="43" t="s">
        <v>2991</v>
      </c>
      <c r="U271" s="4" t="s">
        <v>2321</v>
      </c>
      <c r="V271" s="4" t="s">
        <v>2547</v>
      </c>
      <c r="AA271"/>
    </row>
    <row r="272" spans="1:27" ht="90.35" x14ac:dyDescent="0.2">
      <c r="A272" s="12" t="s">
        <v>1484</v>
      </c>
      <c r="B272" s="12" t="s">
        <v>1485</v>
      </c>
      <c r="C272" s="37" t="s">
        <v>1486</v>
      </c>
      <c r="D272" s="12" t="s">
        <v>1487</v>
      </c>
      <c r="E272" s="8" t="s">
        <v>1488</v>
      </c>
      <c r="F272" s="8" t="s">
        <v>246</v>
      </c>
      <c r="G272" s="8" t="str">
        <f t="shared" si="8"/>
        <v>S1-00396</v>
      </c>
      <c r="H272" s="52" t="e">
        <f>VLOOKUP(G272,#REF!, 2)</f>
        <v>#REF!</v>
      </c>
      <c r="I272" s="52" t="e">
        <f>VLOOKUP(G272,#REF!, 4)</f>
        <v>#REF!</v>
      </c>
      <c r="J272" s="22" t="s">
        <v>1163</v>
      </c>
      <c r="K272" s="22" t="s">
        <v>2345</v>
      </c>
      <c r="L272" s="18" t="s">
        <v>2992</v>
      </c>
      <c r="M272" s="18"/>
      <c r="N272" s="18"/>
      <c r="O272" s="18"/>
      <c r="P272" s="18" t="e">
        <f t="shared" si="9"/>
        <v>#REF!</v>
      </c>
      <c r="Q272" s="19" t="e">
        <f>IF(R272=0,VLOOKUP(G272,#REF!, 3),R272)</f>
        <v>#REF!</v>
      </c>
      <c r="R272" s="13" t="e">
        <f>VLOOKUP(G272,#REF!, 5)</f>
        <v>#REF!</v>
      </c>
      <c r="S272" s="18" t="s">
        <v>18</v>
      </c>
      <c r="T272" s="43"/>
      <c r="V272" s="4" t="s">
        <v>2547</v>
      </c>
      <c r="AA272"/>
    </row>
    <row r="273" spans="1:27" ht="167.8" x14ac:dyDescent="0.2">
      <c r="A273" s="18" t="s">
        <v>1489</v>
      </c>
      <c r="B273" s="18" t="s">
        <v>1490</v>
      </c>
      <c r="C273" s="18" t="s">
        <v>1491</v>
      </c>
      <c r="D273" s="18" t="s">
        <v>2993</v>
      </c>
      <c r="E273" s="18" t="s">
        <v>1493</v>
      </c>
      <c r="F273" s="18" t="s">
        <v>246</v>
      </c>
      <c r="G273" s="18" t="str">
        <f t="shared" si="8"/>
        <v>S1-00397</v>
      </c>
      <c r="H273" s="18" t="e">
        <f>VLOOKUP(G273,#REF!, 2)</f>
        <v>#REF!</v>
      </c>
      <c r="I273" s="18" t="e">
        <f>VLOOKUP(G273,#REF!, 4)</f>
        <v>#REF!</v>
      </c>
      <c r="J273" s="18" t="s">
        <v>1183</v>
      </c>
      <c r="K273" s="18" t="s">
        <v>2831</v>
      </c>
      <c r="L273" s="18" t="s">
        <v>2994</v>
      </c>
      <c r="M273" s="18" t="s">
        <v>2967</v>
      </c>
      <c r="N273" s="18"/>
      <c r="O273" s="18"/>
      <c r="P273" s="18" t="e">
        <f t="shared" si="9"/>
        <v>#REF!</v>
      </c>
      <c r="Q273" s="19" t="e">
        <f>IF(R273=0,VLOOKUP(G273,#REF!, 3),R273)</f>
        <v>#REF!</v>
      </c>
      <c r="R273" s="41" t="e">
        <f>VLOOKUP(G273,#REF!, 5)</f>
        <v>#REF!</v>
      </c>
      <c r="S273" s="40" t="s">
        <v>18</v>
      </c>
      <c r="T273" s="43" t="s">
        <v>2995</v>
      </c>
      <c r="U273" s="4" t="s">
        <v>2309</v>
      </c>
      <c r="V273" s="4" t="s">
        <v>2547</v>
      </c>
      <c r="AA273"/>
    </row>
    <row r="274" spans="1:27" ht="307.2" customHeight="1" x14ac:dyDescent="0.2">
      <c r="A274" s="12" t="s">
        <v>1494</v>
      </c>
      <c r="B274" s="12" t="s">
        <v>1495</v>
      </c>
      <c r="C274" s="37" t="s">
        <v>1496</v>
      </c>
      <c r="D274" s="12" t="s">
        <v>1497</v>
      </c>
      <c r="E274" s="8" t="s">
        <v>1493</v>
      </c>
      <c r="F274" s="8" t="s">
        <v>90</v>
      </c>
      <c r="G274" s="8" t="str">
        <f t="shared" si="8"/>
        <v>S1-00398</v>
      </c>
      <c r="H274" s="52" t="e">
        <f>VLOOKUP(G274,#REF!, 2)</f>
        <v>#REF!</v>
      </c>
      <c r="I274" s="52" t="e">
        <f>VLOOKUP(G274,#REF!, 4)</f>
        <v>#REF!</v>
      </c>
      <c r="J274" s="22" t="s">
        <v>1183</v>
      </c>
      <c r="K274" s="22" t="s">
        <v>2831</v>
      </c>
      <c r="L274" s="18" t="s">
        <v>2996</v>
      </c>
      <c r="M274" s="19" t="s">
        <v>2997</v>
      </c>
      <c r="N274" s="18"/>
      <c r="O274" s="18"/>
      <c r="P274" s="18" t="e">
        <f t="shared" si="9"/>
        <v>#REF!</v>
      </c>
      <c r="Q274" s="19" t="e">
        <f>IF(R274=0,VLOOKUP(G274,#REF!, 3),R274)</f>
        <v>#REF!</v>
      </c>
      <c r="R274" s="13" t="e">
        <f>VLOOKUP(G274,#REF!, 5)</f>
        <v>#REF!</v>
      </c>
      <c r="S274" s="18" t="s">
        <v>18</v>
      </c>
      <c r="T274" s="43" t="s">
        <v>2998</v>
      </c>
      <c r="U274" s="4" t="s">
        <v>2309</v>
      </c>
      <c r="V274" s="4" t="s">
        <v>2547</v>
      </c>
      <c r="AA274"/>
    </row>
    <row r="275" spans="1:27" ht="301.95" customHeight="1" x14ac:dyDescent="0.2">
      <c r="A275" s="12" t="s">
        <v>1494</v>
      </c>
      <c r="B275" s="12" t="s">
        <v>1498</v>
      </c>
      <c r="C275" s="37" t="s">
        <v>1499</v>
      </c>
      <c r="D275" s="12" t="s">
        <v>1500</v>
      </c>
      <c r="E275" s="8" t="s">
        <v>1493</v>
      </c>
      <c r="F275" s="8" t="s">
        <v>90</v>
      </c>
      <c r="G275" s="8" t="str">
        <f t="shared" si="8"/>
        <v>S1-00399</v>
      </c>
      <c r="H275" s="52" t="e">
        <f>VLOOKUP(G275,#REF!, 2)</f>
        <v>#REF!</v>
      </c>
      <c r="I275" s="52" t="e">
        <f>VLOOKUP(G275,#REF!, 4)</f>
        <v>#REF!</v>
      </c>
      <c r="J275" s="22" t="s">
        <v>1183</v>
      </c>
      <c r="K275" s="22" t="s">
        <v>2999</v>
      </c>
      <c r="L275" s="18" t="s">
        <v>3000</v>
      </c>
      <c r="M275" s="18" t="s">
        <v>3001</v>
      </c>
      <c r="N275" s="18"/>
      <c r="O275" s="18"/>
      <c r="P275" s="18" t="e">
        <f t="shared" si="9"/>
        <v>#REF!</v>
      </c>
      <c r="Q275" s="19" t="e">
        <f>IF(R275=0,VLOOKUP(G275,#REF!, 3),R275)</f>
        <v>#REF!</v>
      </c>
      <c r="R275" s="13" t="e">
        <f>VLOOKUP(G275,#REF!, 5)</f>
        <v>#REF!</v>
      </c>
      <c r="S275" s="18" t="s">
        <v>18</v>
      </c>
      <c r="T275" s="43" t="s">
        <v>3002</v>
      </c>
      <c r="U275" s="4" t="s">
        <v>2309</v>
      </c>
      <c r="V275" s="4" t="s">
        <v>2547</v>
      </c>
      <c r="AA275"/>
    </row>
    <row r="276" spans="1:27" ht="116.15" x14ac:dyDescent="0.2">
      <c r="A276" s="12" t="s">
        <v>1501</v>
      </c>
      <c r="B276" s="12" t="s">
        <v>1502</v>
      </c>
      <c r="C276" s="37" t="s">
        <v>1503</v>
      </c>
      <c r="D276" s="12" t="s">
        <v>1504</v>
      </c>
      <c r="E276" s="8" t="s">
        <v>1505</v>
      </c>
      <c r="F276" s="8" t="s">
        <v>421</v>
      </c>
      <c r="G276" s="8" t="str">
        <f t="shared" si="8"/>
        <v>S1-00400</v>
      </c>
      <c r="H276" s="52" t="e">
        <f>VLOOKUP(G276,#REF!, 2)</f>
        <v>#REF!</v>
      </c>
      <c r="I276" s="52" t="e">
        <f>VLOOKUP(G276,#REF!, 4)</f>
        <v>#REF!</v>
      </c>
      <c r="J276" s="22" t="s">
        <v>1506</v>
      </c>
      <c r="K276" s="22" t="s">
        <v>2345</v>
      </c>
      <c r="L276" s="18" t="s">
        <v>3003</v>
      </c>
      <c r="M276" s="18"/>
      <c r="N276" s="18"/>
      <c r="O276" s="18"/>
      <c r="P276" s="18" t="e">
        <f t="shared" si="9"/>
        <v>#REF!</v>
      </c>
      <c r="Q276" s="19" t="e">
        <f>IF(R276=0,VLOOKUP(G276,#REF!, 3),R276)</f>
        <v>#REF!</v>
      </c>
      <c r="R276" s="13" t="e">
        <f>VLOOKUP(G276,#REF!, 5)</f>
        <v>#REF!</v>
      </c>
      <c r="S276" s="18" t="s">
        <v>18</v>
      </c>
      <c r="T276" s="43"/>
      <c r="V276" s="4" t="s">
        <v>2547</v>
      </c>
      <c r="AA276"/>
    </row>
    <row r="277" spans="1:27" ht="319.10000000000002" customHeight="1" x14ac:dyDescent="0.2">
      <c r="A277" s="12" t="s">
        <v>1507</v>
      </c>
      <c r="B277" s="12" t="s">
        <v>1508</v>
      </c>
      <c r="C277" s="51" t="s">
        <v>1509</v>
      </c>
      <c r="D277" s="39" t="s">
        <v>1510</v>
      </c>
      <c r="E277" s="10" t="s">
        <v>1505</v>
      </c>
      <c r="F277" s="10" t="s">
        <v>1511</v>
      </c>
      <c r="G277" s="8" t="str">
        <f t="shared" si="8"/>
        <v>S1-00401</v>
      </c>
      <c r="H277" s="52" t="e">
        <f>VLOOKUP(G277,#REF!, 2)</f>
        <v>#REF!</v>
      </c>
      <c r="I277" s="52" t="e">
        <f>VLOOKUP(G277,#REF!, 4)</f>
        <v>#REF!</v>
      </c>
      <c r="J277" s="22" t="s">
        <v>1512</v>
      </c>
      <c r="K277" s="22" t="s">
        <v>3004</v>
      </c>
      <c r="L277" s="18" t="s">
        <v>3005</v>
      </c>
      <c r="M277" s="18"/>
      <c r="N277" s="18"/>
      <c r="O277" s="18"/>
      <c r="P277" s="18" t="e">
        <f t="shared" si="9"/>
        <v>#REF!</v>
      </c>
      <c r="Q277" s="19" t="e">
        <f>IF(R277=0,VLOOKUP(G277,#REF!, 3),R277)</f>
        <v>#REF!</v>
      </c>
      <c r="R277" s="13" t="e">
        <f>VLOOKUP(G277,#REF!, 5)</f>
        <v>#REF!</v>
      </c>
      <c r="S277" s="18" t="s">
        <v>18</v>
      </c>
      <c r="T277" s="43" t="s">
        <v>3006</v>
      </c>
      <c r="V277" s="4" t="s">
        <v>2547</v>
      </c>
      <c r="AA277"/>
    </row>
    <row r="278" spans="1:27" ht="77.45" x14ac:dyDescent="0.2">
      <c r="A278" s="12" t="s">
        <v>1513</v>
      </c>
      <c r="B278" s="12" t="s">
        <v>1514</v>
      </c>
      <c r="C278" s="37" t="s">
        <v>1515</v>
      </c>
      <c r="D278" s="12" t="s">
        <v>1516</v>
      </c>
      <c r="E278" s="8" t="s">
        <v>1517</v>
      </c>
      <c r="F278" s="8" t="s">
        <v>1518</v>
      </c>
      <c r="G278" s="8" t="str">
        <f t="shared" si="8"/>
        <v>S1-00403</v>
      </c>
      <c r="H278" s="52" t="e">
        <f>VLOOKUP(G278,#REF!, 2)</f>
        <v>#REF!</v>
      </c>
      <c r="I278" s="52" t="e">
        <f>VLOOKUP(G278,#REF!, 4)</f>
        <v>#REF!</v>
      </c>
      <c r="J278" s="22" t="s">
        <v>1519</v>
      </c>
      <c r="K278" s="22" t="s">
        <v>3007</v>
      </c>
      <c r="L278" s="18" t="s">
        <v>3008</v>
      </c>
      <c r="M278" s="18"/>
      <c r="N278" s="18"/>
      <c r="O278" s="18"/>
      <c r="P278" s="18" t="e">
        <f t="shared" si="9"/>
        <v>#REF!</v>
      </c>
      <c r="Q278" s="19" t="e">
        <f>IF(R278=0,VLOOKUP(G278,#REF!, 3),R278)</f>
        <v>#REF!</v>
      </c>
      <c r="R278" s="13" t="e">
        <f>VLOOKUP(G278,#REF!, 5)</f>
        <v>#REF!</v>
      </c>
      <c r="S278" s="18" t="s">
        <v>18</v>
      </c>
      <c r="T278" s="43"/>
      <c r="AA278"/>
    </row>
    <row r="279" spans="1:27" ht="77.45" x14ac:dyDescent="0.2">
      <c r="A279" s="12" t="s">
        <v>1520</v>
      </c>
      <c r="B279" s="12" t="s">
        <v>1521</v>
      </c>
      <c r="C279" s="37" t="s">
        <v>1522</v>
      </c>
      <c r="D279" s="12" t="s">
        <v>1523</v>
      </c>
      <c r="E279" s="8" t="s">
        <v>1524</v>
      </c>
      <c r="F279" s="8" t="s">
        <v>1168</v>
      </c>
      <c r="G279" s="8" t="str">
        <f t="shared" si="8"/>
        <v>S1-00404</v>
      </c>
      <c r="H279" s="52" t="e">
        <f>VLOOKUP(G279,#REF!, 2)</f>
        <v>#REF!</v>
      </c>
      <c r="I279" s="52" t="e">
        <f>VLOOKUP(G279,#REF!, 4)</f>
        <v>#REF!</v>
      </c>
      <c r="J279" s="22" t="s">
        <v>1525</v>
      </c>
      <c r="K279" s="22" t="s">
        <v>2914</v>
      </c>
      <c r="L279" s="18" t="s">
        <v>3009</v>
      </c>
      <c r="M279" s="18" t="s">
        <v>3010</v>
      </c>
      <c r="N279" s="18"/>
      <c r="O279" s="18"/>
      <c r="P279" s="18" t="e">
        <f t="shared" si="9"/>
        <v>#REF!</v>
      </c>
      <c r="Q279" s="19" t="e">
        <f>IF(R279=0,VLOOKUP(G279,#REF!, 3),R279)</f>
        <v>#REF!</v>
      </c>
      <c r="R279" s="13" t="e">
        <f>VLOOKUP(G279,#REF!, 5)</f>
        <v>#REF!</v>
      </c>
      <c r="S279" s="18" t="s">
        <v>18</v>
      </c>
      <c r="T279" s="43" t="s">
        <v>3011</v>
      </c>
      <c r="U279" s="4" t="s">
        <v>2321</v>
      </c>
      <c r="AA279"/>
    </row>
    <row r="280" spans="1:27" ht="178.15" customHeight="1" x14ac:dyDescent="0.2">
      <c r="A280" s="12" t="s">
        <v>1526</v>
      </c>
      <c r="B280" s="12" t="s">
        <v>1527</v>
      </c>
      <c r="C280" s="37" t="s">
        <v>1528</v>
      </c>
      <c r="D280" s="12" t="s">
        <v>1529</v>
      </c>
      <c r="E280" s="8" t="s">
        <v>1530</v>
      </c>
      <c r="F280" s="8" t="s">
        <v>1531</v>
      </c>
      <c r="G280" s="8" t="str">
        <f t="shared" si="8"/>
        <v>S1-00405</v>
      </c>
      <c r="H280" s="52" t="e">
        <f>VLOOKUP(G280,#REF!, 2)</f>
        <v>#REF!</v>
      </c>
      <c r="I280" s="52" t="e">
        <f>VLOOKUP(G280,#REF!, 4)</f>
        <v>#REF!</v>
      </c>
      <c r="J280" s="22" t="s">
        <v>878</v>
      </c>
      <c r="K280" s="22" t="s">
        <v>2345</v>
      </c>
      <c r="L280" s="18" t="s">
        <v>3012</v>
      </c>
      <c r="M280" s="18"/>
      <c r="N280" s="18"/>
      <c r="O280" s="18"/>
      <c r="P280" s="18" t="e">
        <f t="shared" si="9"/>
        <v>#REF!</v>
      </c>
      <c r="Q280" s="19" t="e">
        <f>IF(R280=0,VLOOKUP(G280,#REF!, 3),R280)</f>
        <v>#REF!</v>
      </c>
      <c r="R280" s="13" t="e">
        <f>VLOOKUP(G280,#REF!, 5)</f>
        <v>#REF!</v>
      </c>
      <c r="S280" s="18" t="s">
        <v>18</v>
      </c>
      <c r="T280" s="43"/>
      <c r="AA280"/>
    </row>
    <row r="281" spans="1:27" ht="77.45" x14ac:dyDescent="0.2">
      <c r="A281" s="12" t="s">
        <v>1532</v>
      </c>
      <c r="B281" s="12" t="s">
        <v>1533</v>
      </c>
      <c r="C281" s="37" t="s">
        <v>1534</v>
      </c>
      <c r="D281" s="12" t="s">
        <v>1535</v>
      </c>
      <c r="E281" s="8" t="s">
        <v>1530</v>
      </c>
      <c r="F281" s="8" t="s">
        <v>427</v>
      </c>
      <c r="G281" s="8" t="str">
        <f t="shared" si="8"/>
        <v>S1-00406</v>
      </c>
      <c r="H281" s="52" t="e">
        <f>VLOOKUP(G281,#REF!, 2)</f>
        <v>#REF!</v>
      </c>
      <c r="I281" s="52" t="e">
        <f>VLOOKUP(G281,#REF!, 4)</f>
        <v>#REF!</v>
      </c>
      <c r="J281" s="22" t="s">
        <v>878</v>
      </c>
      <c r="K281" s="22" t="s">
        <v>2345</v>
      </c>
      <c r="L281" s="18" t="s">
        <v>3013</v>
      </c>
      <c r="M281" s="18"/>
      <c r="N281" s="18"/>
      <c r="O281" s="18"/>
      <c r="P281" s="18" t="e">
        <f t="shared" si="9"/>
        <v>#REF!</v>
      </c>
      <c r="Q281" s="19" t="e">
        <f>IF(R281=0,VLOOKUP(G281,#REF!, 3),R281)</f>
        <v>#REF!</v>
      </c>
      <c r="R281" s="13" t="e">
        <f>VLOOKUP(G281,#REF!, 5)</f>
        <v>#REF!</v>
      </c>
      <c r="S281" s="18" t="s">
        <v>18</v>
      </c>
      <c r="T281" s="43"/>
      <c r="AA281"/>
    </row>
    <row r="282" spans="1:27" ht="228.25" customHeight="1" x14ac:dyDescent="0.2">
      <c r="A282" s="12" t="s">
        <v>1536</v>
      </c>
      <c r="B282" s="12" t="s">
        <v>1537</v>
      </c>
      <c r="C282" s="37" t="s">
        <v>1538</v>
      </c>
      <c r="D282" s="12" t="s">
        <v>1539</v>
      </c>
      <c r="E282" s="8" t="s">
        <v>1530</v>
      </c>
      <c r="F282" s="8" t="s">
        <v>192</v>
      </c>
      <c r="G282" s="8" t="str">
        <f t="shared" si="8"/>
        <v>S1-00407</v>
      </c>
      <c r="H282" s="52" t="e">
        <f>VLOOKUP(G282,#REF!, 2)</f>
        <v>#REF!</v>
      </c>
      <c r="I282" s="52" t="e">
        <f>VLOOKUP(G282,#REF!, 4)</f>
        <v>#REF!</v>
      </c>
      <c r="J282" s="22" t="s">
        <v>878</v>
      </c>
      <c r="K282" s="22" t="s">
        <v>3014</v>
      </c>
      <c r="L282" s="18" t="s">
        <v>3015</v>
      </c>
      <c r="M282" s="18"/>
      <c r="N282" s="18"/>
      <c r="O282" s="18"/>
      <c r="P282" s="18" t="e">
        <f t="shared" si="9"/>
        <v>#REF!</v>
      </c>
      <c r="Q282" s="19" t="e">
        <f>IF(R282=0,VLOOKUP(G282,#REF!, 3),R282)</f>
        <v>#REF!</v>
      </c>
      <c r="R282" s="13" t="e">
        <f>VLOOKUP(G282,#REF!, 5)</f>
        <v>#REF!</v>
      </c>
      <c r="S282" s="18" t="s">
        <v>18</v>
      </c>
      <c r="T282" s="43"/>
      <c r="AA282"/>
    </row>
    <row r="283" spans="1:27" ht="51.65" x14ac:dyDescent="0.2">
      <c r="A283" s="12" t="s">
        <v>1540</v>
      </c>
      <c r="B283" s="12" t="s">
        <v>1541</v>
      </c>
      <c r="C283" s="37" t="s">
        <v>1542</v>
      </c>
      <c r="D283" s="12" t="s">
        <v>3016</v>
      </c>
      <c r="E283" s="8" t="s">
        <v>1530</v>
      </c>
      <c r="F283" s="8" t="s">
        <v>1544</v>
      </c>
      <c r="G283" s="8" t="str">
        <f t="shared" si="8"/>
        <v>S1-00408</v>
      </c>
      <c r="H283" s="52" t="e">
        <f>VLOOKUP(G283,#REF!, 2)</f>
        <v>#REF!</v>
      </c>
      <c r="I283" s="52" t="e">
        <f>VLOOKUP(G283,#REF!, 4)</f>
        <v>#REF!</v>
      </c>
      <c r="J283" s="22" t="s">
        <v>878</v>
      </c>
      <c r="K283" s="22" t="s">
        <v>3014</v>
      </c>
      <c r="L283" s="18" t="s">
        <v>3017</v>
      </c>
      <c r="M283" s="18"/>
      <c r="N283" s="18"/>
      <c r="O283" s="18"/>
      <c r="P283" s="18" t="e">
        <f t="shared" si="9"/>
        <v>#REF!</v>
      </c>
      <c r="Q283" s="19" t="e">
        <f>IF(R283=0,VLOOKUP(G283,#REF!, 3),R283)</f>
        <v>#REF!</v>
      </c>
      <c r="R283" s="13" t="e">
        <f>VLOOKUP(G283,#REF!, 5)</f>
        <v>#REF!</v>
      </c>
      <c r="S283" s="18" t="s">
        <v>18</v>
      </c>
      <c r="T283" s="43"/>
      <c r="AA283"/>
    </row>
    <row r="284" spans="1:27" ht="90.35" x14ac:dyDescent="0.2">
      <c r="A284" s="12" t="s">
        <v>1545</v>
      </c>
      <c r="B284" s="12" t="s">
        <v>1546</v>
      </c>
      <c r="C284" s="37" t="s">
        <v>1547</v>
      </c>
      <c r="D284" s="12" t="s">
        <v>1548</v>
      </c>
      <c r="E284" s="8" t="s">
        <v>1530</v>
      </c>
      <c r="F284" s="8" t="s">
        <v>207</v>
      </c>
      <c r="G284" s="8" t="str">
        <f t="shared" si="8"/>
        <v>S1-00409</v>
      </c>
      <c r="H284" s="52" t="e">
        <f>VLOOKUP(G284,#REF!, 2)</f>
        <v>#REF!</v>
      </c>
      <c r="I284" s="52" t="e">
        <f>VLOOKUP(G284,#REF!, 4)</f>
        <v>#REF!</v>
      </c>
      <c r="J284" s="22" t="s">
        <v>878</v>
      </c>
      <c r="K284" s="22" t="s">
        <v>3018</v>
      </c>
      <c r="L284" s="18" t="s">
        <v>3019</v>
      </c>
      <c r="M284" s="18"/>
      <c r="N284" s="18"/>
      <c r="O284" s="18"/>
      <c r="P284" s="18" t="e">
        <f t="shared" si="9"/>
        <v>#REF!</v>
      </c>
      <c r="Q284" s="19" t="e">
        <f>IF(R284=0,VLOOKUP(G284,#REF!, 3),R284)</f>
        <v>#REF!</v>
      </c>
      <c r="R284" s="13" t="e">
        <f>VLOOKUP(G284,#REF!, 5)</f>
        <v>#REF!</v>
      </c>
      <c r="S284" s="18" t="s">
        <v>18</v>
      </c>
      <c r="T284" s="43"/>
      <c r="AA284"/>
    </row>
    <row r="285" spans="1:27" ht="38.75" x14ac:dyDescent="0.2">
      <c r="A285" s="12" t="s">
        <v>1549</v>
      </c>
      <c r="B285" s="12" t="s">
        <v>1550</v>
      </c>
      <c r="C285" s="37" t="s">
        <v>1551</v>
      </c>
      <c r="D285" s="12" t="s">
        <v>1552</v>
      </c>
      <c r="E285" s="8" t="s">
        <v>1530</v>
      </c>
      <c r="F285" s="8" t="s">
        <v>1553</v>
      </c>
      <c r="G285" s="8" t="str">
        <f t="shared" si="8"/>
        <v>S1-00410</v>
      </c>
      <c r="H285" s="52" t="e">
        <f>VLOOKUP(G285,#REF!, 2)</f>
        <v>#REF!</v>
      </c>
      <c r="I285" s="52" t="e">
        <f>VLOOKUP(G285,#REF!, 4)</f>
        <v>#REF!</v>
      </c>
      <c r="J285" s="22" t="s">
        <v>1554</v>
      </c>
      <c r="K285" s="22" t="s">
        <v>2345</v>
      </c>
      <c r="L285" s="18" t="s">
        <v>3020</v>
      </c>
      <c r="M285" s="18"/>
      <c r="N285" s="18"/>
      <c r="O285" s="18"/>
      <c r="P285" s="18" t="e">
        <f t="shared" si="9"/>
        <v>#REF!</v>
      </c>
      <c r="Q285" s="19" t="e">
        <f>IF(R285=0,VLOOKUP(G285,#REF!, 3),R285)</f>
        <v>#REF!</v>
      </c>
      <c r="R285" s="13" t="e">
        <f>VLOOKUP(G285,#REF!, 5)</f>
        <v>#REF!</v>
      </c>
      <c r="S285" s="18" t="s">
        <v>18</v>
      </c>
      <c r="T285" s="43"/>
      <c r="AA285"/>
    </row>
    <row r="286" spans="1:27" ht="103.25" x14ac:dyDescent="0.2">
      <c r="A286" s="12" t="s">
        <v>1555</v>
      </c>
      <c r="B286" s="12" t="s">
        <v>1556</v>
      </c>
      <c r="C286" s="37" t="s">
        <v>1557</v>
      </c>
      <c r="D286" s="12" t="s">
        <v>1558</v>
      </c>
      <c r="E286" s="8" t="s">
        <v>1530</v>
      </c>
      <c r="F286" s="8" t="s">
        <v>1559</v>
      </c>
      <c r="G286" s="8" t="str">
        <f t="shared" si="8"/>
        <v>S1-00411</v>
      </c>
      <c r="H286" s="52" t="e">
        <f>VLOOKUP(G286,#REF!, 2)</f>
        <v>#REF!</v>
      </c>
      <c r="I286" s="52" t="e">
        <f>VLOOKUP(G286,#REF!, 4)</f>
        <v>#REF!</v>
      </c>
      <c r="J286" s="22" t="s">
        <v>1560</v>
      </c>
      <c r="K286" s="22" t="s">
        <v>2728</v>
      </c>
      <c r="L286" s="18" t="s">
        <v>3021</v>
      </c>
      <c r="M286" s="18"/>
      <c r="N286" s="18" t="s">
        <v>3022</v>
      </c>
      <c r="O286" s="18" t="s">
        <v>2297</v>
      </c>
      <c r="P286" s="18" t="e">
        <f t="shared" si="9"/>
        <v>#REF!</v>
      </c>
      <c r="Q286" s="19" t="e">
        <f>IF(R286=0,VLOOKUP(G286,#REF!, 3),R286)</f>
        <v>#REF!</v>
      </c>
      <c r="R286" s="13" t="e">
        <f>VLOOKUP(G286,#REF!, 5)</f>
        <v>#REF!</v>
      </c>
      <c r="S286" s="18" t="s">
        <v>18</v>
      </c>
      <c r="T286" s="43"/>
      <c r="AA286"/>
    </row>
    <row r="287" spans="1:27" ht="149.44999999999999" customHeight="1" x14ac:dyDescent="0.2">
      <c r="A287" s="12" t="s">
        <v>1561</v>
      </c>
      <c r="B287" s="12" t="s">
        <v>1562</v>
      </c>
      <c r="C287" s="37" t="s">
        <v>1563</v>
      </c>
      <c r="D287" s="12" t="s">
        <v>1564</v>
      </c>
      <c r="E287" s="8" t="s">
        <v>1530</v>
      </c>
      <c r="F287" s="8" t="s">
        <v>1565</v>
      </c>
      <c r="G287" s="8" t="str">
        <f t="shared" si="8"/>
        <v>S1-00412</v>
      </c>
      <c r="H287" s="52" t="e">
        <f>VLOOKUP(G287,#REF!, 2)</f>
        <v>#REF!</v>
      </c>
      <c r="I287" s="52" t="e">
        <f>VLOOKUP(G287,#REF!, 4)</f>
        <v>#REF!</v>
      </c>
      <c r="J287" s="22" t="s">
        <v>1566</v>
      </c>
      <c r="K287" s="22" t="s">
        <v>2345</v>
      </c>
      <c r="L287" s="18" t="s">
        <v>3023</v>
      </c>
      <c r="M287" s="18"/>
      <c r="N287" s="18"/>
      <c r="O287" s="18"/>
      <c r="P287" s="18" t="e">
        <f t="shared" si="9"/>
        <v>#REF!</v>
      </c>
      <c r="Q287" s="19" t="e">
        <f>IF(R287=0,VLOOKUP(G287,#REF!, 3),R287)</f>
        <v>#REF!</v>
      </c>
      <c r="R287" s="13" t="e">
        <f>VLOOKUP(G287,#REF!, 5)</f>
        <v>#REF!</v>
      </c>
      <c r="S287" s="18" t="s">
        <v>18</v>
      </c>
      <c r="T287" s="43"/>
      <c r="V287" s="12" t="s">
        <v>2845</v>
      </c>
      <c r="AA287"/>
    </row>
    <row r="288" spans="1:27" ht="51.65" x14ac:dyDescent="0.2">
      <c r="A288" s="12" t="s">
        <v>1561</v>
      </c>
      <c r="B288" s="12" t="s">
        <v>1567</v>
      </c>
      <c r="C288" s="37" t="s">
        <v>1568</v>
      </c>
      <c r="D288" s="12" t="s">
        <v>1569</v>
      </c>
      <c r="E288" s="8" t="s">
        <v>1530</v>
      </c>
      <c r="F288" s="8" t="s">
        <v>1565</v>
      </c>
      <c r="G288" s="8" t="str">
        <f t="shared" si="8"/>
        <v>S1-00413</v>
      </c>
      <c r="H288" s="52" t="e">
        <f>VLOOKUP(G288,#REF!, 2)</f>
        <v>#REF!</v>
      </c>
      <c r="I288" s="52" t="e">
        <f>VLOOKUP(G288,#REF!, 4)</f>
        <v>#REF!</v>
      </c>
      <c r="J288" s="22" t="s">
        <v>1570</v>
      </c>
      <c r="K288" s="22" t="s">
        <v>2345</v>
      </c>
      <c r="L288" s="18" t="s">
        <v>3024</v>
      </c>
      <c r="M288" s="18"/>
      <c r="N288" s="18"/>
      <c r="O288" s="18"/>
      <c r="P288" s="18" t="e">
        <f t="shared" si="9"/>
        <v>#REF!</v>
      </c>
      <c r="Q288" s="19" t="e">
        <f>IF(R288=0,VLOOKUP(G288,#REF!, 3),R288)</f>
        <v>#REF!</v>
      </c>
      <c r="R288" s="13" t="e">
        <f>VLOOKUP(G288,#REF!, 5)</f>
        <v>#REF!</v>
      </c>
      <c r="S288" s="18" t="s">
        <v>18</v>
      </c>
      <c r="T288" s="43"/>
      <c r="AA288"/>
    </row>
    <row r="289" spans="1:27" ht="116.15" x14ac:dyDescent="0.2">
      <c r="A289" s="12" t="s">
        <v>1571</v>
      </c>
      <c r="B289" s="12" t="s">
        <v>1572</v>
      </c>
      <c r="C289" s="37" t="s">
        <v>1573</v>
      </c>
      <c r="D289" s="12" t="s">
        <v>1574</v>
      </c>
      <c r="E289" s="8" t="s">
        <v>1530</v>
      </c>
      <c r="F289" s="8" t="s">
        <v>1575</v>
      </c>
      <c r="G289" s="8" t="str">
        <f t="shared" si="8"/>
        <v>S1-00414</v>
      </c>
      <c r="H289" s="52" t="e">
        <f>VLOOKUP(G289,#REF!, 2)</f>
        <v>#REF!</v>
      </c>
      <c r="I289" s="52" t="e">
        <f>VLOOKUP(G289,#REF!, 4)</f>
        <v>#REF!</v>
      </c>
      <c r="J289" s="22" t="s">
        <v>1576</v>
      </c>
      <c r="K289" s="22" t="s">
        <v>2345</v>
      </c>
      <c r="L289" s="18" t="s">
        <v>3025</v>
      </c>
      <c r="M289" s="18"/>
      <c r="N289" s="18"/>
      <c r="O289" s="18"/>
      <c r="P289" s="18" t="e">
        <f t="shared" si="9"/>
        <v>#REF!</v>
      </c>
      <c r="Q289" s="19" t="e">
        <f>IF(R289=0,VLOOKUP(G289,#REF!, 3),R289)</f>
        <v>#REF!</v>
      </c>
      <c r="R289" s="13" t="e">
        <f>VLOOKUP(G289,#REF!, 5)</f>
        <v>#REF!</v>
      </c>
      <c r="S289" s="18" t="s">
        <v>18</v>
      </c>
      <c r="T289" s="43"/>
      <c r="V289" s="12" t="s">
        <v>2845</v>
      </c>
      <c r="AA289"/>
    </row>
    <row r="290" spans="1:27" ht="90" customHeight="1" x14ac:dyDescent="0.2">
      <c r="A290" s="12" t="s">
        <v>1577</v>
      </c>
      <c r="B290" s="12" t="s">
        <v>1578</v>
      </c>
      <c r="C290" s="37" t="s">
        <v>1579</v>
      </c>
      <c r="D290" s="12" t="s">
        <v>1580</v>
      </c>
      <c r="E290" s="8" t="s">
        <v>1530</v>
      </c>
      <c r="F290" s="8" t="s">
        <v>1581</v>
      </c>
      <c r="G290" s="8" t="str">
        <f t="shared" si="8"/>
        <v>S1-00415</v>
      </c>
      <c r="H290" s="52" t="e">
        <f>VLOOKUP(G290,#REF!, 2)</f>
        <v>#REF!</v>
      </c>
      <c r="I290" s="52" t="e">
        <f>VLOOKUP(G290,#REF!, 4)</f>
        <v>#REF!</v>
      </c>
      <c r="J290" s="22" t="s">
        <v>1582</v>
      </c>
      <c r="K290" s="22" t="s">
        <v>2345</v>
      </c>
      <c r="L290" s="18" t="s">
        <v>3026</v>
      </c>
      <c r="M290" s="18"/>
      <c r="N290" s="18"/>
      <c r="O290" s="18"/>
      <c r="P290" s="18" t="e">
        <f t="shared" si="9"/>
        <v>#REF!</v>
      </c>
      <c r="Q290" s="19" t="e">
        <f>IF(R290=0,VLOOKUP(G290,#REF!, 3),R290)</f>
        <v>#REF!</v>
      </c>
      <c r="R290" s="13" t="e">
        <f>VLOOKUP(G290,#REF!, 5)</f>
        <v>#REF!</v>
      </c>
      <c r="S290" s="18" t="s">
        <v>18</v>
      </c>
      <c r="T290" s="43"/>
      <c r="AA290"/>
    </row>
    <row r="291" spans="1:27" ht="38.75" x14ac:dyDescent="0.2">
      <c r="A291" s="12" t="s">
        <v>1583</v>
      </c>
      <c r="B291" s="12" t="s">
        <v>1584</v>
      </c>
      <c r="C291" s="37" t="s">
        <v>1585</v>
      </c>
      <c r="D291" s="12" t="s">
        <v>1586</v>
      </c>
      <c r="E291" s="8" t="s">
        <v>1530</v>
      </c>
      <c r="F291" s="8" t="s">
        <v>327</v>
      </c>
      <c r="G291" s="8" t="str">
        <f t="shared" si="8"/>
        <v>S1-00416</v>
      </c>
      <c r="H291" s="52" t="e">
        <f>VLOOKUP(G291,#REF!, 2)</f>
        <v>#REF!</v>
      </c>
      <c r="I291" s="52" t="e">
        <f>VLOOKUP(G291,#REF!, 4)</f>
        <v>#REF!</v>
      </c>
      <c r="J291" s="22" t="s">
        <v>878</v>
      </c>
      <c r="K291" s="22" t="s">
        <v>2345</v>
      </c>
      <c r="L291" s="18" t="s">
        <v>3027</v>
      </c>
      <c r="M291" s="18"/>
      <c r="N291" s="18"/>
      <c r="O291" s="18"/>
      <c r="P291" s="18" t="e">
        <f t="shared" si="9"/>
        <v>#REF!</v>
      </c>
      <c r="Q291" s="19" t="e">
        <f>IF(R291=0,VLOOKUP(G291,#REF!, 3),R291)</f>
        <v>#REF!</v>
      </c>
      <c r="R291" s="13" t="e">
        <f>VLOOKUP(G291,#REF!, 5)</f>
        <v>#REF!</v>
      </c>
      <c r="S291" s="18" t="s">
        <v>18</v>
      </c>
      <c r="T291" s="43"/>
      <c r="AA291"/>
    </row>
    <row r="292" spans="1:27" ht="111.25" customHeight="1" x14ac:dyDescent="0.2">
      <c r="A292" s="12" t="s">
        <v>1587</v>
      </c>
      <c r="B292" s="12" t="s">
        <v>1588</v>
      </c>
      <c r="C292" s="37" t="s">
        <v>1589</v>
      </c>
      <c r="D292" s="12" t="s">
        <v>1590</v>
      </c>
      <c r="E292" s="8" t="s">
        <v>1530</v>
      </c>
      <c r="F292" s="8" t="s">
        <v>1591</v>
      </c>
      <c r="G292" s="8" t="str">
        <f t="shared" si="8"/>
        <v>S1-00417</v>
      </c>
      <c r="H292" s="52" t="e">
        <f>VLOOKUP(G292,#REF!, 2)</f>
        <v>#REF!</v>
      </c>
      <c r="I292" s="52" t="e">
        <f>VLOOKUP(G292,#REF!, 4)</f>
        <v>#REF!</v>
      </c>
      <c r="J292" s="22" t="s">
        <v>878</v>
      </c>
      <c r="K292" s="18" t="s">
        <v>3014</v>
      </c>
      <c r="L292" s="18" t="s">
        <v>3028</v>
      </c>
      <c r="M292" s="18"/>
      <c r="N292" s="18"/>
      <c r="O292" s="18"/>
      <c r="P292" s="18" t="e">
        <f t="shared" si="9"/>
        <v>#REF!</v>
      </c>
      <c r="Q292" s="19" t="e">
        <f>IF(R292=0,VLOOKUP(G292,#REF!, 3),R292)</f>
        <v>#REF!</v>
      </c>
      <c r="R292" s="13" t="e">
        <f>VLOOKUP(G292,#REF!, 5)</f>
        <v>#REF!</v>
      </c>
      <c r="S292" s="18" t="s">
        <v>18</v>
      </c>
      <c r="T292" s="43"/>
      <c r="AA292"/>
    </row>
    <row r="293" spans="1:27" ht="129.1" x14ac:dyDescent="0.2">
      <c r="A293" s="12" t="s">
        <v>1592</v>
      </c>
      <c r="B293" s="12" t="s">
        <v>1593</v>
      </c>
      <c r="C293" s="37" t="s">
        <v>1594</v>
      </c>
      <c r="D293" s="12" t="s">
        <v>1595</v>
      </c>
      <c r="E293" s="8" t="s">
        <v>1530</v>
      </c>
      <c r="F293" s="8" t="s">
        <v>1596</v>
      </c>
      <c r="G293" s="8" t="str">
        <f t="shared" si="8"/>
        <v>S1-00418</v>
      </c>
      <c r="H293" s="52" t="e">
        <f>VLOOKUP(G293,#REF!, 2)</f>
        <v>#REF!</v>
      </c>
      <c r="I293" s="52" t="e">
        <f>VLOOKUP(G293,#REF!, 4)</f>
        <v>#REF!</v>
      </c>
      <c r="J293" s="22" t="s">
        <v>878</v>
      </c>
      <c r="K293" s="22" t="s">
        <v>2345</v>
      </c>
      <c r="L293" s="18" t="s">
        <v>3029</v>
      </c>
      <c r="M293" s="18"/>
      <c r="N293" s="18"/>
      <c r="O293" s="18"/>
      <c r="P293" s="18" t="e">
        <f t="shared" si="9"/>
        <v>#REF!</v>
      </c>
      <c r="Q293" s="19" t="e">
        <f>IF(R293=0,VLOOKUP(G293,#REF!, 3),R293)</f>
        <v>#REF!</v>
      </c>
      <c r="R293" s="13" t="e">
        <f>VLOOKUP(G293,#REF!, 5)</f>
        <v>#REF!</v>
      </c>
      <c r="S293" s="18" t="s">
        <v>18</v>
      </c>
      <c r="T293" s="43"/>
      <c r="V293" s="12" t="s">
        <v>2845</v>
      </c>
      <c r="AA293"/>
    </row>
    <row r="294" spans="1:27" ht="113.95" customHeight="1" x14ac:dyDescent="0.2">
      <c r="A294" s="12" t="s">
        <v>1597</v>
      </c>
      <c r="B294" s="12" t="s">
        <v>1598</v>
      </c>
      <c r="C294" s="37" t="s">
        <v>1599</v>
      </c>
      <c r="D294" s="12" t="s">
        <v>1600</v>
      </c>
      <c r="E294" s="8" t="s">
        <v>1530</v>
      </c>
      <c r="F294" s="8" t="s">
        <v>1601</v>
      </c>
      <c r="G294" s="8" t="str">
        <f t="shared" si="8"/>
        <v>S1-00419</v>
      </c>
      <c r="H294" s="52" t="e">
        <f>VLOOKUP(G294,#REF!, 2)</f>
        <v>#REF!</v>
      </c>
      <c r="I294" s="52" t="e">
        <f>VLOOKUP(G294,#REF!, 4)</f>
        <v>#REF!</v>
      </c>
      <c r="J294" s="22" t="s">
        <v>878</v>
      </c>
      <c r="K294" s="22" t="s">
        <v>2345</v>
      </c>
      <c r="L294" s="18" t="s">
        <v>3030</v>
      </c>
      <c r="M294" s="18"/>
      <c r="N294" s="18"/>
      <c r="O294" s="18"/>
      <c r="P294" s="18" t="e">
        <f t="shared" si="9"/>
        <v>#REF!</v>
      </c>
      <c r="Q294" s="19" t="e">
        <f>IF(R294=0,VLOOKUP(G294,#REF!, 3),R294)</f>
        <v>#REF!</v>
      </c>
      <c r="R294" s="13" t="e">
        <f>VLOOKUP(G294,#REF!, 5)</f>
        <v>#REF!</v>
      </c>
      <c r="S294" s="18" t="s">
        <v>18</v>
      </c>
      <c r="T294" s="43"/>
      <c r="V294" s="12" t="s">
        <v>2845</v>
      </c>
      <c r="AA294"/>
    </row>
    <row r="295" spans="1:27" ht="51.65" x14ac:dyDescent="0.2">
      <c r="A295" s="12" t="s">
        <v>1602</v>
      </c>
      <c r="B295" s="12" t="s">
        <v>1603</v>
      </c>
      <c r="C295" s="37" t="s">
        <v>1604</v>
      </c>
      <c r="D295" s="12" t="s">
        <v>1605</v>
      </c>
      <c r="E295" s="8" t="s">
        <v>1530</v>
      </c>
      <c r="F295" s="8" t="s">
        <v>478</v>
      </c>
      <c r="G295" s="8" t="str">
        <f t="shared" si="8"/>
        <v>S1-00420</v>
      </c>
      <c r="H295" s="52" t="e">
        <f>VLOOKUP(G295,#REF!, 2)</f>
        <v>#REF!</v>
      </c>
      <c r="I295" s="52" t="e">
        <f>VLOOKUP(G295,#REF!, 4)</f>
        <v>#REF!</v>
      </c>
      <c r="J295" s="22" t="s">
        <v>878</v>
      </c>
      <c r="K295" s="22" t="s">
        <v>3031</v>
      </c>
      <c r="L295" s="18" t="s">
        <v>3032</v>
      </c>
      <c r="M295" s="18"/>
      <c r="N295" s="18"/>
      <c r="O295" s="18"/>
      <c r="P295" s="18" t="e">
        <f t="shared" si="9"/>
        <v>#REF!</v>
      </c>
      <c r="Q295" s="19" t="e">
        <f>IF(R295=0,VLOOKUP(G295,#REF!, 3),R295)</f>
        <v>#REF!</v>
      </c>
      <c r="R295" s="13" t="e">
        <f>VLOOKUP(G295,#REF!, 5)</f>
        <v>#REF!</v>
      </c>
      <c r="S295" s="18" t="s">
        <v>18</v>
      </c>
      <c r="T295" s="43"/>
      <c r="AA295"/>
    </row>
    <row r="296" spans="1:27" ht="84.6" customHeight="1" x14ac:dyDescent="0.2">
      <c r="A296" s="12" t="s">
        <v>1606</v>
      </c>
      <c r="B296" s="12" t="s">
        <v>1607</v>
      </c>
      <c r="C296" s="37" t="s">
        <v>1608</v>
      </c>
      <c r="D296" s="12" t="s">
        <v>1609</v>
      </c>
      <c r="E296" s="8" t="s">
        <v>1530</v>
      </c>
      <c r="F296" s="8" t="s">
        <v>1091</v>
      </c>
      <c r="G296" s="8" t="str">
        <f t="shared" si="8"/>
        <v>S1-00421</v>
      </c>
      <c r="H296" s="52" t="e">
        <f>VLOOKUP(G296,#REF!, 2)</f>
        <v>#REF!</v>
      </c>
      <c r="I296" s="52" t="e">
        <f>VLOOKUP(G296,#REF!, 4)</f>
        <v>#REF!</v>
      </c>
      <c r="J296" s="22" t="s">
        <v>878</v>
      </c>
      <c r="K296" s="22" t="s">
        <v>3033</v>
      </c>
      <c r="L296" s="18" t="s">
        <v>3034</v>
      </c>
      <c r="M296" s="18"/>
      <c r="N296" s="18"/>
      <c r="O296" s="18"/>
      <c r="P296" s="18" t="e">
        <f t="shared" si="9"/>
        <v>#REF!</v>
      </c>
      <c r="Q296" s="19" t="e">
        <f>IF(R296=0,VLOOKUP(G296,#REF!, 3),R296)</f>
        <v>#REF!</v>
      </c>
      <c r="R296" s="13" t="e">
        <f>VLOOKUP(G296,#REF!, 5)</f>
        <v>#REF!</v>
      </c>
      <c r="S296" s="18" t="s">
        <v>18</v>
      </c>
      <c r="T296" s="43"/>
      <c r="AA296"/>
    </row>
    <row r="297" spans="1:27" ht="64.55" x14ac:dyDescent="0.2">
      <c r="A297" s="12" t="s">
        <v>1610</v>
      </c>
      <c r="B297" s="12" t="s">
        <v>1611</v>
      </c>
      <c r="C297" s="37" t="s">
        <v>1612</v>
      </c>
      <c r="D297" s="12" t="s">
        <v>1613</v>
      </c>
      <c r="E297" s="8" t="s">
        <v>1530</v>
      </c>
      <c r="F297" s="8" t="s">
        <v>1614</v>
      </c>
      <c r="G297" s="8" t="str">
        <f t="shared" si="8"/>
        <v>S1-00422</v>
      </c>
      <c r="H297" s="52" t="e">
        <f>VLOOKUP(G297,#REF!, 2)</f>
        <v>#REF!</v>
      </c>
      <c r="I297" s="52" t="e">
        <f>VLOOKUP(G297,#REF!, 4)</f>
        <v>#REF!</v>
      </c>
      <c r="J297" s="22" t="s">
        <v>878</v>
      </c>
      <c r="K297" s="22" t="s">
        <v>3035</v>
      </c>
      <c r="L297" s="18" t="s">
        <v>3036</v>
      </c>
      <c r="M297" s="18"/>
      <c r="N297" s="18"/>
      <c r="O297" s="18"/>
      <c r="P297" s="18" t="e">
        <f t="shared" si="9"/>
        <v>#REF!</v>
      </c>
      <c r="Q297" s="19" t="e">
        <f>IF(R297=0,VLOOKUP(G297,#REF!, 3),R297)</f>
        <v>#REF!</v>
      </c>
      <c r="R297" s="13" t="e">
        <f>VLOOKUP(G297,#REF!, 5)</f>
        <v>#REF!</v>
      </c>
      <c r="S297" s="18" t="s">
        <v>18</v>
      </c>
      <c r="T297" s="43"/>
      <c r="AA297"/>
    </row>
    <row r="298" spans="1:27" ht="64.55" x14ac:dyDescent="0.2">
      <c r="A298" s="12" t="s">
        <v>1615</v>
      </c>
      <c r="B298" s="12" t="s">
        <v>1616</v>
      </c>
      <c r="C298" s="37" t="s">
        <v>1617</v>
      </c>
      <c r="D298" s="12" t="s">
        <v>1618</v>
      </c>
      <c r="E298" s="8" t="s">
        <v>1530</v>
      </c>
      <c r="F298" s="8" t="s">
        <v>1619</v>
      </c>
      <c r="G298" s="8" t="str">
        <f t="shared" si="8"/>
        <v>S1-00423</v>
      </c>
      <c r="H298" s="52" t="e">
        <f>VLOOKUP(G298,#REF!, 2)</f>
        <v>#REF!</v>
      </c>
      <c r="I298" s="52" t="e">
        <f>VLOOKUP(G298,#REF!, 4)</f>
        <v>#REF!</v>
      </c>
      <c r="J298" s="22" t="s">
        <v>878</v>
      </c>
      <c r="K298" s="22" t="s">
        <v>3037</v>
      </c>
      <c r="L298" s="18" t="s">
        <v>3038</v>
      </c>
      <c r="M298" s="18"/>
      <c r="N298" s="18"/>
      <c r="O298" s="18"/>
      <c r="P298" s="18" t="e">
        <f t="shared" si="9"/>
        <v>#REF!</v>
      </c>
      <c r="Q298" s="19" t="e">
        <f>IF(R298=0,VLOOKUP(G298,#REF!, 3),R298)</f>
        <v>#REF!</v>
      </c>
      <c r="R298" s="13" t="e">
        <f>VLOOKUP(G298,#REF!, 5)</f>
        <v>#REF!</v>
      </c>
      <c r="S298" s="18" t="s">
        <v>18</v>
      </c>
      <c r="T298" s="43"/>
      <c r="AA298"/>
    </row>
    <row r="299" spans="1:27" ht="64.55" x14ac:dyDescent="0.2">
      <c r="A299" s="12" t="s">
        <v>1620</v>
      </c>
      <c r="B299" s="12" t="s">
        <v>1621</v>
      </c>
      <c r="C299" s="37" t="s">
        <v>1622</v>
      </c>
      <c r="D299" s="12" t="s">
        <v>1623</v>
      </c>
      <c r="E299" s="8" t="s">
        <v>1530</v>
      </c>
      <c r="F299" s="8" t="s">
        <v>1624</v>
      </c>
      <c r="G299" s="8" t="str">
        <f t="shared" si="8"/>
        <v>S1-00424</v>
      </c>
      <c r="H299" s="52" t="e">
        <f>VLOOKUP(G299,#REF!, 2)</f>
        <v>#REF!</v>
      </c>
      <c r="I299" s="52" t="e">
        <f>VLOOKUP(G299,#REF!, 4)</f>
        <v>#REF!</v>
      </c>
      <c r="J299" s="22" t="s">
        <v>878</v>
      </c>
      <c r="K299" s="22" t="s">
        <v>3039</v>
      </c>
      <c r="L299" s="18" t="s">
        <v>3040</v>
      </c>
      <c r="M299" s="18"/>
      <c r="N299" s="18"/>
      <c r="O299" s="18"/>
      <c r="P299" s="18" t="e">
        <f t="shared" si="9"/>
        <v>#REF!</v>
      </c>
      <c r="Q299" s="19" t="e">
        <f>IF(R299=0,VLOOKUP(G299,#REF!, 3),R299)</f>
        <v>#REF!</v>
      </c>
      <c r="R299" s="13" t="e">
        <f>VLOOKUP(G299,#REF!, 5)</f>
        <v>#REF!</v>
      </c>
      <c r="S299" s="18" t="s">
        <v>18</v>
      </c>
      <c r="T299" s="43"/>
      <c r="AA299"/>
    </row>
    <row r="300" spans="1:27" ht="77.45" x14ac:dyDescent="0.2">
      <c r="A300" s="12" t="s">
        <v>1625</v>
      </c>
      <c r="B300" s="12" t="s">
        <v>1626</v>
      </c>
      <c r="C300" s="37" t="s">
        <v>1627</v>
      </c>
      <c r="D300" s="12" t="s">
        <v>1628</v>
      </c>
      <c r="E300" s="8" t="s">
        <v>1530</v>
      </c>
      <c r="F300" s="8" t="s">
        <v>1629</v>
      </c>
      <c r="G300" s="8" t="str">
        <f t="shared" si="8"/>
        <v>S1-00425</v>
      </c>
      <c r="H300" s="52" t="e">
        <f>VLOOKUP(G300,#REF!, 2)</f>
        <v>#REF!</v>
      </c>
      <c r="I300" s="52" t="e">
        <f>VLOOKUP(G300,#REF!, 4)</f>
        <v>#REF!</v>
      </c>
      <c r="J300" s="22" t="s">
        <v>878</v>
      </c>
      <c r="K300" s="22" t="s">
        <v>3041</v>
      </c>
      <c r="L300" s="18" t="s">
        <v>3042</v>
      </c>
      <c r="M300" s="18"/>
      <c r="N300" s="18"/>
      <c r="O300" s="18"/>
      <c r="P300" s="18" t="e">
        <f t="shared" si="9"/>
        <v>#REF!</v>
      </c>
      <c r="Q300" s="19" t="e">
        <f>IF(R300=0,VLOOKUP(G300,#REF!, 3),R300)</f>
        <v>#REF!</v>
      </c>
      <c r="R300" s="13" t="e">
        <f>VLOOKUP(G300,#REF!, 5)</f>
        <v>#REF!</v>
      </c>
      <c r="S300" s="18" t="s">
        <v>18</v>
      </c>
      <c r="T300" s="43"/>
      <c r="AA300"/>
    </row>
    <row r="301" spans="1:27" ht="301.10000000000002" customHeight="1" x14ac:dyDescent="0.2">
      <c r="A301" s="12" t="s">
        <v>1630</v>
      </c>
      <c r="B301" s="12" t="s">
        <v>1631</v>
      </c>
      <c r="C301" s="37" t="s">
        <v>1632</v>
      </c>
      <c r="D301" s="12" t="s">
        <v>1633</v>
      </c>
      <c r="E301" s="8" t="s">
        <v>1634</v>
      </c>
      <c r="F301" s="8" t="s">
        <v>427</v>
      </c>
      <c r="G301" s="8" t="str">
        <f t="shared" si="8"/>
        <v>S1-00427</v>
      </c>
      <c r="H301" s="52" t="e">
        <f>VLOOKUP(G301,#REF!, 2)</f>
        <v>#REF!</v>
      </c>
      <c r="I301" s="52" t="e">
        <f>VLOOKUP(G301,#REF!, 4)</f>
        <v>#REF!</v>
      </c>
      <c r="J301" s="22" t="s">
        <v>1635</v>
      </c>
      <c r="K301" s="22" t="s">
        <v>3043</v>
      </c>
      <c r="L301" s="18" t="s">
        <v>3044</v>
      </c>
      <c r="M301" s="18" t="s">
        <v>3045</v>
      </c>
      <c r="N301" s="18" t="s">
        <v>3046</v>
      </c>
      <c r="O301" s="18"/>
      <c r="P301" s="18" t="e">
        <f t="shared" si="9"/>
        <v>#REF!</v>
      </c>
      <c r="Q301" s="19" t="e">
        <f>IF(R301=0,VLOOKUP(G301,#REF!, 3),R301)</f>
        <v>#REF!</v>
      </c>
      <c r="R301" s="13" t="e">
        <f>VLOOKUP(G301,#REF!, 5)</f>
        <v>#REF!</v>
      </c>
      <c r="S301" s="18" t="s">
        <v>18</v>
      </c>
      <c r="T301" s="43" t="s">
        <v>3047</v>
      </c>
      <c r="U301" s="4" t="s">
        <v>2299</v>
      </c>
      <c r="W301" s="4" t="s">
        <v>3048</v>
      </c>
      <c r="AA301"/>
    </row>
    <row r="302" spans="1:27" ht="64.55" x14ac:dyDescent="0.2">
      <c r="A302" s="12" t="s">
        <v>1636</v>
      </c>
      <c r="B302" s="12" t="s">
        <v>1637</v>
      </c>
      <c r="C302" s="37" t="s">
        <v>1638</v>
      </c>
      <c r="D302" s="12" t="s">
        <v>1639</v>
      </c>
      <c r="E302" s="8" t="s">
        <v>1634</v>
      </c>
      <c r="F302" s="8" t="s">
        <v>207</v>
      </c>
      <c r="G302" s="8" t="str">
        <f t="shared" si="8"/>
        <v>S1-00428</v>
      </c>
      <c r="H302" s="52" t="e">
        <f>VLOOKUP(G302,#REF!, 2)</f>
        <v>#REF!</v>
      </c>
      <c r="I302" s="52" t="e">
        <f>VLOOKUP(G302,#REF!, 4)</f>
        <v>#REF!</v>
      </c>
      <c r="J302" s="22" t="s">
        <v>1640</v>
      </c>
      <c r="K302" s="22" t="s">
        <v>2345</v>
      </c>
      <c r="L302" s="18" t="s">
        <v>3049</v>
      </c>
      <c r="M302" s="18"/>
      <c r="N302" s="18"/>
      <c r="O302" s="18"/>
      <c r="P302" s="18" t="e">
        <f t="shared" si="9"/>
        <v>#REF!</v>
      </c>
      <c r="Q302" s="19" t="e">
        <f>IF(R302=0,VLOOKUP(G302,#REF!, 3),R302)</f>
        <v>#REF!</v>
      </c>
      <c r="R302" s="13" t="e">
        <f>VLOOKUP(G302,#REF!, 5)</f>
        <v>#REF!</v>
      </c>
      <c r="S302" s="18" t="s">
        <v>18</v>
      </c>
      <c r="T302" s="43"/>
      <c r="AA302"/>
    </row>
    <row r="303" spans="1:27" ht="246.6" customHeight="1" x14ac:dyDescent="0.2">
      <c r="A303" s="12" t="s">
        <v>1641</v>
      </c>
      <c r="B303" s="12" t="s">
        <v>1642</v>
      </c>
      <c r="C303" s="37" t="s">
        <v>1643</v>
      </c>
      <c r="D303" s="12" t="s">
        <v>1644</v>
      </c>
      <c r="E303" s="8" t="s">
        <v>1634</v>
      </c>
      <c r="F303" s="8" t="s">
        <v>90</v>
      </c>
      <c r="G303" s="8" t="str">
        <f t="shared" si="8"/>
        <v>S1-00429</v>
      </c>
      <c r="H303" s="52" t="e">
        <f>VLOOKUP(G303,#REF!, 2)</f>
        <v>#REF!</v>
      </c>
      <c r="I303" s="52" t="e">
        <f>VLOOKUP(G303,#REF!, 4)</f>
        <v>#REF!</v>
      </c>
      <c r="J303" s="22" t="s">
        <v>1645</v>
      </c>
      <c r="K303" s="22" t="s">
        <v>3043</v>
      </c>
      <c r="L303" s="19" t="s">
        <v>3050</v>
      </c>
      <c r="M303" s="18" t="s">
        <v>3051</v>
      </c>
      <c r="N303" s="18" t="s">
        <v>3052</v>
      </c>
      <c r="O303" s="18"/>
      <c r="P303" s="18" t="e">
        <f t="shared" si="9"/>
        <v>#REF!</v>
      </c>
      <c r="Q303" s="19" t="e">
        <f>IF(R303=0,VLOOKUP(G303,#REF!, 3),R303)</f>
        <v>#REF!</v>
      </c>
      <c r="R303" s="13" t="e">
        <f>VLOOKUP(G303,#REF!, 5)</f>
        <v>#REF!</v>
      </c>
      <c r="S303" s="18" t="s">
        <v>18</v>
      </c>
      <c r="T303" s="43" t="s">
        <v>3053</v>
      </c>
      <c r="U303" s="4" t="s">
        <v>2299</v>
      </c>
      <c r="W303" s="4" t="s">
        <v>3048</v>
      </c>
      <c r="AA303"/>
    </row>
    <row r="304" spans="1:27" ht="108.7" customHeight="1" x14ac:dyDescent="0.2">
      <c r="A304" s="12" t="s">
        <v>1646</v>
      </c>
      <c r="B304" s="12" t="s">
        <v>1647</v>
      </c>
      <c r="C304" s="37" t="s">
        <v>1648</v>
      </c>
      <c r="D304" s="12" t="s">
        <v>1649</v>
      </c>
      <c r="E304" s="8" t="s">
        <v>1634</v>
      </c>
      <c r="F304" s="8" t="s">
        <v>1650</v>
      </c>
      <c r="G304" s="8" t="str">
        <f t="shared" si="8"/>
        <v>S1-00430</v>
      </c>
      <c r="H304" s="52" t="e">
        <f>VLOOKUP(G304,#REF!, 2)</f>
        <v>#REF!</v>
      </c>
      <c r="I304" s="52" t="e">
        <f>VLOOKUP(G304,#REF!, 4)</f>
        <v>#REF!</v>
      </c>
      <c r="J304" s="22" t="s">
        <v>1651</v>
      </c>
      <c r="K304" s="22" t="s">
        <v>3054</v>
      </c>
      <c r="L304" s="18" t="s">
        <v>3055</v>
      </c>
      <c r="M304" s="18"/>
      <c r="N304" s="18"/>
      <c r="O304" s="18"/>
      <c r="P304" s="18" t="e">
        <f t="shared" si="9"/>
        <v>#REF!</v>
      </c>
      <c r="Q304" s="19" t="e">
        <f>IF(R304=0,VLOOKUP(G304,#REF!, 3),R304)</f>
        <v>#REF!</v>
      </c>
      <c r="R304" s="13" t="e">
        <f>VLOOKUP(G304,#REF!, 5)</f>
        <v>#REF!</v>
      </c>
      <c r="S304" s="18" t="s">
        <v>18</v>
      </c>
      <c r="T304" s="43"/>
      <c r="AA304"/>
    </row>
    <row r="305" spans="1:27" ht="185.95" customHeight="1" x14ac:dyDescent="0.2">
      <c r="A305" s="12" t="s">
        <v>1646</v>
      </c>
      <c r="B305" s="12" t="s">
        <v>1652</v>
      </c>
      <c r="C305" s="37" t="s">
        <v>1653</v>
      </c>
      <c r="D305" s="12" t="s">
        <v>1654</v>
      </c>
      <c r="E305" s="8" t="s">
        <v>1634</v>
      </c>
      <c r="F305" s="8" t="s">
        <v>1650</v>
      </c>
      <c r="G305" s="8" t="str">
        <f t="shared" si="8"/>
        <v>S1-00431</v>
      </c>
      <c r="H305" s="52" t="e">
        <f>VLOOKUP(G305,#REF!, 2)</f>
        <v>#REF!</v>
      </c>
      <c r="I305" s="52" t="e">
        <f>VLOOKUP(G305,#REF!, 4)</f>
        <v>#REF!</v>
      </c>
      <c r="J305" s="22" t="s">
        <v>1655</v>
      </c>
      <c r="K305" s="22" t="s">
        <v>3056</v>
      </c>
      <c r="L305" s="18" t="s">
        <v>3057</v>
      </c>
      <c r="M305" s="18" t="s">
        <v>3058</v>
      </c>
      <c r="N305" s="18"/>
      <c r="O305" s="18"/>
      <c r="P305" s="18" t="e">
        <f t="shared" si="9"/>
        <v>#REF!</v>
      </c>
      <c r="Q305" s="19" t="e">
        <f>IF(R305=0,VLOOKUP(G305,#REF!, 3),R305)</f>
        <v>#REF!</v>
      </c>
      <c r="R305" s="13" t="e">
        <f>VLOOKUP(G305,#REF!, 5)</f>
        <v>#REF!</v>
      </c>
      <c r="S305" s="18" t="s">
        <v>18</v>
      </c>
      <c r="T305" s="43" t="s">
        <v>3059</v>
      </c>
      <c r="U305" s="4" t="s">
        <v>2321</v>
      </c>
      <c r="AA305"/>
    </row>
    <row r="306" spans="1:27" ht="194.45" customHeight="1" x14ac:dyDescent="0.2">
      <c r="A306" s="12" t="s">
        <v>1656</v>
      </c>
      <c r="B306" s="12" t="s">
        <v>1657</v>
      </c>
      <c r="C306" s="37" t="s">
        <v>1658</v>
      </c>
      <c r="D306" s="12" t="s">
        <v>1659</v>
      </c>
      <c r="E306" s="8" t="s">
        <v>1634</v>
      </c>
      <c r="F306" s="8" t="s">
        <v>103</v>
      </c>
      <c r="G306" s="8" t="str">
        <f t="shared" si="8"/>
        <v>S1-00432</v>
      </c>
      <c r="H306" s="52" t="e">
        <f>VLOOKUP(G306,#REF!, 2)</f>
        <v>#REF!</v>
      </c>
      <c r="I306" s="52" t="e">
        <f>VLOOKUP(G306,#REF!, 4)</f>
        <v>#REF!</v>
      </c>
      <c r="J306" s="22" t="s">
        <v>1660</v>
      </c>
      <c r="K306" s="22" t="s">
        <v>3043</v>
      </c>
      <c r="L306" s="19" t="s">
        <v>3060</v>
      </c>
      <c r="M306" s="18" t="s">
        <v>3061</v>
      </c>
      <c r="N306" s="18" t="s">
        <v>3062</v>
      </c>
      <c r="O306" s="18" t="s">
        <v>2297</v>
      </c>
      <c r="P306" s="18" t="e">
        <f t="shared" si="9"/>
        <v>#REF!</v>
      </c>
      <c r="Q306" s="19" t="e">
        <f>IF(R306=0,VLOOKUP(G306,#REF!, 3),R306)</f>
        <v>#REF!</v>
      </c>
      <c r="R306" s="13" t="e">
        <f>VLOOKUP(G306,#REF!, 5)</f>
        <v>#REF!</v>
      </c>
      <c r="S306" s="18" t="s">
        <v>18</v>
      </c>
      <c r="T306" s="43" t="s">
        <v>3063</v>
      </c>
      <c r="U306" s="4" t="s">
        <v>2299</v>
      </c>
      <c r="W306" s="4" t="s">
        <v>3048</v>
      </c>
      <c r="AA306"/>
    </row>
    <row r="307" spans="1:27" ht="64.55" x14ac:dyDescent="0.2">
      <c r="A307" s="12" t="s">
        <v>1661</v>
      </c>
      <c r="B307" s="12" t="s">
        <v>1662</v>
      </c>
      <c r="C307" s="37" t="s">
        <v>1663</v>
      </c>
      <c r="D307" s="12" t="s">
        <v>1664</v>
      </c>
      <c r="E307" s="8" t="s">
        <v>1665</v>
      </c>
      <c r="F307" s="8" t="s">
        <v>173</v>
      </c>
      <c r="G307" s="34" t="s">
        <v>3064</v>
      </c>
      <c r="H307" s="52" t="e">
        <f>VLOOKUP(G307,#REF!, 2)</f>
        <v>#REF!</v>
      </c>
      <c r="I307" s="52" t="e">
        <f>VLOOKUP(G307,#REF!, 4)</f>
        <v>#REF!</v>
      </c>
      <c r="J307" s="22" t="s">
        <v>1666</v>
      </c>
      <c r="K307" s="22" t="s">
        <v>2345</v>
      </c>
      <c r="L307" s="18" t="s">
        <v>3065</v>
      </c>
      <c r="M307" s="18"/>
      <c r="N307" s="18"/>
      <c r="O307" s="18"/>
      <c r="P307" s="18" t="e">
        <f t="shared" si="9"/>
        <v>#REF!</v>
      </c>
      <c r="Q307" s="19" t="e">
        <f>IF(R307=0,VLOOKUP(G307,#REF!, 3),R307)</f>
        <v>#REF!</v>
      </c>
      <c r="R307" s="13" t="e">
        <f>VLOOKUP(G307,#REF!, 5)</f>
        <v>#REF!</v>
      </c>
      <c r="S307" s="18" t="s">
        <v>18</v>
      </c>
      <c r="T307" s="43"/>
      <c r="AA307"/>
    </row>
    <row r="308" spans="1:27" ht="64.55" x14ac:dyDescent="0.2">
      <c r="A308" s="12" t="s">
        <v>1667</v>
      </c>
      <c r="B308" s="12" t="s">
        <v>1668</v>
      </c>
      <c r="C308" s="37" t="s">
        <v>1669</v>
      </c>
      <c r="D308" s="12" t="s">
        <v>1670</v>
      </c>
      <c r="E308" s="8" t="s">
        <v>1665</v>
      </c>
      <c r="F308" s="8" t="s">
        <v>648</v>
      </c>
      <c r="G308" s="34" t="s">
        <v>3064</v>
      </c>
      <c r="H308" s="52" t="e">
        <f>VLOOKUP(G308,#REF!, 2)</f>
        <v>#REF!</v>
      </c>
      <c r="I308" s="52" t="e">
        <f>VLOOKUP(G308,#REF!, 4)</f>
        <v>#REF!</v>
      </c>
      <c r="J308" s="22" t="s">
        <v>1671</v>
      </c>
      <c r="K308" s="22" t="s">
        <v>2345</v>
      </c>
      <c r="L308" s="18" t="s">
        <v>3065</v>
      </c>
      <c r="M308" s="18"/>
      <c r="N308" s="18"/>
      <c r="O308" s="18"/>
      <c r="P308" s="18" t="e">
        <f t="shared" si="9"/>
        <v>#REF!</v>
      </c>
      <c r="Q308" s="19" t="e">
        <f>IF(R308=0,VLOOKUP(G308,#REF!, 3),R308)</f>
        <v>#REF!</v>
      </c>
      <c r="R308" s="13" t="e">
        <f>VLOOKUP(G308,#REF!, 5)</f>
        <v>#REF!</v>
      </c>
      <c r="S308" s="18" t="s">
        <v>18</v>
      </c>
      <c r="T308" s="43"/>
      <c r="AA308"/>
    </row>
    <row r="309" spans="1:27" ht="64.55" x14ac:dyDescent="0.2">
      <c r="A309" s="12" t="s">
        <v>1672</v>
      </c>
      <c r="B309" s="12" t="s">
        <v>1673</v>
      </c>
      <c r="C309" s="37" t="s">
        <v>1674</v>
      </c>
      <c r="D309" s="12" t="s">
        <v>1675</v>
      </c>
      <c r="E309" s="8" t="s">
        <v>1665</v>
      </c>
      <c r="F309" s="8" t="s">
        <v>246</v>
      </c>
      <c r="G309" s="34" t="s">
        <v>3064</v>
      </c>
      <c r="H309" s="52" t="e">
        <f>VLOOKUP(G309,#REF!, 2)</f>
        <v>#REF!</v>
      </c>
      <c r="I309" s="52" t="e">
        <f>VLOOKUP(G309,#REF!, 4)</f>
        <v>#REF!</v>
      </c>
      <c r="J309" s="22" t="s">
        <v>1671</v>
      </c>
      <c r="K309" s="22" t="s">
        <v>2345</v>
      </c>
      <c r="L309" s="18" t="s">
        <v>3065</v>
      </c>
      <c r="M309" s="18"/>
      <c r="N309" s="18"/>
      <c r="O309" s="18"/>
      <c r="P309" s="18" t="e">
        <f t="shared" si="9"/>
        <v>#REF!</v>
      </c>
      <c r="Q309" s="19" t="e">
        <f>IF(R309=0,VLOOKUP(G309,#REF!, 3),R309)</f>
        <v>#REF!</v>
      </c>
      <c r="R309" s="13" t="e">
        <f>VLOOKUP(G309,#REF!, 5)</f>
        <v>#REF!</v>
      </c>
      <c r="S309" s="18" t="s">
        <v>18</v>
      </c>
      <c r="T309" s="43"/>
      <c r="AA309"/>
    </row>
    <row r="310" spans="1:27" ht="175.95" customHeight="1" x14ac:dyDescent="0.2">
      <c r="A310" s="12" t="s">
        <v>1676</v>
      </c>
      <c r="B310" s="12" t="s">
        <v>1677</v>
      </c>
      <c r="C310" s="37" t="s">
        <v>1678</v>
      </c>
      <c r="D310" s="12" t="s">
        <v>3066</v>
      </c>
      <c r="E310" s="8" t="s">
        <v>1680</v>
      </c>
      <c r="F310" s="8" t="s">
        <v>185</v>
      </c>
      <c r="G310" s="8" t="str">
        <f t="shared" si="8"/>
        <v>S1-00436</v>
      </c>
      <c r="H310" s="52" t="e">
        <f>VLOOKUP(G310,#REF!, 2)</f>
        <v>#REF!</v>
      </c>
      <c r="I310" s="52" t="e">
        <f>VLOOKUP(G310,#REF!, 4)</f>
        <v>#REF!</v>
      </c>
      <c r="J310" s="22" t="s">
        <v>1681</v>
      </c>
      <c r="K310" s="22" t="s">
        <v>3067</v>
      </c>
      <c r="L310" s="19" t="s">
        <v>3068</v>
      </c>
      <c r="M310" s="18"/>
      <c r="N310" s="18"/>
      <c r="O310" s="18"/>
      <c r="P310" s="18" t="e">
        <f t="shared" si="9"/>
        <v>#REF!</v>
      </c>
      <c r="Q310" s="19" t="e">
        <f>IF(R310=0,VLOOKUP(G310,#REF!, 3),R310)</f>
        <v>#REF!</v>
      </c>
      <c r="R310" s="13" t="e">
        <f>VLOOKUP(G310,#REF!, 5)</f>
        <v>#REF!</v>
      </c>
      <c r="S310" s="18" t="s">
        <v>18</v>
      </c>
      <c r="T310" s="43"/>
      <c r="AA310"/>
    </row>
    <row r="311" spans="1:27" ht="174.25" customHeight="1" x14ac:dyDescent="0.2">
      <c r="A311" s="12" t="s">
        <v>1682</v>
      </c>
      <c r="B311" s="12" t="s">
        <v>1683</v>
      </c>
      <c r="C311" s="37" t="s">
        <v>1684</v>
      </c>
      <c r="D311" s="12" t="s">
        <v>1685</v>
      </c>
      <c r="E311" s="8" t="s">
        <v>1680</v>
      </c>
      <c r="F311" s="8" t="s">
        <v>307</v>
      </c>
      <c r="G311" s="8" t="str">
        <f t="shared" si="8"/>
        <v>S1-00437</v>
      </c>
      <c r="H311" s="52" t="e">
        <f>VLOOKUP(G311,#REF!, 2)</f>
        <v>#REF!</v>
      </c>
      <c r="I311" s="52" t="e">
        <f>VLOOKUP(G311,#REF!, 4)</f>
        <v>#REF!</v>
      </c>
      <c r="J311" s="22" t="s">
        <v>1681</v>
      </c>
      <c r="K311" s="22" t="s">
        <v>3067</v>
      </c>
      <c r="L311" s="18" t="s">
        <v>3069</v>
      </c>
      <c r="M311" s="18"/>
      <c r="N311" s="18"/>
      <c r="O311" s="18"/>
      <c r="P311" s="18" t="e">
        <f t="shared" si="9"/>
        <v>#REF!</v>
      </c>
      <c r="Q311" s="19" t="e">
        <f>IF(R311=0,VLOOKUP(G311,#REF!, 3),R311)</f>
        <v>#REF!</v>
      </c>
      <c r="R311" s="13" t="e">
        <f>VLOOKUP(G311,#REF!, 5)</f>
        <v>#REF!</v>
      </c>
      <c r="S311" s="18" t="s">
        <v>18</v>
      </c>
      <c r="T311" s="43"/>
      <c r="AA311"/>
    </row>
    <row r="312" spans="1:27" ht="251.5" customHeight="1" x14ac:dyDescent="0.2">
      <c r="A312" s="12" t="s">
        <v>1686</v>
      </c>
      <c r="B312" s="12" t="s">
        <v>1687</v>
      </c>
      <c r="C312" s="37" t="s">
        <v>1688</v>
      </c>
      <c r="D312" s="12" t="s">
        <v>3070</v>
      </c>
      <c r="E312" s="8" t="s">
        <v>1680</v>
      </c>
      <c r="F312" s="8" t="s">
        <v>1559</v>
      </c>
      <c r="G312" s="8" t="str">
        <f t="shared" si="8"/>
        <v>S1-00438</v>
      </c>
      <c r="H312" s="52" t="e">
        <f>VLOOKUP(G312,#REF!, 2)</f>
        <v>#REF!</v>
      </c>
      <c r="I312" s="52" t="e">
        <f>VLOOKUP(G312,#REF!, 4)</f>
        <v>#REF!</v>
      </c>
      <c r="J312" s="22" t="s">
        <v>1681</v>
      </c>
      <c r="K312" s="22" t="s">
        <v>3067</v>
      </c>
      <c r="L312" s="18" t="s">
        <v>3071</v>
      </c>
      <c r="M312" s="18"/>
      <c r="N312" s="18"/>
      <c r="O312" s="18"/>
      <c r="P312" s="18" t="e">
        <f t="shared" si="9"/>
        <v>#REF!</v>
      </c>
      <c r="Q312" s="19" t="e">
        <f>IF(R312=0,VLOOKUP(G312,#REF!, 3),R312)</f>
        <v>#REF!</v>
      </c>
      <c r="R312" s="13" t="e">
        <f>VLOOKUP(G312,#REF!, 5)</f>
        <v>#REF!</v>
      </c>
      <c r="S312" s="18" t="s">
        <v>18</v>
      </c>
      <c r="T312" s="43"/>
      <c r="AA312"/>
    </row>
    <row r="313" spans="1:27" ht="381.25" customHeight="1" x14ac:dyDescent="0.2">
      <c r="A313" s="12" t="s">
        <v>1690</v>
      </c>
      <c r="B313" s="12" t="s">
        <v>1691</v>
      </c>
      <c r="C313" s="37" t="s">
        <v>1692</v>
      </c>
      <c r="D313" s="12" t="s">
        <v>1693</v>
      </c>
      <c r="E313" s="8" t="s">
        <v>1680</v>
      </c>
      <c r="F313" s="8" t="s">
        <v>1694</v>
      </c>
      <c r="G313" s="8" t="str">
        <f t="shared" si="8"/>
        <v>S1-00439</v>
      </c>
      <c r="H313" s="52" t="e">
        <f>VLOOKUP(G313,#REF!, 2)</f>
        <v>#REF!</v>
      </c>
      <c r="I313" s="52" t="e">
        <f>VLOOKUP(G313,#REF!, 4)</f>
        <v>#REF!</v>
      </c>
      <c r="J313" s="22" t="s">
        <v>1681</v>
      </c>
      <c r="K313" s="22" t="s">
        <v>3067</v>
      </c>
      <c r="L313" s="18" t="s">
        <v>3072</v>
      </c>
      <c r="M313" s="18"/>
      <c r="N313" s="18"/>
      <c r="O313" s="18"/>
      <c r="P313" s="18" t="e">
        <f t="shared" si="9"/>
        <v>#REF!</v>
      </c>
      <c r="Q313" s="19" t="e">
        <f>IF(R313=0,VLOOKUP(G313,#REF!, 3),R313)</f>
        <v>#REF!</v>
      </c>
      <c r="R313" s="13" t="e">
        <f>VLOOKUP(G313,#REF!, 5)</f>
        <v>#REF!</v>
      </c>
      <c r="S313" s="18" t="s">
        <v>18</v>
      </c>
      <c r="T313" s="43"/>
      <c r="AA313"/>
    </row>
    <row r="314" spans="1:27" ht="154.9" x14ac:dyDescent="0.2">
      <c r="A314" s="12" t="s">
        <v>1690</v>
      </c>
      <c r="B314" s="12" t="s">
        <v>1695</v>
      </c>
      <c r="C314" s="37" t="s">
        <v>1696</v>
      </c>
      <c r="D314" s="12" t="s">
        <v>1697</v>
      </c>
      <c r="E314" s="8" t="s">
        <v>1680</v>
      </c>
      <c r="F314" s="8" t="s">
        <v>1694</v>
      </c>
      <c r="G314" s="8" t="str">
        <f t="shared" si="8"/>
        <v>S1-00440</v>
      </c>
      <c r="H314" s="52" t="e">
        <f>VLOOKUP(G314,#REF!, 2)</f>
        <v>#REF!</v>
      </c>
      <c r="I314" s="52" t="e">
        <f>VLOOKUP(G314,#REF!, 4)</f>
        <v>#REF!</v>
      </c>
      <c r="J314" s="22" t="s">
        <v>1681</v>
      </c>
      <c r="K314" s="22" t="s">
        <v>3067</v>
      </c>
      <c r="L314" s="19" t="s">
        <v>3073</v>
      </c>
      <c r="M314" s="18"/>
      <c r="N314" s="18"/>
      <c r="O314" s="18"/>
      <c r="P314" s="18" t="e">
        <f t="shared" si="9"/>
        <v>#REF!</v>
      </c>
      <c r="Q314" s="19" t="e">
        <f>IF(R314=0,VLOOKUP(G314,#REF!, 3),R314)</f>
        <v>#REF!</v>
      </c>
      <c r="R314" s="13" t="e">
        <f>VLOOKUP(G314,#REF!, 5)</f>
        <v>#REF!</v>
      </c>
      <c r="S314" s="18" t="s">
        <v>18</v>
      </c>
      <c r="T314" s="43"/>
      <c r="AA314"/>
    </row>
    <row r="315" spans="1:27" ht="142" x14ac:dyDescent="0.2">
      <c r="A315" s="12" t="s">
        <v>1690</v>
      </c>
      <c r="B315" s="12" t="s">
        <v>1698</v>
      </c>
      <c r="C315" s="37" t="s">
        <v>1699</v>
      </c>
      <c r="D315" s="12" t="s">
        <v>1700</v>
      </c>
      <c r="E315" s="8" t="s">
        <v>1680</v>
      </c>
      <c r="F315" s="8" t="s">
        <v>1694</v>
      </c>
      <c r="G315" s="8" t="str">
        <f t="shared" si="8"/>
        <v>S1-00441</v>
      </c>
      <c r="H315" s="52" t="e">
        <f>VLOOKUP(G315,#REF!, 2)</f>
        <v>#REF!</v>
      </c>
      <c r="I315" s="52" t="e">
        <f>VLOOKUP(G315,#REF!, 4)</f>
        <v>#REF!</v>
      </c>
      <c r="J315" s="22" t="s">
        <v>1681</v>
      </c>
      <c r="K315" s="22" t="s">
        <v>3067</v>
      </c>
      <c r="L315" s="19" t="s">
        <v>3074</v>
      </c>
      <c r="M315" s="18"/>
      <c r="N315" s="18"/>
      <c r="O315" s="18"/>
      <c r="P315" s="18" t="e">
        <f t="shared" si="9"/>
        <v>#REF!</v>
      </c>
      <c r="Q315" s="19" t="e">
        <f>IF(R315=0,VLOOKUP(G315,#REF!, 3),R315)</f>
        <v>#REF!</v>
      </c>
      <c r="R315" s="13" t="e">
        <f>VLOOKUP(G315,#REF!, 5)</f>
        <v>#REF!</v>
      </c>
      <c r="S315" s="18" t="s">
        <v>18</v>
      </c>
      <c r="T315" s="43"/>
      <c r="AA315"/>
    </row>
    <row r="316" spans="1:27" ht="384.65" customHeight="1" x14ac:dyDescent="0.2">
      <c r="A316" s="12" t="s">
        <v>1690</v>
      </c>
      <c r="B316" s="12" t="s">
        <v>1701</v>
      </c>
      <c r="C316" s="37" t="s">
        <v>1702</v>
      </c>
      <c r="D316" s="12" t="s">
        <v>1703</v>
      </c>
      <c r="E316" s="8" t="s">
        <v>1680</v>
      </c>
      <c r="F316" s="8" t="s">
        <v>1694</v>
      </c>
      <c r="G316" s="8" t="str">
        <f t="shared" si="8"/>
        <v>S1-00442</v>
      </c>
      <c r="H316" s="52" t="e">
        <f>VLOOKUP(G316,#REF!, 2)</f>
        <v>#REF!</v>
      </c>
      <c r="I316" s="52" t="e">
        <f>VLOOKUP(G316,#REF!, 4)</f>
        <v>#REF!</v>
      </c>
      <c r="J316" s="22" t="s">
        <v>1681</v>
      </c>
      <c r="K316" s="22" t="s">
        <v>3067</v>
      </c>
      <c r="L316" s="19" t="s">
        <v>3075</v>
      </c>
      <c r="M316" s="18"/>
      <c r="N316" s="18"/>
      <c r="O316" s="18"/>
      <c r="P316" s="18" t="e">
        <f t="shared" si="9"/>
        <v>#REF!</v>
      </c>
      <c r="Q316" s="19" t="e">
        <f>IF(R316=0,VLOOKUP(G316,#REF!, 3),R316)</f>
        <v>#REF!</v>
      </c>
      <c r="R316" s="13" t="e">
        <f>VLOOKUP(G316,#REF!, 5)</f>
        <v>#REF!</v>
      </c>
      <c r="S316" s="18" t="s">
        <v>18</v>
      </c>
      <c r="T316" s="43"/>
      <c r="AA316"/>
    </row>
    <row r="317" spans="1:27" ht="77.45" x14ac:dyDescent="0.2">
      <c r="A317" s="12" t="s">
        <v>1704</v>
      </c>
      <c r="B317" s="12" t="s">
        <v>1705</v>
      </c>
      <c r="C317" s="37" t="s">
        <v>1706</v>
      </c>
      <c r="D317" s="12" t="s">
        <v>1707</v>
      </c>
      <c r="E317" s="8" t="s">
        <v>1708</v>
      </c>
      <c r="F317" s="8" t="s">
        <v>1709</v>
      </c>
      <c r="G317" s="8" t="str">
        <f t="shared" si="8"/>
        <v>S1-00445</v>
      </c>
      <c r="H317" s="52" t="e">
        <f>VLOOKUP(G317,#REF!, 2)</f>
        <v>#REF!</v>
      </c>
      <c r="I317" s="52" t="e">
        <f>VLOOKUP(G317,#REF!, 4)</f>
        <v>#REF!</v>
      </c>
      <c r="J317" s="22" t="s">
        <v>1710</v>
      </c>
      <c r="K317" s="22" t="s">
        <v>2345</v>
      </c>
      <c r="L317" s="18" t="s">
        <v>3076</v>
      </c>
      <c r="M317" s="18"/>
      <c r="N317" s="18" t="s">
        <v>3077</v>
      </c>
      <c r="O317" s="18" t="s">
        <v>2297</v>
      </c>
      <c r="P317" s="18" t="e">
        <f t="shared" si="9"/>
        <v>#REF!</v>
      </c>
      <c r="Q317" s="19" t="e">
        <f>IF(R317=0,VLOOKUP(G317,#REF!, 3),R317)</f>
        <v>#REF!</v>
      </c>
      <c r="R317" s="13" t="e">
        <f>VLOOKUP(G317,#REF!, 5)</f>
        <v>#REF!</v>
      </c>
      <c r="S317" s="18" t="s">
        <v>18</v>
      </c>
      <c r="T317" s="43"/>
      <c r="AA317"/>
    </row>
    <row r="318" spans="1:27" ht="38.75" x14ac:dyDescent="0.2">
      <c r="A318" s="12" t="s">
        <v>1704</v>
      </c>
      <c r="B318" s="12" t="s">
        <v>1711</v>
      </c>
      <c r="C318" s="37" t="s">
        <v>1712</v>
      </c>
      <c r="D318" s="12" t="s">
        <v>1713</v>
      </c>
      <c r="E318" s="8" t="s">
        <v>1708</v>
      </c>
      <c r="F318" s="8" t="s">
        <v>1709</v>
      </c>
      <c r="G318" s="8" t="str">
        <f t="shared" si="8"/>
        <v>S1-00446</v>
      </c>
      <c r="H318" s="52" t="e">
        <f>VLOOKUP(G318,#REF!, 2)</f>
        <v>#REF!</v>
      </c>
      <c r="I318" s="52" t="e">
        <f>VLOOKUP(G318,#REF!, 4)</f>
        <v>#REF!</v>
      </c>
      <c r="J318" s="22" t="s">
        <v>1714</v>
      </c>
      <c r="K318" s="22" t="s">
        <v>2345</v>
      </c>
      <c r="L318" s="18" t="s">
        <v>3078</v>
      </c>
      <c r="M318" s="18"/>
      <c r="N318" s="18"/>
      <c r="O318" s="18"/>
      <c r="P318" s="18" t="e">
        <f t="shared" si="9"/>
        <v>#REF!</v>
      </c>
      <c r="Q318" s="19" t="e">
        <f>IF(R318=0,VLOOKUP(G318,#REF!, 3),R318)</f>
        <v>#REF!</v>
      </c>
      <c r="R318" s="13" t="e">
        <f>VLOOKUP(G318,#REF!, 5)</f>
        <v>#REF!</v>
      </c>
      <c r="S318" s="18" t="s">
        <v>18</v>
      </c>
      <c r="T318" s="43"/>
      <c r="AA318"/>
    </row>
    <row r="319" spans="1:27" ht="77.45" x14ac:dyDescent="0.2">
      <c r="A319" s="12" t="s">
        <v>1704</v>
      </c>
      <c r="B319" s="12" t="s">
        <v>1715</v>
      </c>
      <c r="C319" s="37" t="s">
        <v>1716</v>
      </c>
      <c r="D319" s="12" t="s">
        <v>1717</v>
      </c>
      <c r="E319" s="8" t="s">
        <v>1708</v>
      </c>
      <c r="F319" s="8" t="s">
        <v>1709</v>
      </c>
      <c r="G319" s="8" t="str">
        <f t="shared" si="8"/>
        <v>S1-00447</v>
      </c>
      <c r="H319" s="52" t="e">
        <f>VLOOKUP(G319,#REF!, 2)</f>
        <v>#REF!</v>
      </c>
      <c r="I319" s="52" t="e">
        <f>VLOOKUP(G319,#REF!, 4)</f>
        <v>#REF!</v>
      </c>
      <c r="J319" s="22" t="s">
        <v>1718</v>
      </c>
      <c r="K319" s="22" t="s">
        <v>2345</v>
      </c>
      <c r="L319" s="18" t="s">
        <v>3079</v>
      </c>
      <c r="M319" s="18"/>
      <c r="N319" s="18"/>
      <c r="O319" s="18"/>
      <c r="P319" s="18" t="e">
        <f t="shared" si="9"/>
        <v>#REF!</v>
      </c>
      <c r="Q319" s="19" t="e">
        <f>IF(R319=0,VLOOKUP(G319,#REF!, 3),R319)</f>
        <v>#REF!</v>
      </c>
      <c r="R319" s="13" t="e">
        <f>VLOOKUP(G319,#REF!, 5)</f>
        <v>#REF!</v>
      </c>
      <c r="S319" s="18" t="s">
        <v>18</v>
      </c>
      <c r="T319" s="43"/>
      <c r="AA319"/>
    </row>
    <row r="320" spans="1:27" ht="77.45" x14ac:dyDescent="0.2">
      <c r="A320" s="12" t="s">
        <v>1719</v>
      </c>
      <c r="B320" s="12" t="s">
        <v>1720</v>
      </c>
      <c r="C320" s="37" t="s">
        <v>1721</v>
      </c>
      <c r="D320" s="12" t="s">
        <v>1722</v>
      </c>
      <c r="E320" s="8" t="s">
        <v>1708</v>
      </c>
      <c r="F320" s="8" t="s">
        <v>427</v>
      </c>
      <c r="G320" s="8" t="str">
        <f t="shared" si="8"/>
        <v>S1-00448</v>
      </c>
      <c r="H320" s="52" t="e">
        <f>VLOOKUP(G320,#REF!, 2)</f>
        <v>#REF!</v>
      </c>
      <c r="I320" s="52" t="e">
        <f>VLOOKUP(G320,#REF!, 4)</f>
        <v>#REF!</v>
      </c>
      <c r="J320" s="22" t="s">
        <v>1723</v>
      </c>
      <c r="K320" s="22" t="s">
        <v>2345</v>
      </c>
      <c r="L320" s="18" t="s">
        <v>3080</v>
      </c>
      <c r="M320" s="18"/>
      <c r="N320" s="18"/>
      <c r="O320" s="18"/>
      <c r="P320" s="18" t="e">
        <f t="shared" si="9"/>
        <v>#REF!</v>
      </c>
      <c r="Q320" s="19" t="e">
        <f>IF(R320=0,VLOOKUP(G320,#REF!, 3),R320)</f>
        <v>#REF!</v>
      </c>
      <c r="R320" s="13" t="e">
        <f>VLOOKUP(G320,#REF!, 5)</f>
        <v>#REF!</v>
      </c>
      <c r="S320" s="18" t="s">
        <v>18</v>
      </c>
      <c r="T320" s="43"/>
      <c r="AA320"/>
    </row>
    <row r="321" spans="1:27" ht="38.75" x14ac:dyDescent="0.2">
      <c r="A321" s="12" t="s">
        <v>1724</v>
      </c>
      <c r="B321" s="12" t="s">
        <v>1725</v>
      </c>
      <c r="C321" s="37" t="s">
        <v>1726</v>
      </c>
      <c r="D321" s="12" t="s">
        <v>1727</v>
      </c>
      <c r="E321" s="8" t="s">
        <v>1708</v>
      </c>
      <c r="F321" s="8" t="s">
        <v>1728</v>
      </c>
      <c r="G321" s="8" t="str">
        <f t="shared" si="8"/>
        <v>S1-00449</v>
      </c>
      <c r="H321" s="52" t="e">
        <f>VLOOKUP(G321,#REF!, 2)</f>
        <v>#REF!</v>
      </c>
      <c r="I321" s="52" t="e">
        <f>VLOOKUP(G321,#REF!, 4)</f>
        <v>#REF!</v>
      </c>
      <c r="J321" s="22" t="s">
        <v>1729</v>
      </c>
      <c r="K321" s="22" t="s">
        <v>2345</v>
      </c>
      <c r="L321" s="18" t="s">
        <v>3081</v>
      </c>
      <c r="M321" s="18"/>
      <c r="N321" s="18"/>
      <c r="O321" s="18"/>
      <c r="P321" s="18" t="e">
        <f t="shared" si="9"/>
        <v>#REF!</v>
      </c>
      <c r="Q321" s="19" t="e">
        <f>IF(R321=0,VLOOKUP(G321,#REF!, 3),R321)</f>
        <v>#REF!</v>
      </c>
      <c r="R321" s="13" t="e">
        <f>VLOOKUP(G321,#REF!, 5)</f>
        <v>#REF!</v>
      </c>
      <c r="S321" s="18" t="s">
        <v>18</v>
      </c>
      <c r="T321" s="43"/>
      <c r="AA321"/>
    </row>
    <row r="322" spans="1:27" ht="51.65" x14ac:dyDescent="0.2">
      <c r="A322" s="12" t="s">
        <v>1724</v>
      </c>
      <c r="B322" s="12" t="s">
        <v>1730</v>
      </c>
      <c r="C322" s="37" t="s">
        <v>1731</v>
      </c>
      <c r="D322" s="12" t="s">
        <v>1732</v>
      </c>
      <c r="E322" s="8" t="s">
        <v>1708</v>
      </c>
      <c r="F322" s="8" t="s">
        <v>1728</v>
      </c>
      <c r="G322" s="8" t="str">
        <f t="shared" si="8"/>
        <v>S1-00450</v>
      </c>
      <c r="H322" s="52" t="e">
        <f>VLOOKUP(G322,#REF!, 2)</f>
        <v>#REF!</v>
      </c>
      <c r="I322" s="52" t="e">
        <f>VLOOKUP(G322,#REF!, 4)</f>
        <v>#REF!</v>
      </c>
      <c r="J322" s="22" t="s">
        <v>1733</v>
      </c>
      <c r="K322" s="22" t="s">
        <v>2345</v>
      </c>
      <c r="L322" s="18" t="s">
        <v>3082</v>
      </c>
      <c r="M322" s="18"/>
      <c r="N322" s="18"/>
      <c r="O322" s="18"/>
      <c r="P322" s="18" t="e">
        <f t="shared" si="9"/>
        <v>#REF!</v>
      </c>
      <c r="Q322" s="19" t="e">
        <f>IF(R322=0,VLOOKUP(G322,#REF!, 3),R322)</f>
        <v>#REF!</v>
      </c>
      <c r="R322" s="13" t="e">
        <f>VLOOKUP(G322,#REF!, 5)</f>
        <v>#REF!</v>
      </c>
      <c r="S322" s="18" t="s">
        <v>18</v>
      </c>
      <c r="T322" s="43"/>
      <c r="AA322"/>
    </row>
    <row r="323" spans="1:27" ht="40.1" customHeight="1" x14ac:dyDescent="0.2">
      <c r="A323" s="12" t="s">
        <v>1724</v>
      </c>
      <c r="B323" s="12" t="s">
        <v>1734</v>
      </c>
      <c r="C323" s="37" t="s">
        <v>1735</v>
      </c>
      <c r="D323" s="12" t="s">
        <v>1736</v>
      </c>
      <c r="E323" s="8" t="s">
        <v>1708</v>
      </c>
      <c r="F323" s="8" t="s">
        <v>1728</v>
      </c>
      <c r="G323" s="8" t="str">
        <f t="shared" ref="G323:G386" si="10">SUBSTITUTE(B323,"BRDP-","")</f>
        <v>S1-00451</v>
      </c>
      <c r="H323" s="52" t="e">
        <f>VLOOKUP(G323,#REF!, 2)</f>
        <v>#REF!</v>
      </c>
      <c r="I323" s="52" t="e">
        <f>VLOOKUP(G323,#REF!, 4)</f>
        <v>#REF!</v>
      </c>
      <c r="J323" s="22" t="s">
        <v>1737</v>
      </c>
      <c r="K323" s="22" t="s">
        <v>2345</v>
      </c>
      <c r="L323" s="18" t="s">
        <v>3083</v>
      </c>
      <c r="M323" s="18"/>
      <c r="N323" s="18"/>
      <c r="O323" s="18"/>
      <c r="P323" s="18" t="e">
        <f t="shared" ref="P323:P386" si="11">IF(Q323=0,"",Q323)</f>
        <v>#REF!</v>
      </c>
      <c r="Q323" s="19" t="e">
        <f>IF(R323=0,VLOOKUP(G323,#REF!, 3),R323)</f>
        <v>#REF!</v>
      </c>
      <c r="R323" s="13" t="e">
        <f>VLOOKUP(G323,#REF!, 5)</f>
        <v>#REF!</v>
      </c>
      <c r="S323" s="18" t="s">
        <v>18</v>
      </c>
      <c r="T323" s="43"/>
      <c r="AA323"/>
    </row>
    <row r="324" spans="1:27" ht="77.45" x14ac:dyDescent="0.2">
      <c r="A324" s="12" t="s">
        <v>1738</v>
      </c>
      <c r="B324" s="12" t="s">
        <v>1739</v>
      </c>
      <c r="C324" s="37" t="s">
        <v>1740</v>
      </c>
      <c r="D324" s="12" t="s">
        <v>1741</v>
      </c>
      <c r="E324" s="8" t="s">
        <v>1742</v>
      </c>
      <c r="F324" s="8" t="s">
        <v>1743</v>
      </c>
      <c r="G324" s="8" t="str">
        <f t="shared" si="10"/>
        <v>S1-00452</v>
      </c>
      <c r="H324" s="52" t="e">
        <f>VLOOKUP(G324,#REF!, 2)</f>
        <v>#REF!</v>
      </c>
      <c r="I324" s="52" t="e">
        <f>VLOOKUP(G324,#REF!, 4)</f>
        <v>#REF!</v>
      </c>
      <c r="J324" s="22" t="s">
        <v>1744</v>
      </c>
      <c r="K324" s="22" t="s">
        <v>2345</v>
      </c>
      <c r="L324" s="18" t="s">
        <v>3084</v>
      </c>
      <c r="M324" s="18"/>
      <c r="N324" s="18"/>
      <c r="O324" s="18"/>
      <c r="P324" s="18" t="e">
        <f t="shared" si="11"/>
        <v>#REF!</v>
      </c>
      <c r="Q324" s="19" t="e">
        <f>IF(R324=0,VLOOKUP(G324,#REF!, 3),R324)</f>
        <v>#REF!</v>
      </c>
      <c r="R324" s="13" t="e">
        <f>VLOOKUP(G324,#REF!, 5)</f>
        <v>#REF!</v>
      </c>
      <c r="S324" s="18" t="s">
        <v>18</v>
      </c>
      <c r="T324" s="43"/>
      <c r="AA324"/>
    </row>
    <row r="325" spans="1:27" ht="296.85000000000002" x14ac:dyDescent="0.2">
      <c r="A325" s="12" t="s">
        <v>1745</v>
      </c>
      <c r="B325" s="12" t="s">
        <v>1746</v>
      </c>
      <c r="C325" s="37" t="s">
        <v>1747</v>
      </c>
      <c r="D325" s="12" t="s">
        <v>1748</v>
      </c>
      <c r="E325" s="8" t="s">
        <v>1749</v>
      </c>
      <c r="F325" s="8" t="s">
        <v>1750</v>
      </c>
      <c r="G325" s="33" t="s">
        <v>3085</v>
      </c>
      <c r="H325" s="52" t="e">
        <f>VLOOKUP(G325,#REF!, 2)</f>
        <v>#REF!</v>
      </c>
      <c r="I325" s="52" t="e">
        <f>VLOOKUP(G325,#REF!, 4)</f>
        <v>#REF!</v>
      </c>
      <c r="J325" s="22" t="s">
        <v>1751</v>
      </c>
      <c r="K325" s="22" t="s">
        <v>2345</v>
      </c>
      <c r="L325" s="18" t="s">
        <v>3086</v>
      </c>
      <c r="M325" s="18"/>
      <c r="N325" s="18"/>
      <c r="O325" s="18"/>
      <c r="P325" s="18" t="e">
        <f t="shared" si="11"/>
        <v>#REF!</v>
      </c>
      <c r="Q325" s="19" t="e">
        <f>IF(R325=0,VLOOKUP(G325,#REF!, 3),R325)</f>
        <v>#REF!</v>
      </c>
      <c r="R325" s="13" t="e">
        <f>VLOOKUP(G325,#REF!, 5)</f>
        <v>#REF!</v>
      </c>
      <c r="S325" s="18" t="s">
        <v>18</v>
      </c>
      <c r="T325" s="43"/>
      <c r="AA325"/>
    </row>
    <row r="326" spans="1:27" ht="89.5" customHeight="1" x14ac:dyDescent="0.2">
      <c r="A326" s="12" t="s">
        <v>1752</v>
      </c>
      <c r="B326" s="12" t="s">
        <v>1753</v>
      </c>
      <c r="C326" s="37" t="s">
        <v>1754</v>
      </c>
      <c r="D326" s="12" t="s">
        <v>1755</v>
      </c>
      <c r="E326" s="8" t="s">
        <v>1749</v>
      </c>
      <c r="F326" s="8" t="s">
        <v>1756</v>
      </c>
      <c r="G326" s="33" t="s">
        <v>3085</v>
      </c>
      <c r="H326" s="52" t="e">
        <f>VLOOKUP(G326,#REF!, 2)</f>
        <v>#REF!</v>
      </c>
      <c r="I326" s="52" t="e">
        <f>VLOOKUP(G326,#REF!, 4)</f>
        <v>#REF!</v>
      </c>
      <c r="J326" s="22" t="s">
        <v>1751</v>
      </c>
      <c r="K326" s="22" t="s">
        <v>2345</v>
      </c>
      <c r="L326" s="18" t="s">
        <v>3087</v>
      </c>
      <c r="M326" s="18"/>
      <c r="N326" s="18" t="s">
        <v>3088</v>
      </c>
      <c r="O326" s="18" t="s">
        <v>2297</v>
      </c>
      <c r="P326" s="18" t="e">
        <f t="shared" si="11"/>
        <v>#REF!</v>
      </c>
      <c r="Q326" s="19" t="e">
        <f>IF(R326=0,VLOOKUP(G326,#REF!, 3),R326)</f>
        <v>#REF!</v>
      </c>
      <c r="R326" s="13" t="e">
        <f>VLOOKUP(G326,#REF!, 5)</f>
        <v>#REF!</v>
      </c>
      <c r="S326" s="18" t="s">
        <v>18</v>
      </c>
      <c r="T326" s="43"/>
      <c r="AA326"/>
    </row>
    <row r="327" spans="1:27" ht="90.35" x14ac:dyDescent="0.2">
      <c r="A327" s="12" t="s">
        <v>1757</v>
      </c>
      <c r="B327" s="12" t="s">
        <v>1758</v>
      </c>
      <c r="C327" s="37" t="s">
        <v>1759</v>
      </c>
      <c r="D327" s="12" t="s">
        <v>1760</v>
      </c>
      <c r="E327" s="8" t="s">
        <v>1749</v>
      </c>
      <c r="F327" s="8" t="s">
        <v>1761</v>
      </c>
      <c r="G327" s="33" t="s">
        <v>3085</v>
      </c>
      <c r="H327" s="52" t="e">
        <f>VLOOKUP(G327,#REF!, 2)</f>
        <v>#REF!</v>
      </c>
      <c r="I327" s="52" t="e">
        <f>VLOOKUP(G327,#REF!, 4)</f>
        <v>#REF!</v>
      </c>
      <c r="J327" s="22" t="s">
        <v>1751</v>
      </c>
      <c r="K327" s="22" t="s">
        <v>2345</v>
      </c>
      <c r="L327" s="18" t="s">
        <v>3089</v>
      </c>
      <c r="M327" s="18"/>
      <c r="N327" s="18"/>
      <c r="O327" s="18"/>
      <c r="P327" s="18" t="e">
        <f t="shared" si="11"/>
        <v>#REF!</v>
      </c>
      <c r="Q327" s="19" t="e">
        <f>IF(R327=0,VLOOKUP(G327,#REF!, 3),R327)</f>
        <v>#REF!</v>
      </c>
      <c r="R327" s="13" t="e">
        <f>VLOOKUP(G327,#REF!, 5)</f>
        <v>#REF!</v>
      </c>
      <c r="S327" s="18" t="s">
        <v>18</v>
      </c>
      <c r="T327" s="43"/>
      <c r="AA327"/>
    </row>
    <row r="328" spans="1:27" ht="103.25" x14ac:dyDescent="0.2">
      <c r="A328" s="12" t="s">
        <v>1757</v>
      </c>
      <c r="B328" s="12" t="s">
        <v>1762</v>
      </c>
      <c r="C328" s="37" t="s">
        <v>1763</v>
      </c>
      <c r="D328" s="12" t="s">
        <v>1764</v>
      </c>
      <c r="E328" s="8" t="s">
        <v>1749</v>
      </c>
      <c r="F328" s="8" t="s">
        <v>1761</v>
      </c>
      <c r="G328" s="33" t="s">
        <v>3085</v>
      </c>
      <c r="H328" s="52" t="e">
        <f>VLOOKUP(G328,#REF!, 2)</f>
        <v>#REF!</v>
      </c>
      <c r="I328" s="52" t="e">
        <f>VLOOKUP(G328,#REF!, 4)</f>
        <v>#REF!</v>
      </c>
      <c r="J328" s="22" t="s">
        <v>1751</v>
      </c>
      <c r="K328" s="22" t="s">
        <v>2345</v>
      </c>
      <c r="L328" s="18" t="s">
        <v>3090</v>
      </c>
      <c r="M328" s="18"/>
      <c r="N328" s="18"/>
      <c r="O328" s="18"/>
      <c r="P328" s="18" t="e">
        <f t="shared" si="11"/>
        <v>#REF!</v>
      </c>
      <c r="Q328" s="19" t="e">
        <f>IF(R328=0,VLOOKUP(G328,#REF!, 3),R328)</f>
        <v>#REF!</v>
      </c>
      <c r="R328" s="13" t="e">
        <f>VLOOKUP(G328,#REF!, 5)</f>
        <v>#REF!</v>
      </c>
      <c r="S328" s="18" t="s">
        <v>18</v>
      </c>
      <c r="T328" s="43"/>
      <c r="AA328"/>
    </row>
    <row r="329" spans="1:27" ht="90.35" x14ac:dyDescent="0.2">
      <c r="A329" s="12" t="s">
        <v>1765</v>
      </c>
      <c r="B329" s="12" t="s">
        <v>1766</v>
      </c>
      <c r="C329" s="37" t="s">
        <v>1767</v>
      </c>
      <c r="D329" s="12" t="s">
        <v>1768</v>
      </c>
      <c r="E329" s="8" t="s">
        <v>1749</v>
      </c>
      <c r="F329" s="8" t="s">
        <v>1769</v>
      </c>
      <c r="G329" s="33" t="s">
        <v>3085</v>
      </c>
      <c r="H329" s="52" t="e">
        <f>VLOOKUP(G329,#REF!, 2)</f>
        <v>#REF!</v>
      </c>
      <c r="I329" s="52" t="e">
        <f>VLOOKUP(G329,#REF!, 4)</f>
        <v>#REF!</v>
      </c>
      <c r="J329" s="22" t="s">
        <v>1751</v>
      </c>
      <c r="K329" s="22" t="s">
        <v>2345</v>
      </c>
      <c r="L329" s="18" t="s">
        <v>3091</v>
      </c>
      <c r="M329" s="18"/>
      <c r="N329" s="18" t="s">
        <v>3092</v>
      </c>
      <c r="O329" s="18" t="s">
        <v>2297</v>
      </c>
      <c r="P329" s="18" t="e">
        <f t="shared" si="11"/>
        <v>#REF!</v>
      </c>
      <c r="Q329" s="19" t="e">
        <f>IF(R329=0,VLOOKUP(G329,#REF!, 3),R329)</f>
        <v>#REF!</v>
      </c>
      <c r="R329" s="13" t="e">
        <f>VLOOKUP(G329,#REF!, 5)</f>
        <v>#REF!</v>
      </c>
      <c r="S329" s="18" t="s">
        <v>18</v>
      </c>
      <c r="T329" s="43"/>
      <c r="AA329"/>
    </row>
    <row r="330" spans="1:27" ht="129.1" x14ac:dyDescent="0.2">
      <c r="A330" s="12" t="s">
        <v>1770</v>
      </c>
      <c r="B330" s="12" t="s">
        <v>1771</v>
      </c>
      <c r="C330" s="37" t="s">
        <v>1772</v>
      </c>
      <c r="D330" s="12" t="s">
        <v>3093</v>
      </c>
      <c r="E330" s="8" t="s">
        <v>1774</v>
      </c>
      <c r="F330" s="8" t="s">
        <v>1775</v>
      </c>
      <c r="G330" s="33" t="s">
        <v>3085</v>
      </c>
      <c r="H330" s="52" t="e">
        <f>VLOOKUP(G330,#REF!, 2)</f>
        <v>#REF!</v>
      </c>
      <c r="I330" s="52" t="e">
        <f>VLOOKUP(G330,#REF!, 4)</f>
        <v>#REF!</v>
      </c>
      <c r="J330" s="22" t="s">
        <v>1776</v>
      </c>
      <c r="K330" s="22" t="s">
        <v>2345</v>
      </c>
      <c r="L330" s="18" t="s">
        <v>3094</v>
      </c>
      <c r="M330" s="18"/>
      <c r="N330" s="18"/>
      <c r="O330" s="18"/>
      <c r="P330" s="18" t="e">
        <f t="shared" si="11"/>
        <v>#REF!</v>
      </c>
      <c r="Q330" s="19" t="e">
        <f>IF(R330=0,VLOOKUP(G330,#REF!, 3),R330)</f>
        <v>#REF!</v>
      </c>
      <c r="R330" s="13" t="e">
        <f>VLOOKUP(G330,#REF!, 5)</f>
        <v>#REF!</v>
      </c>
      <c r="S330" s="18" t="s">
        <v>18</v>
      </c>
      <c r="T330" s="43"/>
      <c r="AA330"/>
    </row>
    <row r="331" spans="1:27" ht="409.6" x14ac:dyDescent="0.2">
      <c r="A331" s="12" t="s">
        <v>1777</v>
      </c>
      <c r="B331" s="12" t="s">
        <v>1778</v>
      </c>
      <c r="C331" s="37" t="s">
        <v>1779</v>
      </c>
      <c r="D331" s="12" t="s">
        <v>1780</v>
      </c>
      <c r="E331" s="8" t="s">
        <v>1781</v>
      </c>
      <c r="F331" s="8" t="s">
        <v>153</v>
      </c>
      <c r="G331" s="8" t="str">
        <f t="shared" si="10"/>
        <v>S1-00426</v>
      </c>
      <c r="H331" s="52" t="e">
        <f>VLOOKUP(G331,#REF!, 2)</f>
        <v>#REF!</v>
      </c>
      <c r="I331" s="52" t="e">
        <f>VLOOKUP(G331,#REF!, 4)</f>
        <v>#REF!</v>
      </c>
      <c r="J331" s="22" t="s">
        <v>1782</v>
      </c>
      <c r="K331" s="22" t="s">
        <v>3095</v>
      </c>
      <c r="L331" s="18" t="s">
        <v>3096</v>
      </c>
      <c r="M331" s="18" t="s">
        <v>3097</v>
      </c>
      <c r="N331" s="18" t="s">
        <v>3098</v>
      </c>
      <c r="O331" s="18" t="s">
        <v>2297</v>
      </c>
      <c r="P331" s="18" t="e">
        <f t="shared" si="11"/>
        <v>#REF!</v>
      </c>
      <c r="Q331" s="19" t="e">
        <f>IF(R331=0,VLOOKUP(G331,#REF!, 3),R331)</f>
        <v>#REF!</v>
      </c>
      <c r="R331" s="13" t="e">
        <f>VLOOKUP(G331,#REF!, 5)</f>
        <v>#REF!</v>
      </c>
      <c r="S331" s="18" t="s">
        <v>18</v>
      </c>
      <c r="T331" s="43" t="s">
        <v>3099</v>
      </c>
      <c r="U331" s="4" t="s">
        <v>2309</v>
      </c>
      <c r="AA331"/>
    </row>
    <row r="332" spans="1:27" ht="167.8" x14ac:dyDescent="0.2">
      <c r="A332" s="12" t="s">
        <v>1777</v>
      </c>
      <c r="B332" s="12" t="s">
        <v>1783</v>
      </c>
      <c r="C332" s="37" t="s">
        <v>1784</v>
      </c>
      <c r="D332" s="12" t="s">
        <v>1785</v>
      </c>
      <c r="E332" s="8" t="s">
        <v>1781</v>
      </c>
      <c r="F332" s="8" t="s">
        <v>153</v>
      </c>
      <c r="G332" s="8" t="str">
        <f t="shared" si="10"/>
        <v>S1-00460</v>
      </c>
      <c r="H332" s="52" t="e">
        <f>VLOOKUP(G332,#REF!, 2)</f>
        <v>#REF!</v>
      </c>
      <c r="I332" s="52" t="e">
        <f>VLOOKUP(G332,#REF!, 4)</f>
        <v>#REF!</v>
      </c>
      <c r="J332" s="22" t="s">
        <v>1786</v>
      </c>
      <c r="K332" s="22" t="s">
        <v>3100</v>
      </c>
      <c r="L332" s="18" t="s">
        <v>3101</v>
      </c>
      <c r="M332" s="18"/>
      <c r="N332" s="18" t="s">
        <v>3102</v>
      </c>
      <c r="O332" s="18"/>
      <c r="P332" s="18" t="e">
        <f t="shared" si="11"/>
        <v>#REF!</v>
      </c>
      <c r="Q332" s="19" t="e">
        <f>IF(R332=0,VLOOKUP(G332,#REF!, 3),R332)</f>
        <v>#REF!</v>
      </c>
      <c r="R332" s="13" t="e">
        <f>VLOOKUP(G332,#REF!, 5)</f>
        <v>#REF!</v>
      </c>
      <c r="S332" s="18" t="s">
        <v>18</v>
      </c>
      <c r="T332" s="43"/>
      <c r="AA332"/>
    </row>
    <row r="333" spans="1:27" ht="51.65" x14ac:dyDescent="0.2">
      <c r="A333" s="12" t="s">
        <v>1777</v>
      </c>
      <c r="B333" s="12" t="s">
        <v>1787</v>
      </c>
      <c r="C333" s="37" t="s">
        <v>1788</v>
      </c>
      <c r="D333" s="12" t="s">
        <v>3103</v>
      </c>
      <c r="E333" s="8" t="s">
        <v>1781</v>
      </c>
      <c r="F333" s="8" t="s">
        <v>153</v>
      </c>
      <c r="G333" s="8" t="str">
        <f t="shared" si="10"/>
        <v>S1-00461</v>
      </c>
      <c r="H333" s="52" t="e">
        <f>VLOOKUP(G333,#REF!, 2)</f>
        <v>#REF!</v>
      </c>
      <c r="I333" s="52" t="e">
        <f>VLOOKUP(G333,#REF!, 4)</f>
        <v>#REF!</v>
      </c>
      <c r="J333" s="22" t="s">
        <v>1790</v>
      </c>
      <c r="K333" s="22" t="s">
        <v>3104</v>
      </c>
      <c r="L333" s="18" t="s">
        <v>3105</v>
      </c>
      <c r="M333" s="18"/>
      <c r="N333" s="18" t="s">
        <v>3106</v>
      </c>
      <c r="O333" s="18" t="s">
        <v>2297</v>
      </c>
      <c r="P333" s="18" t="e">
        <f t="shared" si="11"/>
        <v>#REF!</v>
      </c>
      <c r="Q333" s="19" t="e">
        <f>IF(R333=0,VLOOKUP(G333,#REF!, 3),R333)</f>
        <v>#REF!</v>
      </c>
      <c r="R333" s="13" t="e">
        <f>VLOOKUP(G333,#REF!, 5)</f>
        <v>#REF!</v>
      </c>
      <c r="S333" s="18" t="s">
        <v>18</v>
      </c>
      <c r="T333" s="43"/>
      <c r="AA333"/>
    </row>
    <row r="334" spans="1:27" ht="234.7" customHeight="1" x14ac:dyDescent="0.2">
      <c r="A334" s="12" t="s">
        <v>1791</v>
      </c>
      <c r="B334" s="12" t="s">
        <v>1792</v>
      </c>
      <c r="C334" s="37" t="s">
        <v>1793</v>
      </c>
      <c r="D334" s="12" t="s">
        <v>1794</v>
      </c>
      <c r="E334" s="8" t="s">
        <v>1795</v>
      </c>
      <c r="F334" s="8" t="s">
        <v>1709</v>
      </c>
      <c r="G334" s="8" t="str">
        <f t="shared" si="10"/>
        <v>S1-00462</v>
      </c>
      <c r="H334" s="52" t="e">
        <f>VLOOKUP(G334,#REF!, 2)</f>
        <v>#REF!</v>
      </c>
      <c r="I334" s="52" t="e">
        <f>VLOOKUP(G334,#REF!, 4)</f>
        <v>#REF!</v>
      </c>
      <c r="J334" s="22" t="s">
        <v>1796</v>
      </c>
      <c r="K334" s="22" t="s">
        <v>3107</v>
      </c>
      <c r="L334" s="18" t="s">
        <v>3108</v>
      </c>
      <c r="M334" s="18"/>
      <c r="N334" s="18"/>
      <c r="O334" s="18"/>
      <c r="P334" s="18" t="e">
        <f t="shared" si="11"/>
        <v>#REF!</v>
      </c>
      <c r="Q334" s="19" t="e">
        <f>IF(R334=0,VLOOKUP(G334,#REF!, 3),R334)</f>
        <v>#REF!</v>
      </c>
      <c r="R334" s="13" t="e">
        <f>VLOOKUP(G334,#REF!, 5)</f>
        <v>#REF!</v>
      </c>
      <c r="S334" s="18" t="s">
        <v>18</v>
      </c>
      <c r="T334" s="43"/>
      <c r="AA334"/>
    </row>
    <row r="335" spans="1:27" ht="408.6" customHeight="1" x14ac:dyDescent="0.2">
      <c r="A335" s="12" t="s">
        <v>1797</v>
      </c>
      <c r="B335" s="12" t="s">
        <v>1798</v>
      </c>
      <c r="C335" s="37" t="s">
        <v>1799</v>
      </c>
      <c r="D335" s="12" t="s">
        <v>1800</v>
      </c>
      <c r="E335" s="8" t="s">
        <v>1801</v>
      </c>
      <c r="F335" s="8" t="s">
        <v>1802</v>
      </c>
      <c r="G335" s="8" t="str">
        <f t="shared" si="10"/>
        <v>S1-00464</v>
      </c>
      <c r="H335" s="52" t="e">
        <f>VLOOKUP(G335,#REF!, 2)</f>
        <v>#REF!</v>
      </c>
      <c r="I335" s="52" t="e">
        <f>VLOOKUP(G335,#REF!, 4)</f>
        <v>#REF!</v>
      </c>
      <c r="J335" s="22" t="s">
        <v>1803</v>
      </c>
      <c r="K335" s="22" t="s">
        <v>3109</v>
      </c>
      <c r="L335" s="18" t="s">
        <v>3110</v>
      </c>
      <c r="M335" s="18"/>
      <c r="N335" s="18"/>
      <c r="O335" s="18"/>
      <c r="P335" s="18" t="e">
        <f t="shared" si="11"/>
        <v>#REF!</v>
      </c>
      <c r="Q335" s="19" t="e">
        <f>IF(R335=0,VLOOKUP(G335,#REF!, 3),R335)</f>
        <v>#REF!</v>
      </c>
      <c r="R335" s="13" t="e">
        <f>VLOOKUP(G335,#REF!, 5)</f>
        <v>#REF!</v>
      </c>
      <c r="S335" s="18" t="s">
        <v>18</v>
      </c>
      <c r="T335" s="43"/>
      <c r="AA335"/>
    </row>
    <row r="336" spans="1:27" ht="232.3" x14ac:dyDescent="0.2">
      <c r="A336" s="12" t="s">
        <v>1804</v>
      </c>
      <c r="B336" s="12" t="s">
        <v>1805</v>
      </c>
      <c r="C336" s="37" t="s">
        <v>1806</v>
      </c>
      <c r="D336" s="12" t="s">
        <v>1807</v>
      </c>
      <c r="E336" s="8" t="s">
        <v>1801</v>
      </c>
      <c r="F336" s="8" t="s">
        <v>1808</v>
      </c>
      <c r="G336" s="8" t="str">
        <f t="shared" si="10"/>
        <v>S1-00465</v>
      </c>
      <c r="H336" s="52" t="e">
        <f>VLOOKUP(G336,#REF!, 2)</f>
        <v>#REF!</v>
      </c>
      <c r="I336" s="52" t="e">
        <f>VLOOKUP(G336,#REF!, 4)</f>
        <v>#REF!</v>
      </c>
      <c r="J336" s="22" t="s">
        <v>1809</v>
      </c>
      <c r="K336" s="22" t="s">
        <v>3111</v>
      </c>
      <c r="L336" s="18" t="s">
        <v>3112</v>
      </c>
      <c r="M336" s="18"/>
      <c r="N336" s="18"/>
      <c r="O336" s="18"/>
      <c r="P336" s="18" t="e">
        <f t="shared" si="11"/>
        <v>#REF!</v>
      </c>
      <c r="Q336" s="19" t="e">
        <f>IF(R336=0,VLOOKUP(G336,#REF!, 3),R336)</f>
        <v>#REF!</v>
      </c>
      <c r="R336" s="13" t="e">
        <f>VLOOKUP(G336,#REF!, 5)</f>
        <v>#REF!</v>
      </c>
      <c r="S336" s="18" t="s">
        <v>18</v>
      </c>
      <c r="T336" s="43"/>
      <c r="AA336"/>
    </row>
    <row r="337" spans="1:27" ht="322.64999999999998" x14ac:dyDescent="0.2">
      <c r="A337" s="12" t="s">
        <v>1810</v>
      </c>
      <c r="B337" s="12" t="s">
        <v>1811</v>
      </c>
      <c r="C337" s="37" t="s">
        <v>1812</v>
      </c>
      <c r="D337" s="12" t="s">
        <v>1813</v>
      </c>
      <c r="E337" s="8" t="s">
        <v>1801</v>
      </c>
      <c r="F337" s="8" t="s">
        <v>427</v>
      </c>
      <c r="G337" s="8" t="str">
        <f t="shared" si="10"/>
        <v>S1-00466</v>
      </c>
      <c r="H337" s="52" t="e">
        <f>VLOOKUP(G337,#REF!, 2)</f>
        <v>#REF!</v>
      </c>
      <c r="I337" s="52" t="e">
        <f>VLOOKUP(G337,#REF!, 4)</f>
        <v>#REF!</v>
      </c>
      <c r="J337" s="22" t="s">
        <v>1814</v>
      </c>
      <c r="K337" s="22" t="s">
        <v>3113</v>
      </c>
      <c r="L337" s="18" t="s">
        <v>3114</v>
      </c>
      <c r="M337" s="18"/>
      <c r="N337" s="18" t="s">
        <v>3115</v>
      </c>
      <c r="O337" s="18" t="s">
        <v>2297</v>
      </c>
      <c r="P337" s="18" t="e">
        <f t="shared" si="11"/>
        <v>#REF!</v>
      </c>
      <c r="Q337" s="19" t="e">
        <f>IF(R337=0,VLOOKUP(G337,#REF!, 3),R337)</f>
        <v>#REF!</v>
      </c>
      <c r="R337" s="13" t="e">
        <f>VLOOKUP(G337,#REF!, 5)</f>
        <v>#REF!</v>
      </c>
      <c r="S337" s="18" t="s">
        <v>18</v>
      </c>
      <c r="T337" s="43"/>
      <c r="AA337"/>
    </row>
    <row r="338" spans="1:27" ht="287.5" customHeight="1" x14ac:dyDescent="0.2">
      <c r="A338" s="12" t="s">
        <v>1815</v>
      </c>
      <c r="B338" s="12" t="s">
        <v>1816</v>
      </c>
      <c r="C338" s="37" t="s">
        <v>1817</v>
      </c>
      <c r="D338" s="12" t="s">
        <v>1818</v>
      </c>
      <c r="E338" s="8" t="s">
        <v>1801</v>
      </c>
      <c r="F338" s="8" t="s">
        <v>1819</v>
      </c>
      <c r="G338" s="8" t="str">
        <f t="shared" si="10"/>
        <v>S1-00468</v>
      </c>
      <c r="H338" s="52" t="e">
        <f>VLOOKUP(G338,#REF!, 2)</f>
        <v>#REF!</v>
      </c>
      <c r="I338" s="52" t="e">
        <f>VLOOKUP(G338,#REF!, 4)</f>
        <v>#REF!</v>
      </c>
      <c r="J338" s="22" t="s">
        <v>1820</v>
      </c>
      <c r="K338" s="22" t="s">
        <v>3116</v>
      </c>
      <c r="L338" s="18" t="s">
        <v>3117</v>
      </c>
      <c r="M338" s="18" t="s">
        <v>3118</v>
      </c>
      <c r="N338" s="18"/>
      <c r="O338" s="18"/>
      <c r="P338" s="18" t="e">
        <f t="shared" si="11"/>
        <v>#REF!</v>
      </c>
      <c r="Q338" s="19" t="e">
        <f>IF(R338=0,VLOOKUP(G338,#REF!, 3),R338)</f>
        <v>#REF!</v>
      </c>
      <c r="R338" s="13" t="e">
        <f>VLOOKUP(G338,#REF!, 5)</f>
        <v>#REF!</v>
      </c>
      <c r="S338" s="18" t="s">
        <v>18</v>
      </c>
      <c r="T338" s="43" t="s">
        <v>3119</v>
      </c>
      <c r="U338" s="4" t="s">
        <v>2299</v>
      </c>
      <c r="W338" s="4" t="s">
        <v>3120</v>
      </c>
      <c r="AA338"/>
    </row>
    <row r="339" spans="1:27" ht="77.45" x14ac:dyDescent="0.2">
      <c r="A339" s="12" t="s">
        <v>1821</v>
      </c>
      <c r="B339" s="12" t="s">
        <v>1822</v>
      </c>
      <c r="C339" s="37" t="s">
        <v>1823</v>
      </c>
      <c r="D339" s="12" t="s">
        <v>1824</v>
      </c>
      <c r="E339" s="8" t="s">
        <v>1801</v>
      </c>
      <c r="F339" s="8" t="s">
        <v>478</v>
      </c>
      <c r="G339" s="8" t="str">
        <f t="shared" si="10"/>
        <v>S1-00470</v>
      </c>
      <c r="H339" s="52" t="e">
        <f>VLOOKUP(G339,#REF!, 2)</f>
        <v>#REF!</v>
      </c>
      <c r="I339" s="52" t="e">
        <f>VLOOKUP(G339,#REF!, 4)</f>
        <v>#REF!</v>
      </c>
      <c r="J339" s="22" t="s">
        <v>1825</v>
      </c>
      <c r="K339" s="22" t="s">
        <v>3121</v>
      </c>
      <c r="L339" s="18" t="s">
        <v>3122</v>
      </c>
      <c r="M339" s="18"/>
      <c r="N339" s="18"/>
      <c r="O339" s="18"/>
      <c r="P339" s="18" t="e">
        <f t="shared" si="11"/>
        <v>#REF!</v>
      </c>
      <c r="Q339" s="19" t="e">
        <f>IF(R339=0,VLOOKUP(G339,#REF!, 3),R339)</f>
        <v>#REF!</v>
      </c>
      <c r="R339" s="13" t="e">
        <f>VLOOKUP(G339,#REF!, 5)</f>
        <v>#REF!</v>
      </c>
      <c r="S339" s="18" t="s">
        <v>18</v>
      </c>
      <c r="T339" s="43"/>
      <c r="AA339"/>
    </row>
    <row r="340" spans="1:27" ht="150.65" customHeight="1" x14ac:dyDescent="0.2">
      <c r="A340" s="12" t="s">
        <v>1826</v>
      </c>
      <c r="B340" s="12" t="s">
        <v>1827</v>
      </c>
      <c r="C340" s="37" t="s">
        <v>1828</v>
      </c>
      <c r="D340" s="12" t="s">
        <v>1829</v>
      </c>
      <c r="E340" s="8" t="s">
        <v>1801</v>
      </c>
      <c r="F340" s="8" t="s">
        <v>1091</v>
      </c>
      <c r="G340" s="8" t="str">
        <f t="shared" si="10"/>
        <v>S1-00471</v>
      </c>
      <c r="H340" s="52" t="e">
        <f>VLOOKUP(G340,#REF!, 2)</f>
        <v>#REF!</v>
      </c>
      <c r="I340" s="52" t="e">
        <f>VLOOKUP(G340,#REF!, 4)</f>
        <v>#REF!</v>
      </c>
      <c r="J340" s="22" t="s">
        <v>1830</v>
      </c>
      <c r="K340" s="22" t="s">
        <v>3123</v>
      </c>
      <c r="L340" s="18" t="s">
        <v>3124</v>
      </c>
      <c r="M340" s="18"/>
      <c r="N340" s="18"/>
      <c r="O340" s="18"/>
      <c r="P340" s="18" t="e">
        <f t="shared" si="11"/>
        <v>#REF!</v>
      </c>
      <c r="Q340" s="19" t="e">
        <f>IF(R340=0,VLOOKUP(G340,#REF!, 3),R340)</f>
        <v>#REF!</v>
      </c>
      <c r="R340" s="13" t="e">
        <f>VLOOKUP(G340,#REF!, 5)</f>
        <v>#REF!</v>
      </c>
      <c r="S340" s="18" t="s">
        <v>18</v>
      </c>
      <c r="T340" s="43"/>
      <c r="AA340"/>
    </row>
    <row r="341" spans="1:27" ht="338.45" customHeight="1" x14ac:dyDescent="0.2">
      <c r="A341" s="12" t="s">
        <v>1831</v>
      </c>
      <c r="B341" s="12" t="s">
        <v>1832</v>
      </c>
      <c r="C341" s="37" t="s">
        <v>1833</v>
      </c>
      <c r="D341" s="12" t="s">
        <v>1834</v>
      </c>
      <c r="E341" s="8" t="s">
        <v>1801</v>
      </c>
      <c r="F341" s="8" t="s">
        <v>1835</v>
      </c>
      <c r="G341" s="8" t="str">
        <f t="shared" si="10"/>
        <v>S1-00472</v>
      </c>
      <c r="H341" s="52" t="e">
        <f>VLOOKUP(G341,#REF!, 2)</f>
        <v>#REF!</v>
      </c>
      <c r="I341" s="52" t="e">
        <f>VLOOKUP(G341,#REF!, 4)</f>
        <v>#REF!</v>
      </c>
      <c r="J341" s="22" t="s">
        <v>1836</v>
      </c>
      <c r="K341" s="22" t="s">
        <v>3125</v>
      </c>
      <c r="L341" s="18" t="s">
        <v>3126</v>
      </c>
      <c r="M341" s="18" t="s">
        <v>3127</v>
      </c>
      <c r="N341" s="18"/>
      <c r="O341" s="18"/>
      <c r="P341" s="18" t="e">
        <f t="shared" si="11"/>
        <v>#REF!</v>
      </c>
      <c r="Q341" s="19" t="e">
        <f>IF(R341=0,VLOOKUP(G341,#REF!, 3),R341)</f>
        <v>#REF!</v>
      </c>
      <c r="R341" s="13" t="e">
        <f>VLOOKUP(G341,#REF!, 5)</f>
        <v>#REF!</v>
      </c>
      <c r="S341" s="18" t="s">
        <v>18</v>
      </c>
      <c r="T341" s="43" t="s">
        <v>3119</v>
      </c>
      <c r="U341" s="4" t="s">
        <v>2299</v>
      </c>
      <c r="W341" s="4" t="s">
        <v>3128</v>
      </c>
      <c r="AA341"/>
    </row>
    <row r="342" spans="1:27" ht="154.9" x14ac:dyDescent="0.2">
      <c r="A342" s="12" t="s">
        <v>1837</v>
      </c>
      <c r="B342" s="12" t="s">
        <v>1838</v>
      </c>
      <c r="C342" s="37" t="s">
        <v>1839</v>
      </c>
      <c r="D342" s="12" t="s">
        <v>1840</v>
      </c>
      <c r="E342" s="8" t="s">
        <v>1841</v>
      </c>
      <c r="F342" s="8" t="s">
        <v>421</v>
      </c>
      <c r="G342" s="8" t="str">
        <f t="shared" si="10"/>
        <v>S1-00473</v>
      </c>
      <c r="H342" s="52" t="e">
        <f>VLOOKUP(G342,#REF!, 2)</f>
        <v>#REF!</v>
      </c>
      <c r="I342" s="52" t="e">
        <f>VLOOKUP(G342,#REF!, 4)</f>
        <v>#REF!</v>
      </c>
      <c r="J342" s="22" t="s">
        <v>1842</v>
      </c>
      <c r="K342" s="22" t="s">
        <v>3129</v>
      </c>
      <c r="L342" s="18" t="s">
        <v>3130</v>
      </c>
      <c r="M342" s="18" t="s">
        <v>3131</v>
      </c>
      <c r="N342" s="18" t="s">
        <v>3132</v>
      </c>
      <c r="O342" s="18"/>
      <c r="P342" s="18" t="e">
        <f t="shared" si="11"/>
        <v>#REF!</v>
      </c>
      <c r="Q342" s="19" t="e">
        <f>IF(R342=0,VLOOKUP(G342,#REF!, 3),R342)</f>
        <v>#REF!</v>
      </c>
      <c r="R342" s="13" t="e">
        <f>VLOOKUP(G342,#REF!, 5)</f>
        <v>#REF!</v>
      </c>
      <c r="S342" s="18" t="s">
        <v>18</v>
      </c>
      <c r="T342" s="43" t="s">
        <v>3133</v>
      </c>
      <c r="U342" s="4" t="s">
        <v>2299</v>
      </c>
      <c r="W342" s="4" t="s">
        <v>3134</v>
      </c>
      <c r="AA342"/>
    </row>
    <row r="343" spans="1:27" ht="130.94999999999999" customHeight="1" x14ac:dyDescent="0.2">
      <c r="A343" s="12" t="s">
        <v>1843</v>
      </c>
      <c r="B343" s="12" t="s">
        <v>1844</v>
      </c>
      <c r="C343" s="37" t="s">
        <v>1845</v>
      </c>
      <c r="D343" s="12" t="s">
        <v>1846</v>
      </c>
      <c r="E343" s="8" t="s">
        <v>1847</v>
      </c>
      <c r="F343" s="8" t="s">
        <v>421</v>
      </c>
      <c r="G343" s="8" t="str">
        <f t="shared" si="10"/>
        <v>S1-00474</v>
      </c>
      <c r="H343" s="52" t="e">
        <f>VLOOKUP(G343,#REF!, 2)</f>
        <v>#REF!</v>
      </c>
      <c r="I343" s="52" t="e">
        <f>VLOOKUP(G343,#REF!, 4)</f>
        <v>#REF!</v>
      </c>
      <c r="J343" s="22" t="s">
        <v>3135</v>
      </c>
      <c r="K343" s="22" t="s">
        <v>3136</v>
      </c>
      <c r="L343" s="18" t="s">
        <v>3137</v>
      </c>
      <c r="M343" s="19" t="s">
        <v>3138</v>
      </c>
      <c r="N343" s="18" t="s">
        <v>3139</v>
      </c>
      <c r="O343" s="18"/>
      <c r="P343" s="18" t="e">
        <f t="shared" si="11"/>
        <v>#REF!</v>
      </c>
      <c r="Q343" s="19" t="e">
        <f>IF(R343=0,VLOOKUP(G343,#REF!, 3),R343)</f>
        <v>#REF!</v>
      </c>
      <c r="R343" s="13" t="e">
        <f>VLOOKUP(G343,#REF!, 5)</f>
        <v>#REF!</v>
      </c>
      <c r="S343" s="18" t="s">
        <v>18</v>
      </c>
      <c r="T343" s="43" t="s">
        <v>3140</v>
      </c>
      <c r="U343" s="4" t="s">
        <v>2321</v>
      </c>
      <c r="AA343"/>
    </row>
    <row r="344" spans="1:27" ht="38.75" x14ac:dyDescent="0.2">
      <c r="A344" s="12" t="s">
        <v>1849</v>
      </c>
      <c r="B344" s="12" t="s">
        <v>1850</v>
      </c>
      <c r="C344" s="37" t="s">
        <v>1851</v>
      </c>
      <c r="D344" s="12" t="s">
        <v>1852</v>
      </c>
      <c r="E344" s="8" t="s">
        <v>1847</v>
      </c>
      <c r="F344" s="8" t="s">
        <v>116</v>
      </c>
      <c r="G344" s="8" t="str">
        <f t="shared" si="10"/>
        <v>S1-00475</v>
      </c>
      <c r="H344" s="52" t="e">
        <f>VLOOKUP(G344,#REF!, 2)</f>
        <v>#REF!</v>
      </c>
      <c r="I344" s="52" t="e">
        <f>VLOOKUP(G344,#REF!, 4)</f>
        <v>#REF!</v>
      </c>
      <c r="J344" s="22" t="s">
        <v>1853</v>
      </c>
      <c r="K344" s="22" t="s">
        <v>3141</v>
      </c>
      <c r="L344" s="18"/>
      <c r="M344" s="18"/>
      <c r="N344" s="18" t="s">
        <v>3142</v>
      </c>
      <c r="O344" s="18"/>
      <c r="P344" s="18" t="e">
        <f t="shared" si="11"/>
        <v>#REF!</v>
      </c>
      <c r="Q344" s="19" t="e">
        <f>IF(R344=0,VLOOKUP(G344,#REF!, 3),R344)</f>
        <v>#REF!</v>
      </c>
      <c r="R344" s="13" t="e">
        <f>VLOOKUP(G344,#REF!, 5)</f>
        <v>#REF!</v>
      </c>
      <c r="S344" s="18" t="s">
        <v>18</v>
      </c>
      <c r="T344" s="43"/>
      <c r="AA344"/>
    </row>
    <row r="345" spans="1:27" ht="154.19999999999999" customHeight="1" x14ac:dyDescent="0.2">
      <c r="A345" s="12" t="s">
        <v>1849</v>
      </c>
      <c r="B345" s="12" t="s">
        <v>1854</v>
      </c>
      <c r="C345" s="37" t="s">
        <v>1855</v>
      </c>
      <c r="D345" s="12" t="s">
        <v>1856</v>
      </c>
      <c r="E345" s="8" t="s">
        <v>1847</v>
      </c>
      <c r="F345" s="8" t="s">
        <v>116</v>
      </c>
      <c r="G345" s="8" t="str">
        <f t="shared" si="10"/>
        <v>S1-00476</v>
      </c>
      <c r="H345" s="52" t="e">
        <f>VLOOKUP(G345,#REF!, 2)</f>
        <v>#REF!</v>
      </c>
      <c r="I345" s="52" t="e">
        <f>VLOOKUP(G345,#REF!, 4)</f>
        <v>#REF!</v>
      </c>
      <c r="J345" s="22" t="s">
        <v>1857</v>
      </c>
      <c r="K345" s="22" t="s">
        <v>3143</v>
      </c>
      <c r="L345" s="18" t="s">
        <v>3144</v>
      </c>
      <c r="M345" s="18"/>
      <c r="N345" s="18" t="s">
        <v>3145</v>
      </c>
      <c r="O345" s="18"/>
      <c r="P345" s="18" t="e">
        <f t="shared" si="11"/>
        <v>#REF!</v>
      </c>
      <c r="Q345" s="19" t="e">
        <f>IF(R345=0,VLOOKUP(G345,#REF!, 3),R345)</f>
        <v>#REF!</v>
      </c>
      <c r="R345" s="13" t="e">
        <f>VLOOKUP(G345,#REF!, 5)</f>
        <v>#REF!</v>
      </c>
      <c r="S345" s="18" t="s">
        <v>18</v>
      </c>
      <c r="T345" s="43"/>
      <c r="AA345"/>
    </row>
    <row r="346" spans="1:27" ht="179.5" customHeight="1" x14ac:dyDescent="0.2">
      <c r="A346" s="12" t="s">
        <v>1858</v>
      </c>
      <c r="B346" s="12" t="s">
        <v>1859</v>
      </c>
      <c r="C346" s="37" t="s">
        <v>1860</v>
      </c>
      <c r="D346" s="12" t="s">
        <v>1861</v>
      </c>
      <c r="E346" s="8" t="s">
        <v>1847</v>
      </c>
      <c r="F346" s="8" t="s">
        <v>153</v>
      </c>
      <c r="G346" s="8" t="str">
        <f t="shared" si="10"/>
        <v>S1-00477</v>
      </c>
      <c r="H346" s="52" t="e">
        <f>VLOOKUP(G346,#REF!, 2)</f>
        <v>#REF!</v>
      </c>
      <c r="I346" s="52" t="e">
        <f>VLOOKUP(G346,#REF!, 4)</f>
        <v>#REF!</v>
      </c>
      <c r="J346" s="22" t="s">
        <v>1862</v>
      </c>
      <c r="K346" s="22" t="s">
        <v>3146</v>
      </c>
      <c r="L346" s="18" t="s">
        <v>3147</v>
      </c>
      <c r="M346" s="18"/>
      <c r="N346" s="18" t="s">
        <v>3148</v>
      </c>
      <c r="O346" s="18" t="s">
        <v>2297</v>
      </c>
      <c r="P346" s="18" t="e">
        <f t="shared" si="11"/>
        <v>#REF!</v>
      </c>
      <c r="Q346" s="19" t="e">
        <f>IF(R346=0,VLOOKUP(G346,#REF!, 3),R346)</f>
        <v>#REF!</v>
      </c>
      <c r="R346" s="13" t="e">
        <f>VLOOKUP(G346,#REF!, 5)</f>
        <v>#REF!</v>
      </c>
      <c r="S346" s="18" t="s">
        <v>18</v>
      </c>
      <c r="T346" s="43"/>
      <c r="AA346"/>
    </row>
    <row r="347" spans="1:27" ht="81.7" customHeight="1" x14ac:dyDescent="0.2">
      <c r="A347" s="12" t="s">
        <v>1863</v>
      </c>
      <c r="B347" s="12" t="s">
        <v>1864</v>
      </c>
      <c r="C347" s="37" t="s">
        <v>1865</v>
      </c>
      <c r="D347" s="12" t="s">
        <v>1866</v>
      </c>
      <c r="E347" s="8" t="s">
        <v>1847</v>
      </c>
      <c r="F347" s="8" t="s">
        <v>246</v>
      </c>
      <c r="G347" s="8" t="str">
        <f t="shared" si="10"/>
        <v>S1-00478</v>
      </c>
      <c r="H347" s="52" t="e">
        <f>VLOOKUP(G347,#REF!, 2)</f>
        <v>#REF!</v>
      </c>
      <c r="I347" s="52" t="e">
        <f>VLOOKUP(G347,#REF!, 4)</f>
        <v>#REF!</v>
      </c>
      <c r="J347" s="22" t="s">
        <v>1867</v>
      </c>
      <c r="K347" s="22" t="s">
        <v>3149</v>
      </c>
      <c r="L347" s="18" t="s">
        <v>3150</v>
      </c>
      <c r="M347" s="18"/>
      <c r="N347" s="18" t="s">
        <v>3151</v>
      </c>
      <c r="O347" s="18"/>
      <c r="P347" s="18" t="e">
        <f t="shared" si="11"/>
        <v>#REF!</v>
      </c>
      <c r="Q347" s="19" t="e">
        <f>IF(R347=0,VLOOKUP(G347,#REF!, 3),R347)</f>
        <v>#REF!</v>
      </c>
      <c r="R347" s="13" t="e">
        <f>VLOOKUP(G347,#REF!, 5)</f>
        <v>#REF!</v>
      </c>
      <c r="S347" s="18" t="s">
        <v>18</v>
      </c>
      <c r="T347" s="43"/>
      <c r="AA347"/>
    </row>
    <row r="348" spans="1:27" ht="180.7" x14ac:dyDescent="0.2">
      <c r="A348" s="12" t="s">
        <v>1868</v>
      </c>
      <c r="B348" s="12" t="s">
        <v>1869</v>
      </c>
      <c r="C348" s="37" t="s">
        <v>1870</v>
      </c>
      <c r="D348" s="12" t="s">
        <v>1871</v>
      </c>
      <c r="E348" s="8" t="s">
        <v>1847</v>
      </c>
      <c r="F348" s="8" t="s">
        <v>1172</v>
      </c>
      <c r="G348" s="8" t="str">
        <f t="shared" si="10"/>
        <v>S1-00479</v>
      </c>
      <c r="H348" s="52" t="e">
        <f>VLOOKUP(G348,#REF!, 2)</f>
        <v>#REF!</v>
      </c>
      <c r="I348" s="52" t="e">
        <f>VLOOKUP(G348,#REF!, 4)</f>
        <v>#REF!</v>
      </c>
      <c r="J348" s="22" t="s">
        <v>1872</v>
      </c>
      <c r="K348" s="22" t="s">
        <v>3152</v>
      </c>
      <c r="L348" s="18" t="s">
        <v>3153</v>
      </c>
      <c r="M348" s="19" t="s">
        <v>3154</v>
      </c>
      <c r="N348" s="18" t="s">
        <v>3155</v>
      </c>
      <c r="O348" s="18"/>
      <c r="P348" s="18" t="e">
        <f t="shared" si="11"/>
        <v>#REF!</v>
      </c>
      <c r="Q348" s="19" t="e">
        <f>IF(R348=0,VLOOKUP(G348,#REF!, 3),R348)</f>
        <v>#REF!</v>
      </c>
      <c r="R348" s="13" t="e">
        <f>VLOOKUP(G348,#REF!, 5)</f>
        <v>#REF!</v>
      </c>
      <c r="S348" s="18" t="s">
        <v>18</v>
      </c>
      <c r="T348" s="43" t="s">
        <v>3156</v>
      </c>
      <c r="U348" s="4" t="s">
        <v>2321</v>
      </c>
      <c r="AA348"/>
    </row>
    <row r="349" spans="1:27" ht="150.65" customHeight="1" x14ac:dyDescent="0.2">
      <c r="A349" s="12" t="s">
        <v>1873</v>
      </c>
      <c r="B349" s="12" t="s">
        <v>1874</v>
      </c>
      <c r="C349" s="37" t="s">
        <v>1875</v>
      </c>
      <c r="D349" s="12" t="s">
        <v>1876</v>
      </c>
      <c r="E349" s="8" t="s">
        <v>1847</v>
      </c>
      <c r="F349" s="8" t="s">
        <v>746</v>
      </c>
      <c r="G349" s="8" t="str">
        <f t="shared" si="10"/>
        <v>S1-00480</v>
      </c>
      <c r="H349" s="52" t="e">
        <f>VLOOKUP(G349,#REF!, 2)</f>
        <v>#REF!</v>
      </c>
      <c r="I349" s="52" t="e">
        <f>VLOOKUP(G349,#REF!, 4)</f>
        <v>#REF!</v>
      </c>
      <c r="J349" s="22" t="s">
        <v>1872</v>
      </c>
      <c r="K349" s="22" t="s">
        <v>3157</v>
      </c>
      <c r="L349" s="18" t="s">
        <v>3153</v>
      </c>
      <c r="M349" s="19" t="s">
        <v>3154</v>
      </c>
      <c r="N349" s="18" t="s">
        <v>3158</v>
      </c>
      <c r="O349" s="18"/>
      <c r="P349" s="18" t="e">
        <f t="shared" si="11"/>
        <v>#REF!</v>
      </c>
      <c r="Q349" s="19" t="e">
        <f>IF(R349=0,VLOOKUP(G349,#REF!, 3),R349)</f>
        <v>#REF!</v>
      </c>
      <c r="R349" s="13" t="e">
        <f>VLOOKUP(G349,#REF!, 5)</f>
        <v>#REF!</v>
      </c>
      <c r="S349" s="18" t="s">
        <v>18</v>
      </c>
      <c r="T349" s="43" t="s">
        <v>3159</v>
      </c>
      <c r="U349" s="4" t="s">
        <v>2299</v>
      </c>
      <c r="AA349"/>
    </row>
    <row r="350" spans="1:27" ht="129.6" customHeight="1" x14ac:dyDescent="0.2">
      <c r="A350" s="12" t="s">
        <v>1877</v>
      </c>
      <c r="B350" s="12" t="s">
        <v>1878</v>
      </c>
      <c r="C350" s="37" t="s">
        <v>1879</v>
      </c>
      <c r="D350" s="12" t="s">
        <v>1880</v>
      </c>
      <c r="E350" s="8" t="s">
        <v>1847</v>
      </c>
      <c r="F350" s="8" t="s">
        <v>1881</v>
      </c>
      <c r="G350" s="8" t="str">
        <f t="shared" si="10"/>
        <v>S1-00481</v>
      </c>
      <c r="H350" s="52" t="e">
        <f>VLOOKUP(G350,#REF!, 2)</f>
        <v>#REF!</v>
      </c>
      <c r="I350" s="52" t="e">
        <f>VLOOKUP(G350,#REF!, 4)</f>
        <v>#REF!</v>
      </c>
      <c r="J350" s="22" t="s">
        <v>1872</v>
      </c>
      <c r="K350" s="22" t="s">
        <v>3160</v>
      </c>
      <c r="L350" s="18" t="s">
        <v>3161</v>
      </c>
      <c r="M350" s="19" t="s">
        <v>3162</v>
      </c>
      <c r="N350" s="18" t="s">
        <v>3163</v>
      </c>
      <c r="O350" s="18"/>
      <c r="P350" s="18" t="e">
        <f t="shared" si="11"/>
        <v>#REF!</v>
      </c>
      <c r="Q350" s="19" t="e">
        <f>IF(R350=0,VLOOKUP(G350,#REF!, 3),R350)</f>
        <v>#REF!</v>
      </c>
      <c r="R350" s="13" t="e">
        <f>VLOOKUP(G350,#REF!, 5)</f>
        <v>#REF!</v>
      </c>
      <c r="S350" s="18" t="s">
        <v>18</v>
      </c>
      <c r="T350" s="43" t="s">
        <v>3164</v>
      </c>
      <c r="U350" s="4" t="s">
        <v>2321</v>
      </c>
      <c r="AA350"/>
    </row>
    <row r="351" spans="1:27" ht="146.75" customHeight="1" x14ac:dyDescent="0.2">
      <c r="A351" s="12" t="s">
        <v>1882</v>
      </c>
      <c r="B351" s="12" t="s">
        <v>1883</v>
      </c>
      <c r="C351" s="37" t="s">
        <v>1884</v>
      </c>
      <c r="D351" s="12" t="s">
        <v>1885</v>
      </c>
      <c r="E351" s="8" t="s">
        <v>1847</v>
      </c>
      <c r="F351" s="8" t="s">
        <v>1886</v>
      </c>
      <c r="G351" s="8" t="str">
        <f t="shared" si="10"/>
        <v>S1-00482</v>
      </c>
      <c r="H351" s="52" t="e">
        <f>VLOOKUP(G351,#REF!, 2)</f>
        <v>#REF!</v>
      </c>
      <c r="I351" s="52" t="e">
        <f>VLOOKUP(G351,#REF!, 4)</f>
        <v>#REF!</v>
      </c>
      <c r="J351" s="22" t="s">
        <v>1872</v>
      </c>
      <c r="K351" s="22" t="s">
        <v>3165</v>
      </c>
      <c r="L351" s="18" t="s">
        <v>3153</v>
      </c>
      <c r="M351" s="18" t="s">
        <v>3162</v>
      </c>
      <c r="N351" s="18" t="s">
        <v>3166</v>
      </c>
      <c r="O351" s="18"/>
      <c r="P351" s="18" t="e">
        <f t="shared" si="11"/>
        <v>#REF!</v>
      </c>
      <c r="Q351" s="19" t="e">
        <f>IF(R351=0,VLOOKUP(G351,#REF!, 3),R351)</f>
        <v>#REF!</v>
      </c>
      <c r="R351" s="13" t="e">
        <f>VLOOKUP(G351,#REF!, 5)</f>
        <v>#REF!</v>
      </c>
      <c r="S351" s="18" t="s">
        <v>18</v>
      </c>
      <c r="T351" s="43" t="s">
        <v>3167</v>
      </c>
      <c r="U351" s="4" t="s">
        <v>2299</v>
      </c>
      <c r="AA351"/>
    </row>
    <row r="352" spans="1:27" ht="146.75" customHeight="1" x14ac:dyDescent="0.2">
      <c r="A352" s="12" t="s">
        <v>1882</v>
      </c>
      <c r="B352" s="12" t="s">
        <v>1887</v>
      </c>
      <c r="C352" s="37" t="s">
        <v>1888</v>
      </c>
      <c r="D352" s="12" t="s">
        <v>1889</v>
      </c>
      <c r="E352" s="8" t="s">
        <v>1847</v>
      </c>
      <c r="F352" s="8" t="s">
        <v>1886</v>
      </c>
      <c r="G352" s="8" t="str">
        <f t="shared" si="10"/>
        <v>S1-00483</v>
      </c>
      <c r="H352" s="52" t="e">
        <f>VLOOKUP(G352,#REF!, 2)</f>
        <v>#REF!</v>
      </c>
      <c r="I352" s="52" t="e">
        <f>VLOOKUP(G352,#REF!, 4)</f>
        <v>#REF!</v>
      </c>
      <c r="J352" s="22" t="s">
        <v>1890</v>
      </c>
      <c r="K352" s="22" t="s">
        <v>3168</v>
      </c>
      <c r="L352" s="18" t="s">
        <v>3144</v>
      </c>
      <c r="M352" s="18"/>
      <c r="N352" s="18" t="s">
        <v>3169</v>
      </c>
      <c r="O352" s="18"/>
      <c r="P352" s="18" t="e">
        <f t="shared" si="11"/>
        <v>#REF!</v>
      </c>
      <c r="Q352" s="19" t="e">
        <f>IF(R352=0,VLOOKUP(G352,#REF!, 3),R352)</f>
        <v>#REF!</v>
      </c>
      <c r="R352" s="13" t="e">
        <f>VLOOKUP(G352,#REF!, 5)</f>
        <v>#REF!</v>
      </c>
      <c r="S352" s="18" t="s">
        <v>18</v>
      </c>
      <c r="T352" s="43"/>
      <c r="AA352"/>
    </row>
    <row r="353" spans="1:27" ht="167.8" x14ac:dyDescent="0.2">
      <c r="A353" s="12" t="s">
        <v>1891</v>
      </c>
      <c r="B353" s="12" t="s">
        <v>1892</v>
      </c>
      <c r="C353" s="37" t="s">
        <v>1893</v>
      </c>
      <c r="D353" s="12" t="s">
        <v>1894</v>
      </c>
      <c r="E353" s="8" t="s">
        <v>1847</v>
      </c>
      <c r="F353" s="8" t="s">
        <v>1895</v>
      </c>
      <c r="G353" s="8" t="str">
        <f t="shared" si="10"/>
        <v>S1-00484</v>
      </c>
      <c r="H353" s="52" t="e">
        <f>VLOOKUP(G353,#REF!, 2)</f>
        <v>#REF!</v>
      </c>
      <c r="I353" s="52" t="e">
        <f>VLOOKUP(G353,#REF!, 4)</f>
        <v>#REF!</v>
      </c>
      <c r="J353" s="22" t="s">
        <v>1896</v>
      </c>
      <c r="K353" s="22" t="s">
        <v>3170</v>
      </c>
      <c r="L353" s="18" t="s">
        <v>3171</v>
      </c>
      <c r="M353" s="18"/>
      <c r="N353" s="18" t="s">
        <v>3172</v>
      </c>
      <c r="O353" s="18"/>
      <c r="P353" s="18" t="e">
        <f t="shared" si="11"/>
        <v>#REF!</v>
      </c>
      <c r="Q353" s="19" t="e">
        <f>IF(R353=0,VLOOKUP(G353,#REF!, 3),R353)</f>
        <v>#REF!</v>
      </c>
      <c r="R353" s="13" t="e">
        <f>VLOOKUP(G353,#REF!, 5)</f>
        <v>#REF!</v>
      </c>
      <c r="S353" s="18" t="s">
        <v>18</v>
      </c>
      <c r="T353" s="43"/>
      <c r="AA353"/>
    </row>
    <row r="354" spans="1:27" ht="283.95" x14ac:dyDescent="0.2">
      <c r="A354" s="12" t="s">
        <v>1897</v>
      </c>
      <c r="B354" s="12" t="s">
        <v>1898</v>
      </c>
      <c r="C354" s="37" t="s">
        <v>1899</v>
      </c>
      <c r="D354" s="12" t="s">
        <v>1900</v>
      </c>
      <c r="E354" s="8" t="s">
        <v>1847</v>
      </c>
      <c r="F354" s="8" t="s">
        <v>1901</v>
      </c>
      <c r="G354" s="8" t="str">
        <f t="shared" si="10"/>
        <v>S1-00485</v>
      </c>
      <c r="H354" s="52" t="e">
        <f>VLOOKUP(G354,#REF!, 2)</f>
        <v>#REF!</v>
      </c>
      <c r="I354" s="52" t="e">
        <f>VLOOKUP(G354,#REF!, 4)</f>
        <v>#REF!</v>
      </c>
      <c r="J354" s="22" t="s">
        <v>1902</v>
      </c>
      <c r="K354" s="22" t="s">
        <v>3173</v>
      </c>
      <c r="L354" s="18" t="s">
        <v>3174</v>
      </c>
      <c r="M354" s="18"/>
      <c r="N354" s="18" t="s">
        <v>3175</v>
      </c>
      <c r="O354" s="18"/>
      <c r="P354" s="18" t="e">
        <f t="shared" si="11"/>
        <v>#REF!</v>
      </c>
      <c r="Q354" s="19" t="e">
        <f>IF(R354=0,VLOOKUP(G354,#REF!, 3),R354)</f>
        <v>#REF!</v>
      </c>
      <c r="R354" s="13" t="e">
        <f>VLOOKUP(G354,#REF!, 5)</f>
        <v>#REF!</v>
      </c>
      <c r="S354" s="18" t="s">
        <v>18</v>
      </c>
      <c r="T354" s="43"/>
      <c r="AA354"/>
    </row>
    <row r="355" spans="1:27" ht="77.45" x14ac:dyDescent="0.2">
      <c r="A355" s="12" t="s">
        <v>1897</v>
      </c>
      <c r="B355" s="12" t="s">
        <v>1903</v>
      </c>
      <c r="C355" s="37" t="s">
        <v>1904</v>
      </c>
      <c r="D355" s="12" t="s">
        <v>1905</v>
      </c>
      <c r="E355" s="8" t="s">
        <v>1847</v>
      </c>
      <c r="F355" s="8" t="s">
        <v>1901</v>
      </c>
      <c r="G355" s="8" t="str">
        <f t="shared" si="10"/>
        <v>S1-00486</v>
      </c>
      <c r="H355" s="52" t="e">
        <f>VLOOKUP(G355,#REF!, 2)</f>
        <v>#REF!</v>
      </c>
      <c r="I355" s="52" t="e">
        <f>VLOOKUP(G355,#REF!, 4)</f>
        <v>#REF!</v>
      </c>
      <c r="J355" s="22" t="s">
        <v>1906</v>
      </c>
      <c r="K355" s="22" t="s">
        <v>3176</v>
      </c>
      <c r="L355" s="18" t="s">
        <v>3177</v>
      </c>
      <c r="M355" s="18"/>
      <c r="N355" s="18" t="s">
        <v>3178</v>
      </c>
      <c r="O355" s="18"/>
      <c r="P355" s="18" t="e">
        <f t="shared" si="11"/>
        <v>#REF!</v>
      </c>
      <c r="Q355" s="19" t="e">
        <f>IF(R355=0,VLOOKUP(G355,#REF!, 3),R355)</f>
        <v>#REF!</v>
      </c>
      <c r="R355" s="13" t="e">
        <f>VLOOKUP(G355,#REF!, 5)</f>
        <v>#REF!</v>
      </c>
      <c r="S355" s="18" t="s">
        <v>18</v>
      </c>
      <c r="T355" s="43"/>
      <c r="AA355"/>
    </row>
    <row r="356" spans="1:27" ht="135.69999999999999" customHeight="1" x14ac:dyDescent="0.2">
      <c r="A356" s="12" t="s">
        <v>1897</v>
      </c>
      <c r="B356" s="12" t="s">
        <v>1907</v>
      </c>
      <c r="C356" s="37" t="s">
        <v>1908</v>
      </c>
      <c r="D356" s="12" t="s">
        <v>1909</v>
      </c>
      <c r="E356" s="8" t="s">
        <v>1847</v>
      </c>
      <c r="F356" s="8" t="s">
        <v>1901</v>
      </c>
      <c r="G356" s="8" t="str">
        <f t="shared" si="10"/>
        <v>S1-00568</v>
      </c>
      <c r="H356" s="52" t="e">
        <f>VLOOKUP(G356,#REF!, 2)</f>
        <v>#REF!</v>
      </c>
      <c r="I356" s="52" t="e">
        <f>VLOOKUP(G356,#REF!, 4)</f>
        <v>#REF!</v>
      </c>
      <c r="J356" s="22" t="s">
        <v>1910</v>
      </c>
      <c r="K356" s="22" t="s">
        <v>3179</v>
      </c>
      <c r="L356" s="22" t="s">
        <v>3180</v>
      </c>
      <c r="M356" s="19" t="s">
        <v>3181</v>
      </c>
      <c r="N356" s="18" t="s">
        <v>3182</v>
      </c>
      <c r="O356" s="18"/>
      <c r="P356" s="18" t="e">
        <f t="shared" si="11"/>
        <v>#REF!</v>
      </c>
      <c r="Q356" s="19" t="e">
        <f>IF(R356=0,VLOOKUP(G356,#REF!, 3),R356)</f>
        <v>#REF!</v>
      </c>
      <c r="R356" s="13" t="e">
        <f>VLOOKUP(G356,#REF!, 5)</f>
        <v>#REF!</v>
      </c>
      <c r="S356" s="18" t="s">
        <v>18</v>
      </c>
      <c r="T356" s="43" t="s">
        <v>3183</v>
      </c>
      <c r="U356" s="4" t="s">
        <v>2299</v>
      </c>
      <c r="AA356"/>
    </row>
    <row r="357" spans="1:27" ht="38.75" x14ac:dyDescent="0.2">
      <c r="A357" s="12" t="s">
        <v>1897</v>
      </c>
      <c r="B357" s="12" t="s">
        <v>1911</v>
      </c>
      <c r="C357" s="37" t="s">
        <v>1912</v>
      </c>
      <c r="D357" s="12" t="s">
        <v>1913</v>
      </c>
      <c r="E357" s="8" t="s">
        <v>1847</v>
      </c>
      <c r="F357" s="8" t="s">
        <v>1901</v>
      </c>
      <c r="G357" s="8" t="str">
        <f t="shared" si="10"/>
        <v>S1-00487</v>
      </c>
      <c r="H357" s="52" t="e">
        <f>VLOOKUP(G357,#REF!, 2)</f>
        <v>#REF!</v>
      </c>
      <c r="I357" s="52" t="e">
        <f>VLOOKUP(G357,#REF!, 4)</f>
        <v>#REF!</v>
      </c>
      <c r="J357" s="22" t="s">
        <v>1914</v>
      </c>
      <c r="K357" s="22" t="s">
        <v>3173</v>
      </c>
      <c r="L357" s="18" t="s">
        <v>3184</v>
      </c>
      <c r="M357" s="18"/>
      <c r="N357" s="18" t="s">
        <v>3185</v>
      </c>
      <c r="O357" s="18"/>
      <c r="P357" s="18" t="e">
        <f t="shared" si="11"/>
        <v>#REF!</v>
      </c>
      <c r="Q357" s="19" t="e">
        <f>IF(R357=0,VLOOKUP(G357,#REF!, 3),R357)</f>
        <v>#REF!</v>
      </c>
      <c r="R357" s="13" t="e">
        <f>VLOOKUP(G357,#REF!, 5)</f>
        <v>#REF!</v>
      </c>
      <c r="S357" s="18" t="s">
        <v>18</v>
      </c>
      <c r="T357" s="43"/>
      <c r="AA357"/>
    </row>
    <row r="358" spans="1:27" ht="64.55" x14ac:dyDescent="0.2">
      <c r="A358" s="12" t="s">
        <v>1915</v>
      </c>
      <c r="B358" s="12" t="s">
        <v>1916</v>
      </c>
      <c r="C358" s="37" t="s">
        <v>1917</v>
      </c>
      <c r="D358" s="12" t="s">
        <v>1918</v>
      </c>
      <c r="E358" s="8" t="s">
        <v>1847</v>
      </c>
      <c r="F358" s="8" t="s">
        <v>1650</v>
      </c>
      <c r="G358" s="8" t="str">
        <f t="shared" si="10"/>
        <v>S1-00488</v>
      </c>
      <c r="H358" s="52" t="e">
        <f>VLOOKUP(G358,#REF!, 2)</f>
        <v>#REF!</v>
      </c>
      <c r="I358" s="52" t="e">
        <f>VLOOKUP(G358,#REF!, 4)</f>
        <v>#REF!</v>
      </c>
      <c r="J358" s="22" t="s">
        <v>1919</v>
      </c>
      <c r="K358" s="22" t="s">
        <v>2345</v>
      </c>
      <c r="L358" s="18" t="s">
        <v>3186</v>
      </c>
      <c r="M358" s="18"/>
      <c r="N358" s="18" t="s">
        <v>3187</v>
      </c>
      <c r="O358" s="18" t="s">
        <v>2297</v>
      </c>
      <c r="P358" s="18" t="e">
        <f t="shared" si="11"/>
        <v>#REF!</v>
      </c>
      <c r="Q358" s="19" t="e">
        <f>IF(R358=0,VLOOKUP(G358,#REF!, 3),R358)</f>
        <v>#REF!</v>
      </c>
      <c r="R358" s="13" t="e">
        <f>VLOOKUP(G358,#REF!, 5)</f>
        <v>#REF!</v>
      </c>
      <c r="S358" s="18" t="s">
        <v>18</v>
      </c>
      <c r="T358" s="43"/>
      <c r="AA358"/>
    </row>
    <row r="359" spans="1:27" ht="64.55" x14ac:dyDescent="0.2">
      <c r="A359" s="12" t="s">
        <v>1920</v>
      </c>
      <c r="B359" s="12" t="s">
        <v>1921</v>
      </c>
      <c r="C359" s="37" t="s">
        <v>1922</v>
      </c>
      <c r="D359" s="12" t="s">
        <v>1923</v>
      </c>
      <c r="E359" s="8" t="s">
        <v>1847</v>
      </c>
      <c r="F359" s="8" t="s">
        <v>1924</v>
      </c>
      <c r="G359" s="8" t="str">
        <f t="shared" si="10"/>
        <v>S1-00489</v>
      </c>
      <c r="H359" s="52" t="e">
        <f>VLOOKUP(G359,#REF!, 2)</f>
        <v>#REF!</v>
      </c>
      <c r="I359" s="52" t="e">
        <f>VLOOKUP(G359,#REF!, 4)</f>
        <v>#REF!</v>
      </c>
      <c r="J359" s="22" t="s">
        <v>1925</v>
      </c>
      <c r="K359" s="22" t="s">
        <v>3188</v>
      </c>
      <c r="L359" s="18" t="s">
        <v>3189</v>
      </c>
      <c r="M359" s="18"/>
      <c r="N359" s="18" t="s">
        <v>3190</v>
      </c>
      <c r="O359" s="18"/>
      <c r="P359" s="18" t="e">
        <f t="shared" si="11"/>
        <v>#REF!</v>
      </c>
      <c r="Q359" s="19" t="e">
        <f>IF(R359=0,VLOOKUP(G359,#REF!, 3),R359)</f>
        <v>#REF!</v>
      </c>
      <c r="R359" s="13" t="e">
        <f>VLOOKUP(G359,#REF!, 5)</f>
        <v>#REF!</v>
      </c>
      <c r="S359" s="18" t="s">
        <v>18</v>
      </c>
      <c r="T359" s="43"/>
      <c r="AA359"/>
    </row>
    <row r="360" spans="1:27" ht="109.9" customHeight="1" x14ac:dyDescent="0.2">
      <c r="A360" s="12" t="s">
        <v>1926</v>
      </c>
      <c r="B360" s="12" t="s">
        <v>1927</v>
      </c>
      <c r="C360" s="37" t="s">
        <v>1928</v>
      </c>
      <c r="D360" s="12" t="s">
        <v>1929</v>
      </c>
      <c r="E360" s="8" t="s">
        <v>1847</v>
      </c>
      <c r="F360" s="8" t="s">
        <v>1930</v>
      </c>
      <c r="G360" s="8" t="str">
        <f t="shared" si="10"/>
        <v>S1-00490</v>
      </c>
      <c r="H360" s="52" t="e">
        <f>VLOOKUP(G360,#REF!, 2)</f>
        <v>#REF!</v>
      </c>
      <c r="I360" s="52" t="e">
        <f>VLOOKUP(G360,#REF!, 4)</f>
        <v>#REF!</v>
      </c>
      <c r="J360" s="22" t="s">
        <v>1931</v>
      </c>
      <c r="K360" s="22" t="s">
        <v>3191</v>
      </c>
      <c r="L360" s="18" t="s">
        <v>3186</v>
      </c>
      <c r="M360" s="18"/>
      <c r="N360" s="18" t="s">
        <v>3192</v>
      </c>
      <c r="O360" s="18"/>
      <c r="P360" s="18" t="e">
        <f t="shared" si="11"/>
        <v>#REF!</v>
      </c>
      <c r="Q360" s="19" t="e">
        <f>IF(R360=0,VLOOKUP(G360,#REF!, 3),R360)</f>
        <v>#REF!</v>
      </c>
      <c r="R360" s="13" t="e">
        <f>VLOOKUP(G360,#REF!, 5)</f>
        <v>#REF!</v>
      </c>
      <c r="S360" s="18" t="s">
        <v>18</v>
      </c>
      <c r="T360" s="43"/>
      <c r="AA360"/>
    </row>
    <row r="361" spans="1:27" ht="102.25" customHeight="1" x14ac:dyDescent="0.2">
      <c r="A361" s="12" t="s">
        <v>1926</v>
      </c>
      <c r="B361" s="12" t="s">
        <v>1932</v>
      </c>
      <c r="C361" s="37" t="s">
        <v>1933</v>
      </c>
      <c r="D361" s="12" t="s">
        <v>1934</v>
      </c>
      <c r="E361" s="8" t="s">
        <v>1847</v>
      </c>
      <c r="F361" s="8" t="s">
        <v>1930</v>
      </c>
      <c r="G361" s="8" t="str">
        <f t="shared" si="10"/>
        <v>S1-00491</v>
      </c>
      <c r="H361" s="52" t="e">
        <f>VLOOKUP(G361,#REF!, 2)</f>
        <v>#REF!</v>
      </c>
      <c r="I361" s="52" t="e">
        <f>VLOOKUP(G361,#REF!, 4)</f>
        <v>#REF!</v>
      </c>
      <c r="J361" s="22" t="s">
        <v>1935</v>
      </c>
      <c r="K361" s="22" t="s">
        <v>3193</v>
      </c>
      <c r="L361" s="18" t="s">
        <v>3194</v>
      </c>
      <c r="M361" s="18"/>
      <c r="N361" s="18" t="s">
        <v>3195</v>
      </c>
      <c r="O361" s="18"/>
      <c r="P361" s="18" t="e">
        <f t="shared" si="11"/>
        <v>#REF!</v>
      </c>
      <c r="Q361" s="19" t="e">
        <f>IF(R361=0,VLOOKUP(G361,#REF!, 3),R361)</f>
        <v>#REF!</v>
      </c>
      <c r="R361" s="13" t="e">
        <f>VLOOKUP(G361,#REF!, 5)</f>
        <v>#REF!</v>
      </c>
      <c r="S361" s="18" t="s">
        <v>18</v>
      </c>
      <c r="T361" s="43"/>
      <c r="AA361"/>
    </row>
    <row r="362" spans="1:27" ht="51.65" x14ac:dyDescent="0.2">
      <c r="A362" s="12" t="s">
        <v>1936</v>
      </c>
      <c r="B362" s="12" t="s">
        <v>1937</v>
      </c>
      <c r="C362" s="37" t="s">
        <v>1938</v>
      </c>
      <c r="D362" s="12" t="s">
        <v>1939</v>
      </c>
      <c r="E362" s="8" t="s">
        <v>1847</v>
      </c>
      <c r="F362" s="8" t="s">
        <v>103</v>
      </c>
      <c r="G362" s="8" t="str">
        <f t="shared" si="10"/>
        <v>S1-00492</v>
      </c>
      <c r="H362" s="52" t="e">
        <f>VLOOKUP(G362,#REF!, 2)</f>
        <v>#REF!</v>
      </c>
      <c r="I362" s="52" t="e">
        <f>VLOOKUP(G362,#REF!, 4)</f>
        <v>#REF!</v>
      </c>
      <c r="J362" s="22" t="s">
        <v>1940</v>
      </c>
      <c r="K362" s="22" t="s">
        <v>2345</v>
      </c>
      <c r="L362" s="18" t="s">
        <v>3196</v>
      </c>
      <c r="M362" s="18"/>
      <c r="N362" s="18" t="s">
        <v>3197</v>
      </c>
      <c r="O362" s="18"/>
      <c r="P362" s="18" t="e">
        <f t="shared" si="11"/>
        <v>#REF!</v>
      </c>
      <c r="Q362" s="19" t="e">
        <f>IF(R362=0,VLOOKUP(G362,#REF!, 3),R362)</f>
        <v>#REF!</v>
      </c>
      <c r="R362" s="13" t="e">
        <f>VLOOKUP(G362,#REF!, 5)</f>
        <v>#REF!</v>
      </c>
      <c r="S362" s="18" t="s">
        <v>18</v>
      </c>
      <c r="T362" s="43"/>
      <c r="AA362"/>
    </row>
    <row r="363" spans="1:27" ht="64.55" x14ac:dyDescent="0.2">
      <c r="A363" s="12" t="s">
        <v>1941</v>
      </c>
      <c r="B363" s="12" t="s">
        <v>1942</v>
      </c>
      <c r="C363" s="37" t="s">
        <v>1943</v>
      </c>
      <c r="D363" s="12" t="s">
        <v>1944</v>
      </c>
      <c r="E363" s="8" t="s">
        <v>1847</v>
      </c>
      <c r="F363" s="8" t="s">
        <v>601</v>
      </c>
      <c r="G363" s="8" t="str">
        <f t="shared" si="10"/>
        <v>S1-00493</v>
      </c>
      <c r="H363" s="52" t="e">
        <f>VLOOKUP(G363,#REF!, 2)</f>
        <v>#REF!</v>
      </c>
      <c r="I363" s="52" t="e">
        <f>VLOOKUP(G363,#REF!, 4)</f>
        <v>#REF!</v>
      </c>
      <c r="J363" s="22" t="s">
        <v>1945</v>
      </c>
      <c r="K363" s="22" t="s">
        <v>3168</v>
      </c>
      <c r="L363" s="18"/>
      <c r="M363" s="18"/>
      <c r="N363" s="18" t="s">
        <v>3198</v>
      </c>
      <c r="O363" s="18"/>
      <c r="P363" s="18" t="e">
        <f t="shared" si="11"/>
        <v>#REF!</v>
      </c>
      <c r="Q363" s="19" t="e">
        <f>IF(R363=0,VLOOKUP(G363,#REF!, 3),R363)</f>
        <v>#REF!</v>
      </c>
      <c r="R363" s="13" t="e">
        <f>VLOOKUP(G363,#REF!, 5)</f>
        <v>#REF!</v>
      </c>
      <c r="S363" s="18" t="s">
        <v>18</v>
      </c>
      <c r="T363" s="43"/>
      <c r="AA363"/>
    </row>
    <row r="364" spans="1:27" ht="51.65" x14ac:dyDescent="0.2">
      <c r="A364" s="12" t="s">
        <v>1946</v>
      </c>
      <c r="B364" s="12" t="s">
        <v>1947</v>
      </c>
      <c r="C364" s="37" t="s">
        <v>1948</v>
      </c>
      <c r="D364" s="12" t="s">
        <v>1949</v>
      </c>
      <c r="E364" s="8" t="s">
        <v>1950</v>
      </c>
      <c r="F364" s="8" t="s">
        <v>472</v>
      </c>
      <c r="G364" s="8" t="str">
        <f t="shared" si="10"/>
        <v>S1-00494</v>
      </c>
      <c r="H364" s="52" t="e">
        <f>VLOOKUP(G364,#REF!, 2)</f>
        <v>#REF!</v>
      </c>
      <c r="I364" s="52" t="e">
        <f>VLOOKUP(G364,#REF!, 4)</f>
        <v>#REF!</v>
      </c>
      <c r="J364" s="22" t="s">
        <v>1951</v>
      </c>
      <c r="K364" s="22" t="s">
        <v>3199</v>
      </c>
      <c r="L364" s="18" t="s">
        <v>3200</v>
      </c>
      <c r="M364" s="18"/>
      <c r="N364" s="18" t="s">
        <v>3201</v>
      </c>
      <c r="O364" s="18"/>
      <c r="P364" s="18" t="e">
        <f t="shared" si="11"/>
        <v>#REF!</v>
      </c>
      <c r="Q364" s="19" t="e">
        <f>IF(R364=0,VLOOKUP(G364,#REF!, 3),R364)</f>
        <v>#REF!</v>
      </c>
      <c r="R364" s="13" t="e">
        <f>VLOOKUP(G364,#REF!, 5)</f>
        <v>#REF!</v>
      </c>
      <c r="S364" s="18" t="s">
        <v>18</v>
      </c>
      <c r="T364" s="43"/>
      <c r="AA364"/>
    </row>
    <row r="365" spans="1:27" ht="90.35" x14ac:dyDescent="0.2">
      <c r="A365" s="12" t="s">
        <v>1946</v>
      </c>
      <c r="B365" s="12" t="s">
        <v>1952</v>
      </c>
      <c r="C365" s="37" t="s">
        <v>1953</v>
      </c>
      <c r="D365" s="12" t="s">
        <v>1954</v>
      </c>
      <c r="E365" s="8" t="s">
        <v>1950</v>
      </c>
      <c r="F365" s="8" t="s">
        <v>472</v>
      </c>
      <c r="G365" s="8" t="str">
        <f t="shared" si="10"/>
        <v>S1-00495</v>
      </c>
      <c r="H365" s="52" t="e">
        <f>VLOOKUP(G365,#REF!, 2)</f>
        <v>#REF!</v>
      </c>
      <c r="I365" s="52" t="e">
        <f>VLOOKUP(G365,#REF!, 4)</f>
        <v>#REF!</v>
      </c>
      <c r="J365" s="22" t="s">
        <v>1751</v>
      </c>
      <c r="K365" s="22" t="s">
        <v>2345</v>
      </c>
      <c r="L365" s="18" t="s">
        <v>3202</v>
      </c>
      <c r="M365" s="18"/>
      <c r="N365" s="18" t="s">
        <v>3203</v>
      </c>
      <c r="O365" s="18"/>
      <c r="P365" s="18" t="e">
        <f t="shared" si="11"/>
        <v>#REF!</v>
      </c>
      <c r="Q365" s="19" t="e">
        <f>IF(R365=0,VLOOKUP(G365,#REF!, 3),R365)</f>
        <v>#REF!</v>
      </c>
      <c r="R365" s="13" t="e">
        <f>VLOOKUP(G365,#REF!, 5)</f>
        <v>#REF!</v>
      </c>
      <c r="S365" s="18" t="s">
        <v>18</v>
      </c>
      <c r="T365" s="43"/>
      <c r="AA365"/>
    </row>
    <row r="366" spans="1:27" ht="142.15" customHeight="1" x14ac:dyDescent="0.2">
      <c r="A366" s="12" t="s">
        <v>1946</v>
      </c>
      <c r="B366" s="12" t="s">
        <v>1955</v>
      </c>
      <c r="C366" s="37" t="s">
        <v>1956</v>
      </c>
      <c r="D366" s="12" t="s">
        <v>3204</v>
      </c>
      <c r="E366" s="8" t="s">
        <v>1950</v>
      </c>
      <c r="F366" s="8" t="s">
        <v>472</v>
      </c>
      <c r="G366" s="8" t="str">
        <f t="shared" si="10"/>
        <v>S1-00496</v>
      </c>
      <c r="H366" s="52" t="e">
        <f>VLOOKUP(G366,#REF!, 2)</f>
        <v>#REF!</v>
      </c>
      <c r="I366" s="52" t="e">
        <f>VLOOKUP(G366,#REF!, 4)</f>
        <v>#REF!</v>
      </c>
      <c r="J366" s="22" t="s">
        <v>1958</v>
      </c>
      <c r="K366" s="22" t="s">
        <v>3205</v>
      </c>
      <c r="L366" s="18" t="s">
        <v>3206</v>
      </c>
      <c r="M366" s="18"/>
      <c r="N366" s="18" t="s">
        <v>3207</v>
      </c>
      <c r="O366" s="18"/>
      <c r="P366" s="18" t="e">
        <f t="shared" si="11"/>
        <v>#REF!</v>
      </c>
      <c r="Q366" s="19" t="e">
        <f>IF(R366=0,VLOOKUP(G366,#REF!, 3),R366)</f>
        <v>#REF!</v>
      </c>
      <c r="R366" s="13" t="e">
        <f>VLOOKUP(G366,#REF!, 5)</f>
        <v>#REF!</v>
      </c>
      <c r="S366" s="18" t="s">
        <v>18</v>
      </c>
      <c r="T366" s="43"/>
      <c r="AA366"/>
    </row>
    <row r="367" spans="1:27" ht="54" customHeight="1" x14ac:dyDescent="0.2">
      <c r="A367" s="12" t="s">
        <v>1959</v>
      </c>
      <c r="B367" s="12" t="s">
        <v>1960</v>
      </c>
      <c r="C367" s="37" t="s">
        <v>1961</v>
      </c>
      <c r="D367" s="12" t="s">
        <v>1962</v>
      </c>
      <c r="E367" s="8" t="s">
        <v>1950</v>
      </c>
      <c r="F367" s="8" t="s">
        <v>1963</v>
      </c>
      <c r="G367" s="8" t="str">
        <f t="shared" si="10"/>
        <v>S1-00497</v>
      </c>
      <c r="H367" s="52" t="e">
        <f>VLOOKUP(G367,#REF!, 2)</f>
        <v>#REF!</v>
      </c>
      <c r="I367" s="52" t="e">
        <f>VLOOKUP(G367,#REF!, 4)</f>
        <v>#REF!</v>
      </c>
      <c r="J367" s="22" t="s">
        <v>1964</v>
      </c>
      <c r="K367" s="22" t="s">
        <v>3208</v>
      </c>
      <c r="L367" s="18" t="s">
        <v>3209</v>
      </c>
      <c r="M367" s="18"/>
      <c r="N367" s="18" t="s">
        <v>3210</v>
      </c>
      <c r="O367" s="18"/>
      <c r="P367" s="18" t="e">
        <f t="shared" si="11"/>
        <v>#REF!</v>
      </c>
      <c r="Q367" s="19" t="e">
        <f>IF(R367=0,VLOOKUP(G367,#REF!, 3),R367)</f>
        <v>#REF!</v>
      </c>
      <c r="R367" s="13" t="e">
        <f>VLOOKUP(G367,#REF!, 5)</f>
        <v>#REF!</v>
      </c>
      <c r="S367" s="18" t="s">
        <v>18</v>
      </c>
      <c r="T367" s="43"/>
      <c r="AA367"/>
    </row>
    <row r="368" spans="1:27" ht="78.650000000000006" customHeight="1" x14ac:dyDescent="0.2">
      <c r="A368" s="12" t="s">
        <v>1965</v>
      </c>
      <c r="B368" s="12" t="s">
        <v>1966</v>
      </c>
      <c r="C368" s="37" t="s">
        <v>1967</v>
      </c>
      <c r="D368" s="12" t="s">
        <v>1968</v>
      </c>
      <c r="E368" s="8" t="s">
        <v>1950</v>
      </c>
      <c r="F368" s="8" t="s">
        <v>1969</v>
      </c>
      <c r="G368" s="8" t="str">
        <f t="shared" si="10"/>
        <v>S1-00498</v>
      </c>
      <c r="H368" s="52" t="e">
        <f>VLOOKUP(G368,#REF!, 2)</f>
        <v>#REF!</v>
      </c>
      <c r="I368" s="52" t="e">
        <f>VLOOKUP(G368,#REF!, 4)</f>
        <v>#REF!</v>
      </c>
      <c r="J368" s="22" t="s">
        <v>1970</v>
      </c>
      <c r="K368" s="22" t="s">
        <v>3211</v>
      </c>
      <c r="L368" s="18" t="s">
        <v>3212</v>
      </c>
      <c r="M368" s="18"/>
      <c r="N368" s="18" t="s">
        <v>3213</v>
      </c>
      <c r="O368" s="18"/>
      <c r="P368" s="18" t="e">
        <f t="shared" si="11"/>
        <v>#REF!</v>
      </c>
      <c r="Q368" s="19" t="e">
        <f>IF(R368=0,VLOOKUP(G368,#REF!, 3),R368)</f>
        <v>#REF!</v>
      </c>
      <c r="R368" s="13" t="e">
        <f>VLOOKUP(G368,#REF!, 5)</f>
        <v>#REF!</v>
      </c>
      <c r="S368" s="18" t="s">
        <v>18</v>
      </c>
      <c r="T368" s="43"/>
      <c r="AA368"/>
    </row>
    <row r="369" spans="1:27" ht="77.45" x14ac:dyDescent="0.2">
      <c r="A369" s="12" t="s">
        <v>1965</v>
      </c>
      <c r="B369" s="12" t="s">
        <v>1971</v>
      </c>
      <c r="C369" s="37" t="s">
        <v>1972</v>
      </c>
      <c r="D369" s="12" t="s">
        <v>1973</v>
      </c>
      <c r="E369" s="8" t="s">
        <v>1950</v>
      </c>
      <c r="F369" s="8" t="s">
        <v>1969</v>
      </c>
      <c r="G369" s="8" t="str">
        <f t="shared" si="10"/>
        <v>S1-00499</v>
      </c>
      <c r="H369" s="52" t="e">
        <f>VLOOKUP(G369,#REF!, 2)</f>
        <v>#REF!</v>
      </c>
      <c r="I369" s="52" t="e">
        <f>VLOOKUP(G369,#REF!, 4)</f>
        <v>#REF!</v>
      </c>
      <c r="J369" s="22" t="s">
        <v>1974</v>
      </c>
      <c r="K369" s="22" t="s">
        <v>3214</v>
      </c>
      <c r="L369" s="18" t="s">
        <v>3215</v>
      </c>
      <c r="M369" s="18"/>
      <c r="N369" s="18" t="s">
        <v>3216</v>
      </c>
      <c r="O369" s="18"/>
      <c r="P369" s="18" t="e">
        <f t="shared" si="11"/>
        <v>#REF!</v>
      </c>
      <c r="Q369" s="19" t="e">
        <f>IF(R369=0,VLOOKUP(G369,#REF!, 3),R369)</f>
        <v>#REF!</v>
      </c>
      <c r="R369" s="13" t="e">
        <f>VLOOKUP(G369,#REF!, 5)</f>
        <v>#REF!</v>
      </c>
      <c r="S369" s="18" t="s">
        <v>18</v>
      </c>
      <c r="T369" s="43"/>
      <c r="AA369"/>
    </row>
    <row r="370" spans="1:27" ht="129.6" customHeight="1" x14ac:dyDescent="0.2">
      <c r="A370" s="12" t="s">
        <v>1975</v>
      </c>
      <c r="B370" s="12" t="s">
        <v>1976</v>
      </c>
      <c r="C370" s="37" t="s">
        <v>1977</v>
      </c>
      <c r="D370" s="12" t="s">
        <v>1978</v>
      </c>
      <c r="E370" s="8" t="s">
        <v>1950</v>
      </c>
      <c r="F370" s="8" t="s">
        <v>1979</v>
      </c>
      <c r="G370" s="8" t="str">
        <f t="shared" si="10"/>
        <v>S1-00500</v>
      </c>
      <c r="H370" s="52" t="e">
        <f>VLOOKUP(G370,#REF!, 2)</f>
        <v>#REF!</v>
      </c>
      <c r="I370" s="52" t="e">
        <f>VLOOKUP(G370,#REF!, 4)</f>
        <v>#REF!</v>
      </c>
      <c r="J370" s="22" t="s">
        <v>1980</v>
      </c>
      <c r="K370" s="22" t="s">
        <v>3217</v>
      </c>
      <c r="L370" s="18" t="s">
        <v>3218</v>
      </c>
      <c r="M370" s="19" t="s">
        <v>3219</v>
      </c>
      <c r="N370" s="18" t="s">
        <v>3220</v>
      </c>
      <c r="O370" s="18"/>
      <c r="P370" s="18" t="e">
        <f t="shared" si="11"/>
        <v>#REF!</v>
      </c>
      <c r="Q370" s="19" t="e">
        <f>IF(R370=0,VLOOKUP(G370,#REF!, 3),R370)</f>
        <v>#REF!</v>
      </c>
      <c r="R370" s="13" t="e">
        <f>VLOOKUP(G370,#REF!, 5)</f>
        <v>#REF!</v>
      </c>
      <c r="S370" s="18" t="s">
        <v>18</v>
      </c>
      <c r="T370" s="43" t="s">
        <v>3221</v>
      </c>
      <c r="U370" s="4" t="s">
        <v>2321</v>
      </c>
      <c r="AA370"/>
    </row>
    <row r="371" spans="1:27" ht="165.6" customHeight="1" x14ac:dyDescent="0.2">
      <c r="A371" s="12" t="s">
        <v>1975</v>
      </c>
      <c r="B371" s="12" t="s">
        <v>1981</v>
      </c>
      <c r="C371" s="37" t="s">
        <v>1982</v>
      </c>
      <c r="D371" s="12" t="s">
        <v>1983</v>
      </c>
      <c r="E371" s="8" t="s">
        <v>1950</v>
      </c>
      <c r="F371" s="8" t="s">
        <v>1979</v>
      </c>
      <c r="G371" s="8" t="str">
        <f t="shared" si="10"/>
        <v>S1-00501</v>
      </c>
      <c r="H371" s="52" t="e">
        <f>VLOOKUP(G371,#REF!, 2)</f>
        <v>#REF!</v>
      </c>
      <c r="I371" s="52" t="e">
        <f>VLOOKUP(G371,#REF!, 4)</f>
        <v>#REF!</v>
      </c>
      <c r="J371" s="22" t="s">
        <v>1984</v>
      </c>
      <c r="K371" s="22" t="s">
        <v>3222</v>
      </c>
      <c r="L371" s="18" t="s">
        <v>3223</v>
      </c>
      <c r="M371" s="19" t="s">
        <v>3224</v>
      </c>
      <c r="N371" s="18" t="s">
        <v>3225</v>
      </c>
      <c r="O371" s="18"/>
      <c r="P371" s="18" t="e">
        <f t="shared" si="11"/>
        <v>#REF!</v>
      </c>
      <c r="Q371" s="19" t="e">
        <f>IF(R371=0,VLOOKUP(G371,#REF!, 3),R371)</f>
        <v>#REF!</v>
      </c>
      <c r="R371" s="13" t="e">
        <f>VLOOKUP(G371,#REF!, 5)</f>
        <v>#REF!</v>
      </c>
      <c r="S371" s="18" t="s">
        <v>18</v>
      </c>
      <c r="T371" s="43" t="s">
        <v>3226</v>
      </c>
      <c r="U371" s="4" t="s">
        <v>2299</v>
      </c>
      <c r="AA371"/>
    </row>
    <row r="372" spans="1:27" ht="227.75" customHeight="1" x14ac:dyDescent="0.2">
      <c r="A372" s="12" t="s">
        <v>1985</v>
      </c>
      <c r="B372" s="12" t="s">
        <v>1986</v>
      </c>
      <c r="C372" s="37" t="s">
        <v>1987</v>
      </c>
      <c r="D372" s="12" t="s">
        <v>1988</v>
      </c>
      <c r="E372" s="8" t="s">
        <v>1950</v>
      </c>
      <c r="F372" s="8" t="s">
        <v>1989</v>
      </c>
      <c r="G372" s="8" t="str">
        <f t="shared" si="10"/>
        <v>S1-00502</v>
      </c>
      <c r="H372" s="52" t="e">
        <f>VLOOKUP(G372,#REF!, 2)</f>
        <v>#REF!</v>
      </c>
      <c r="I372" s="52" t="e">
        <f>VLOOKUP(G372,#REF!, 4)</f>
        <v>#REF!</v>
      </c>
      <c r="J372" s="22" t="s">
        <v>1990</v>
      </c>
      <c r="K372" s="22" t="s">
        <v>3129</v>
      </c>
      <c r="L372" s="19" t="s">
        <v>3227</v>
      </c>
      <c r="M372" s="18" t="s">
        <v>3228</v>
      </c>
      <c r="N372" s="18" t="s">
        <v>3229</v>
      </c>
      <c r="O372" s="18"/>
      <c r="P372" s="18" t="e">
        <f t="shared" si="11"/>
        <v>#REF!</v>
      </c>
      <c r="Q372" s="19" t="e">
        <f>IF(R372=0,VLOOKUP(G372,#REF!, 3),R372)</f>
        <v>#REF!</v>
      </c>
      <c r="R372" s="13" t="e">
        <f>VLOOKUP(G372,#REF!, 5)</f>
        <v>#REF!</v>
      </c>
      <c r="S372" s="18" t="s">
        <v>18</v>
      </c>
      <c r="T372" s="43" t="s">
        <v>3230</v>
      </c>
      <c r="U372" s="4" t="s">
        <v>2299</v>
      </c>
      <c r="W372" s="4" t="s">
        <v>3048</v>
      </c>
      <c r="AA372"/>
    </row>
    <row r="373" spans="1:27" ht="74.75" customHeight="1" x14ac:dyDescent="0.2">
      <c r="A373" s="12" t="s">
        <v>1985</v>
      </c>
      <c r="B373" s="12" t="s">
        <v>1991</v>
      </c>
      <c r="C373" s="37" t="s">
        <v>1992</v>
      </c>
      <c r="D373" s="12" t="s">
        <v>1993</v>
      </c>
      <c r="E373" s="8" t="s">
        <v>1950</v>
      </c>
      <c r="F373" s="8" t="s">
        <v>1989</v>
      </c>
      <c r="G373" s="8" t="str">
        <f t="shared" si="10"/>
        <v>S1-00503</v>
      </c>
      <c r="H373" s="52" t="e">
        <f>VLOOKUP(G373,#REF!, 2)</f>
        <v>#REF!</v>
      </c>
      <c r="I373" s="52" t="e">
        <f>VLOOKUP(G373,#REF!, 4)</f>
        <v>#REF!</v>
      </c>
      <c r="J373" s="22" t="s">
        <v>1994</v>
      </c>
      <c r="K373" s="22" t="s">
        <v>3231</v>
      </c>
      <c r="L373" s="18" t="s">
        <v>3232</v>
      </c>
      <c r="M373" s="18"/>
      <c r="N373" s="18" t="s">
        <v>3233</v>
      </c>
      <c r="O373" s="18" t="s">
        <v>2297</v>
      </c>
      <c r="P373" s="18" t="e">
        <f t="shared" si="11"/>
        <v>#REF!</v>
      </c>
      <c r="Q373" s="19" t="e">
        <f>IF(R373=0,VLOOKUP(G373,#REF!, 3),R373)</f>
        <v>#REF!</v>
      </c>
      <c r="R373" s="13" t="e">
        <f>VLOOKUP(G373,#REF!, 5)</f>
        <v>#REF!</v>
      </c>
      <c r="S373" s="18" t="s">
        <v>18</v>
      </c>
      <c r="T373" s="43"/>
      <c r="AA373"/>
    </row>
    <row r="374" spans="1:27" ht="219.4" x14ac:dyDescent="0.2">
      <c r="A374" s="12" t="s">
        <v>1995</v>
      </c>
      <c r="B374" s="12" t="s">
        <v>1996</v>
      </c>
      <c r="C374" s="37" t="s">
        <v>1997</v>
      </c>
      <c r="D374" s="12" t="s">
        <v>1998</v>
      </c>
      <c r="E374" s="8" t="s">
        <v>1950</v>
      </c>
      <c r="F374" s="8" t="s">
        <v>1999</v>
      </c>
      <c r="G374" s="8" t="str">
        <f t="shared" si="10"/>
        <v>S1-00504</v>
      </c>
      <c r="H374" s="52" t="e">
        <f>VLOOKUP(G374,#REF!, 2)</f>
        <v>#REF!</v>
      </c>
      <c r="I374" s="52" t="e">
        <f>VLOOKUP(G374,#REF!, 4)</f>
        <v>#REF!</v>
      </c>
      <c r="J374" s="22" t="s">
        <v>2000</v>
      </c>
      <c r="K374" s="22" t="s">
        <v>3234</v>
      </c>
      <c r="L374" s="18" t="s">
        <v>3235</v>
      </c>
      <c r="M374" s="18"/>
      <c r="N374" s="18" t="s">
        <v>3236</v>
      </c>
      <c r="O374" s="18"/>
      <c r="P374" s="18" t="e">
        <f t="shared" si="11"/>
        <v>#REF!</v>
      </c>
      <c r="Q374" s="19" t="e">
        <f>IF(R374=0,VLOOKUP(G374,#REF!, 3),R374)</f>
        <v>#REF!</v>
      </c>
      <c r="R374" s="13" t="e">
        <f>VLOOKUP(G374,#REF!, 5)</f>
        <v>#REF!</v>
      </c>
      <c r="S374" s="18" t="s">
        <v>18</v>
      </c>
      <c r="T374" s="43"/>
      <c r="AA374"/>
    </row>
    <row r="375" spans="1:27" ht="167.8" x14ac:dyDescent="0.2">
      <c r="A375" s="12" t="s">
        <v>2001</v>
      </c>
      <c r="B375" s="12" t="s">
        <v>2002</v>
      </c>
      <c r="C375" s="37" t="s">
        <v>2003</v>
      </c>
      <c r="D375" s="12" t="s">
        <v>2004</v>
      </c>
      <c r="E375" s="8" t="s">
        <v>1950</v>
      </c>
      <c r="F375" s="8" t="s">
        <v>90</v>
      </c>
      <c r="G375" s="8" t="str">
        <f t="shared" si="10"/>
        <v>S1-00505</v>
      </c>
      <c r="H375" s="52" t="e">
        <f>VLOOKUP(G375,#REF!, 2)</f>
        <v>#REF!</v>
      </c>
      <c r="I375" s="52" t="e">
        <f>VLOOKUP(G375,#REF!, 4)</f>
        <v>#REF!</v>
      </c>
      <c r="J375" s="22" t="s">
        <v>2005</v>
      </c>
      <c r="K375" s="22" t="s">
        <v>3129</v>
      </c>
      <c r="L375" s="19" t="s">
        <v>3237</v>
      </c>
      <c r="M375" s="18" t="s">
        <v>3238</v>
      </c>
      <c r="N375" s="18" t="s">
        <v>3239</v>
      </c>
      <c r="O375" s="18"/>
      <c r="P375" s="18" t="e">
        <f t="shared" si="11"/>
        <v>#REF!</v>
      </c>
      <c r="Q375" s="19" t="e">
        <f>IF(R375=0,VLOOKUP(G375,#REF!, 3),R375)</f>
        <v>#REF!</v>
      </c>
      <c r="R375" s="13" t="e">
        <f>VLOOKUP(G375,#REF!, 5)</f>
        <v>#REF!</v>
      </c>
      <c r="S375" s="18" t="s">
        <v>18</v>
      </c>
      <c r="T375" s="43" t="s">
        <v>3230</v>
      </c>
      <c r="U375" s="4" t="s">
        <v>2299</v>
      </c>
      <c r="W375" s="4" t="s">
        <v>3048</v>
      </c>
      <c r="AA375"/>
    </row>
    <row r="376" spans="1:27" ht="77.45" x14ac:dyDescent="0.2">
      <c r="A376" s="12" t="s">
        <v>2006</v>
      </c>
      <c r="B376" s="12" t="s">
        <v>2007</v>
      </c>
      <c r="C376" s="37" t="s">
        <v>2008</v>
      </c>
      <c r="D376" s="12" t="s">
        <v>2009</v>
      </c>
      <c r="E376" s="8" t="s">
        <v>1950</v>
      </c>
      <c r="F376" s="8" t="s">
        <v>103</v>
      </c>
      <c r="G376" s="8" t="str">
        <f t="shared" si="10"/>
        <v>S1-00506</v>
      </c>
      <c r="H376" s="52" t="e">
        <f>VLOOKUP(G376,#REF!, 2)</f>
        <v>#REF!</v>
      </c>
      <c r="I376" s="52" t="e">
        <f>VLOOKUP(G376,#REF!, 4)</f>
        <v>#REF!</v>
      </c>
      <c r="J376" s="22" t="s">
        <v>2010</v>
      </c>
      <c r="K376" s="22" t="s">
        <v>3240</v>
      </c>
      <c r="L376" s="18" t="s">
        <v>3241</v>
      </c>
      <c r="M376" s="18"/>
      <c r="N376" s="18" t="s">
        <v>3242</v>
      </c>
      <c r="O376" s="18"/>
      <c r="P376" s="18" t="e">
        <f t="shared" si="11"/>
        <v>#REF!</v>
      </c>
      <c r="Q376" s="19" t="e">
        <f>IF(R376=0,VLOOKUP(G376,#REF!, 3),R376)</f>
        <v>#REF!</v>
      </c>
      <c r="R376" s="13" t="e">
        <f>VLOOKUP(G376,#REF!, 5)</f>
        <v>#REF!</v>
      </c>
      <c r="S376" s="18" t="s">
        <v>18</v>
      </c>
      <c r="T376" s="43"/>
      <c r="AA376"/>
    </row>
    <row r="377" spans="1:27" ht="196.15" customHeight="1" x14ac:dyDescent="0.2">
      <c r="A377" s="12" t="s">
        <v>2011</v>
      </c>
      <c r="B377" s="12" t="s">
        <v>2012</v>
      </c>
      <c r="C377" s="37" t="s">
        <v>2013</v>
      </c>
      <c r="D377" s="12" t="s">
        <v>2014</v>
      </c>
      <c r="E377" s="8" t="s">
        <v>1950</v>
      </c>
      <c r="F377" s="8" t="s">
        <v>2015</v>
      </c>
      <c r="G377" s="8" t="str">
        <f t="shared" si="10"/>
        <v>S1-00507</v>
      </c>
      <c r="H377" s="52" t="e">
        <f>VLOOKUP(G377,#REF!, 2)</f>
        <v>#REF!</v>
      </c>
      <c r="I377" s="52" t="e">
        <f>VLOOKUP(G377,#REF!, 4)</f>
        <v>#REF!</v>
      </c>
      <c r="J377" s="22" t="s">
        <v>2016</v>
      </c>
      <c r="K377" s="22" t="s">
        <v>3243</v>
      </c>
      <c r="L377" s="18" t="s">
        <v>3244</v>
      </c>
      <c r="M377" s="18"/>
      <c r="N377" s="18" t="s">
        <v>3245</v>
      </c>
      <c r="O377" s="18" t="s">
        <v>2297</v>
      </c>
      <c r="P377" s="18" t="e">
        <f t="shared" si="11"/>
        <v>#REF!</v>
      </c>
      <c r="Q377" s="19" t="e">
        <f>IF(R377=0,VLOOKUP(G377,#REF!, 3),R377)</f>
        <v>#REF!</v>
      </c>
      <c r="R377" s="13" t="e">
        <f>VLOOKUP(G377,#REF!, 5)</f>
        <v>#REF!</v>
      </c>
      <c r="S377" s="18" t="s">
        <v>18</v>
      </c>
      <c r="T377" s="43"/>
      <c r="AA377"/>
    </row>
    <row r="378" spans="1:27" ht="63" customHeight="1" x14ac:dyDescent="0.2">
      <c r="A378" s="12" t="s">
        <v>2017</v>
      </c>
      <c r="B378" s="12" t="s">
        <v>2018</v>
      </c>
      <c r="C378" s="37" t="s">
        <v>2019</v>
      </c>
      <c r="D378" s="12" t="s">
        <v>2020</v>
      </c>
      <c r="E378" s="8" t="s">
        <v>1950</v>
      </c>
      <c r="F378" s="8" t="s">
        <v>59</v>
      </c>
      <c r="G378" s="8" t="str">
        <f t="shared" si="10"/>
        <v>S1-00508</v>
      </c>
      <c r="H378" s="52" t="e">
        <f>VLOOKUP(G378,#REF!, 2)</f>
        <v>#REF!</v>
      </c>
      <c r="I378" s="52" t="e">
        <f>VLOOKUP(G378,#REF!, 4)</f>
        <v>#REF!</v>
      </c>
      <c r="J378" s="22" t="s">
        <v>2021</v>
      </c>
      <c r="K378" s="22" t="s">
        <v>3246</v>
      </c>
      <c r="L378" s="18" t="s">
        <v>3247</v>
      </c>
      <c r="M378" s="18"/>
      <c r="N378" s="18" t="s">
        <v>3248</v>
      </c>
      <c r="O378" s="18"/>
      <c r="P378" s="18" t="e">
        <f t="shared" si="11"/>
        <v>#REF!</v>
      </c>
      <c r="Q378" s="19" t="e">
        <f>IF(R378=0,VLOOKUP(G378,#REF!, 3),R378)</f>
        <v>#REF!</v>
      </c>
      <c r="R378" s="13" t="e">
        <f>VLOOKUP(G378,#REF!, 5)</f>
        <v>#REF!</v>
      </c>
      <c r="S378" s="18" t="s">
        <v>18</v>
      </c>
      <c r="T378" s="43"/>
      <c r="AA378"/>
    </row>
    <row r="379" spans="1:27" ht="38.75" x14ac:dyDescent="0.2">
      <c r="A379" s="12" t="s">
        <v>2022</v>
      </c>
      <c r="B379" s="12" t="s">
        <v>2023</v>
      </c>
      <c r="C379" s="37" t="s">
        <v>2024</v>
      </c>
      <c r="D379" s="12" t="s">
        <v>2025</v>
      </c>
      <c r="E379" s="8" t="s">
        <v>1950</v>
      </c>
      <c r="F379" s="8" t="s">
        <v>2026</v>
      </c>
      <c r="G379" s="8" t="str">
        <f t="shared" si="10"/>
        <v>S1-00509</v>
      </c>
      <c r="H379" s="52" t="e">
        <f>VLOOKUP(G379,#REF!, 2)</f>
        <v>#REF!</v>
      </c>
      <c r="I379" s="52" t="e">
        <f>VLOOKUP(G379,#REF!, 4)</f>
        <v>#REF!</v>
      </c>
      <c r="J379" s="22" t="s">
        <v>2027</v>
      </c>
      <c r="K379" s="22" t="s">
        <v>3246</v>
      </c>
      <c r="L379" s="18" t="s">
        <v>3249</v>
      </c>
      <c r="M379" s="18"/>
      <c r="N379" s="18" t="s">
        <v>3250</v>
      </c>
      <c r="O379" s="18"/>
      <c r="P379" s="18" t="e">
        <f t="shared" si="11"/>
        <v>#REF!</v>
      </c>
      <c r="Q379" s="19" t="e">
        <f>IF(R379=0,VLOOKUP(G379,#REF!, 3),R379)</f>
        <v>#REF!</v>
      </c>
      <c r="R379" s="13" t="e">
        <f>VLOOKUP(G379,#REF!, 5)</f>
        <v>#REF!</v>
      </c>
      <c r="S379" s="18" t="s">
        <v>18</v>
      </c>
      <c r="T379" s="43"/>
      <c r="AA379"/>
    </row>
    <row r="380" spans="1:27" ht="51.65" x14ac:dyDescent="0.2">
      <c r="A380" s="12" t="s">
        <v>2028</v>
      </c>
      <c r="B380" s="12" t="s">
        <v>2029</v>
      </c>
      <c r="C380" s="37" t="s">
        <v>2030</v>
      </c>
      <c r="D380" s="12" t="s">
        <v>2031</v>
      </c>
      <c r="E380" s="8" t="s">
        <v>1950</v>
      </c>
      <c r="F380" s="8" t="s">
        <v>2032</v>
      </c>
      <c r="G380" s="8" t="str">
        <f t="shared" si="10"/>
        <v>S1-00510</v>
      </c>
      <c r="H380" s="52" t="e">
        <f>VLOOKUP(G380,#REF!, 2)</f>
        <v>#REF!</v>
      </c>
      <c r="I380" s="52" t="e">
        <f>VLOOKUP(G380,#REF!, 4)</f>
        <v>#REF!</v>
      </c>
      <c r="J380" s="22" t="s">
        <v>2033</v>
      </c>
      <c r="K380" s="22" t="s">
        <v>3246</v>
      </c>
      <c r="L380" s="18" t="s">
        <v>3247</v>
      </c>
      <c r="M380" s="18"/>
      <c r="N380" s="18" t="s">
        <v>3251</v>
      </c>
      <c r="O380" s="18"/>
      <c r="P380" s="18" t="e">
        <f t="shared" si="11"/>
        <v>#REF!</v>
      </c>
      <c r="Q380" s="19" t="e">
        <f>IF(R380=0,VLOOKUP(G380,#REF!, 3),R380)</f>
        <v>#REF!</v>
      </c>
      <c r="R380" s="13" t="e">
        <f>VLOOKUP(G380,#REF!, 5)</f>
        <v>#REF!</v>
      </c>
      <c r="S380" s="18" t="s">
        <v>18</v>
      </c>
      <c r="T380" s="43"/>
      <c r="AA380"/>
    </row>
    <row r="381" spans="1:27" ht="103.25" x14ac:dyDescent="0.2">
      <c r="A381" s="12" t="s">
        <v>2034</v>
      </c>
      <c r="B381" s="12" t="s">
        <v>2035</v>
      </c>
      <c r="C381" s="37" t="s">
        <v>2036</v>
      </c>
      <c r="D381" s="12" t="s">
        <v>2037</v>
      </c>
      <c r="E381" s="8" t="s">
        <v>1950</v>
      </c>
      <c r="F381" s="8" t="s">
        <v>2038</v>
      </c>
      <c r="G381" s="8" t="str">
        <f t="shared" si="10"/>
        <v>S1-00511</v>
      </c>
      <c r="H381" s="52" t="e">
        <f>VLOOKUP(G381,#REF!, 2)</f>
        <v>#REF!</v>
      </c>
      <c r="I381" s="52" t="e">
        <f>VLOOKUP(G381,#REF!, 4)</f>
        <v>#REF!</v>
      </c>
      <c r="J381" s="22" t="s">
        <v>2039</v>
      </c>
      <c r="K381" s="22" t="s">
        <v>3252</v>
      </c>
      <c r="L381" s="18" t="s">
        <v>3253</v>
      </c>
      <c r="M381" s="18"/>
      <c r="N381" s="18" t="s">
        <v>3254</v>
      </c>
      <c r="O381" s="18"/>
      <c r="P381" s="18" t="e">
        <f t="shared" si="11"/>
        <v>#REF!</v>
      </c>
      <c r="Q381" s="19" t="e">
        <f>IF(R381=0,VLOOKUP(G381,#REF!, 3),R381)</f>
        <v>#REF!</v>
      </c>
      <c r="R381" s="13" t="e">
        <f>VLOOKUP(G381,#REF!, 5)</f>
        <v>#REF!</v>
      </c>
      <c r="S381" s="18" t="s">
        <v>18</v>
      </c>
      <c r="T381" s="43"/>
      <c r="AA381"/>
    </row>
    <row r="382" spans="1:27" ht="283.95" x14ac:dyDescent="0.2">
      <c r="A382" s="12" t="s">
        <v>2040</v>
      </c>
      <c r="B382" s="12" t="s">
        <v>2041</v>
      </c>
      <c r="C382" s="37" t="s">
        <v>2042</v>
      </c>
      <c r="D382" s="12" t="s">
        <v>2043</v>
      </c>
      <c r="E382" s="8" t="s">
        <v>1950</v>
      </c>
      <c r="F382" s="8" t="s">
        <v>2044</v>
      </c>
      <c r="G382" s="8" t="str">
        <f t="shared" si="10"/>
        <v>S1-00512</v>
      </c>
      <c r="H382" s="52" t="e">
        <f>VLOOKUP(G382,#REF!, 2)</f>
        <v>#REF!</v>
      </c>
      <c r="I382" s="52" t="e">
        <f>VLOOKUP(G382,#REF!, 4)</f>
        <v>#REF!</v>
      </c>
      <c r="J382" s="22" t="s">
        <v>2045</v>
      </c>
      <c r="K382" s="22" t="s">
        <v>3255</v>
      </c>
      <c r="L382" s="18" t="s">
        <v>3256</v>
      </c>
      <c r="M382" s="18"/>
      <c r="N382" s="18" t="s">
        <v>3257</v>
      </c>
      <c r="O382" s="18" t="s">
        <v>2297</v>
      </c>
      <c r="P382" s="18" t="e">
        <f t="shared" si="11"/>
        <v>#REF!</v>
      </c>
      <c r="Q382" s="19" t="e">
        <f>IF(R382=0,VLOOKUP(G382,#REF!, 3),R382)</f>
        <v>#REF!</v>
      </c>
      <c r="R382" s="13" t="e">
        <f>VLOOKUP(G382,#REF!, 5)</f>
        <v>#REF!</v>
      </c>
      <c r="S382" s="18" t="s">
        <v>18</v>
      </c>
      <c r="T382" s="43"/>
      <c r="AA382"/>
    </row>
    <row r="383" spans="1:27" ht="136.9" customHeight="1" x14ac:dyDescent="0.2">
      <c r="A383" s="12" t="s">
        <v>2040</v>
      </c>
      <c r="B383" s="12" t="s">
        <v>2046</v>
      </c>
      <c r="C383" s="37" t="s">
        <v>2047</v>
      </c>
      <c r="D383" s="12" t="s">
        <v>2048</v>
      </c>
      <c r="E383" s="8" t="s">
        <v>1950</v>
      </c>
      <c r="F383" s="8" t="s">
        <v>2044</v>
      </c>
      <c r="G383" s="8" t="str">
        <f t="shared" si="10"/>
        <v>S1-00569</v>
      </c>
      <c r="H383" s="52" t="e">
        <f>VLOOKUP(G383,#REF!, 2)</f>
        <v>#REF!</v>
      </c>
      <c r="I383" s="52" t="e">
        <f>VLOOKUP(G383,#REF!, 4)</f>
        <v>#REF!</v>
      </c>
      <c r="J383" s="22" t="s">
        <v>2049</v>
      </c>
      <c r="K383" s="22" t="s">
        <v>3258</v>
      </c>
      <c r="L383" s="18" t="s">
        <v>3259</v>
      </c>
      <c r="M383" s="18" t="s">
        <v>3260</v>
      </c>
      <c r="N383" s="18" t="s">
        <v>3261</v>
      </c>
      <c r="O383" s="18"/>
      <c r="P383" s="18" t="e">
        <f t="shared" si="11"/>
        <v>#REF!</v>
      </c>
      <c r="Q383" s="19" t="e">
        <f>IF(R383=0,VLOOKUP(G383,#REF!, 3),R383)</f>
        <v>#REF!</v>
      </c>
      <c r="R383" s="13" t="e">
        <f>VLOOKUP(G383,#REF!, 5)</f>
        <v>#REF!</v>
      </c>
      <c r="S383" s="18" t="s">
        <v>18</v>
      </c>
      <c r="T383" s="43" t="s">
        <v>3262</v>
      </c>
      <c r="U383" s="4" t="s">
        <v>2299</v>
      </c>
      <c r="AA383"/>
    </row>
    <row r="384" spans="1:27" ht="142" x14ac:dyDescent="0.2">
      <c r="A384" s="12" t="s">
        <v>2050</v>
      </c>
      <c r="B384" s="12" t="s">
        <v>2051</v>
      </c>
      <c r="C384" s="37" t="s">
        <v>2052</v>
      </c>
      <c r="D384" s="12" t="s">
        <v>3263</v>
      </c>
      <c r="E384" s="8" t="s">
        <v>1950</v>
      </c>
      <c r="F384" s="8" t="s">
        <v>2054</v>
      </c>
      <c r="G384" s="8" t="str">
        <f t="shared" si="10"/>
        <v>S1-00513</v>
      </c>
      <c r="H384" s="52" t="e">
        <f>VLOOKUP(G384,#REF!, 2)</f>
        <v>#REF!</v>
      </c>
      <c r="I384" s="52" t="e">
        <f>VLOOKUP(G384,#REF!, 4)</f>
        <v>#REF!</v>
      </c>
      <c r="J384" s="22" t="s">
        <v>2055</v>
      </c>
      <c r="K384" s="22" t="s">
        <v>3264</v>
      </c>
      <c r="L384" s="18" t="s">
        <v>3265</v>
      </c>
      <c r="M384" s="18"/>
      <c r="N384" s="18" t="s">
        <v>3266</v>
      </c>
      <c r="O384" s="18" t="s">
        <v>2297</v>
      </c>
      <c r="P384" s="18" t="e">
        <f t="shared" si="11"/>
        <v>#REF!</v>
      </c>
      <c r="Q384" s="19" t="e">
        <f>IF(R384=0,VLOOKUP(G384,#REF!, 3),R384)</f>
        <v>#REF!</v>
      </c>
      <c r="R384" s="13" t="e">
        <f>VLOOKUP(G384,#REF!, 5)</f>
        <v>#REF!</v>
      </c>
      <c r="S384" s="18" t="s">
        <v>18</v>
      </c>
      <c r="T384" s="43"/>
      <c r="AA384"/>
    </row>
    <row r="385" spans="1:27" ht="264.60000000000002" customHeight="1" x14ac:dyDescent="0.2">
      <c r="A385" s="12" t="s">
        <v>2050</v>
      </c>
      <c r="B385" s="12" t="s">
        <v>2056</v>
      </c>
      <c r="C385" s="37" t="s">
        <v>2057</v>
      </c>
      <c r="D385" s="12" t="s">
        <v>2058</v>
      </c>
      <c r="E385" s="8" t="s">
        <v>1950</v>
      </c>
      <c r="F385" s="8" t="s">
        <v>2054</v>
      </c>
      <c r="G385" s="8" t="str">
        <f t="shared" si="10"/>
        <v>S1-00514</v>
      </c>
      <c r="H385" s="52" t="e">
        <f>VLOOKUP(G385,#REF!, 2)</f>
        <v>#REF!</v>
      </c>
      <c r="I385" s="52" t="e">
        <f>VLOOKUP(G385,#REF!, 4)</f>
        <v>#REF!</v>
      </c>
      <c r="J385" s="22" t="s">
        <v>661</v>
      </c>
      <c r="K385" s="22" t="s">
        <v>3267</v>
      </c>
      <c r="L385" s="18" t="s">
        <v>3268</v>
      </c>
      <c r="M385" s="18" t="s">
        <v>3269</v>
      </c>
      <c r="N385" s="18" t="s">
        <v>3270</v>
      </c>
      <c r="O385" s="18" t="s">
        <v>2297</v>
      </c>
      <c r="P385" s="18" t="e">
        <f t="shared" si="11"/>
        <v>#REF!</v>
      </c>
      <c r="Q385" s="19" t="e">
        <f>IF(R385=0,VLOOKUP(G385,#REF!, 3),R385)</f>
        <v>#REF!</v>
      </c>
      <c r="R385" s="13" t="e">
        <f>VLOOKUP(G385,#REF!, 5)</f>
        <v>#REF!</v>
      </c>
      <c r="S385" s="18" t="s">
        <v>18</v>
      </c>
      <c r="T385" s="43" t="s">
        <v>3271</v>
      </c>
      <c r="U385" s="4" t="s">
        <v>2299</v>
      </c>
      <c r="AA385"/>
    </row>
    <row r="386" spans="1:27" ht="38.75" x14ac:dyDescent="0.2">
      <c r="A386" s="12" t="s">
        <v>2059</v>
      </c>
      <c r="B386" s="12" t="s">
        <v>2060</v>
      </c>
      <c r="C386" s="37" t="s">
        <v>2061</v>
      </c>
      <c r="D386" s="12" t="s">
        <v>2062</v>
      </c>
      <c r="E386" s="8" t="s">
        <v>1950</v>
      </c>
      <c r="F386" s="8" t="s">
        <v>2063</v>
      </c>
      <c r="G386" s="8" t="str">
        <f t="shared" si="10"/>
        <v>S1-00515</v>
      </c>
      <c r="H386" s="52" t="e">
        <f>VLOOKUP(G386,#REF!, 2)</f>
        <v>#REF!</v>
      </c>
      <c r="I386" s="52" t="e">
        <f>VLOOKUP(G386,#REF!, 4)</f>
        <v>#REF!</v>
      </c>
      <c r="J386" s="22" t="s">
        <v>2064</v>
      </c>
      <c r="K386" s="22" t="s">
        <v>3272</v>
      </c>
      <c r="L386" s="18" t="s">
        <v>3273</v>
      </c>
      <c r="M386" s="18"/>
      <c r="N386" s="18" t="s">
        <v>3274</v>
      </c>
      <c r="O386" s="18" t="s">
        <v>2297</v>
      </c>
      <c r="P386" s="18" t="e">
        <f t="shared" si="11"/>
        <v>#REF!</v>
      </c>
      <c r="Q386" s="19" t="e">
        <f>IF(R386=0,VLOOKUP(G386,#REF!, 3),R386)</f>
        <v>#REF!</v>
      </c>
      <c r="R386" s="13" t="e">
        <f>VLOOKUP(G386,#REF!, 5)</f>
        <v>#REF!</v>
      </c>
      <c r="S386" s="18" t="s">
        <v>18</v>
      </c>
      <c r="T386" s="43"/>
      <c r="AA386"/>
    </row>
    <row r="387" spans="1:27" ht="38.75" x14ac:dyDescent="0.2">
      <c r="A387" s="12" t="s">
        <v>2065</v>
      </c>
      <c r="B387" s="12" t="s">
        <v>2066</v>
      </c>
      <c r="C387" s="37" t="s">
        <v>2067</v>
      </c>
      <c r="D387" s="12" t="s">
        <v>2068</v>
      </c>
      <c r="E387" s="8" t="s">
        <v>1950</v>
      </c>
      <c r="F387" s="8" t="s">
        <v>2069</v>
      </c>
      <c r="G387" s="8" t="str">
        <f t="shared" ref="G387:G427" si="12">SUBSTITUTE(B387,"BRDP-","")</f>
        <v>S1-00516</v>
      </c>
      <c r="H387" s="52" t="e">
        <f>VLOOKUP(G387,#REF!, 2)</f>
        <v>#REF!</v>
      </c>
      <c r="I387" s="52" t="e">
        <f>VLOOKUP(G387,#REF!, 4)</f>
        <v>#REF!</v>
      </c>
      <c r="J387" s="22" t="s">
        <v>2070</v>
      </c>
      <c r="K387" s="22" t="s">
        <v>3275</v>
      </c>
      <c r="L387" s="18" t="s">
        <v>3276</v>
      </c>
      <c r="M387" s="18"/>
      <c r="N387" s="18" t="s">
        <v>3277</v>
      </c>
      <c r="O387" s="18" t="s">
        <v>2297</v>
      </c>
      <c r="P387" s="18" t="e">
        <f t="shared" ref="P387:P428" si="13">IF(Q387=0,"",Q387)</f>
        <v>#REF!</v>
      </c>
      <c r="Q387" s="19" t="e">
        <f>IF(R387=0,VLOOKUP(G387,#REF!, 3),R387)</f>
        <v>#REF!</v>
      </c>
      <c r="R387" s="13" t="e">
        <f>VLOOKUP(G387,#REF!, 5)</f>
        <v>#REF!</v>
      </c>
      <c r="S387" s="18" t="s">
        <v>18</v>
      </c>
      <c r="T387" s="43"/>
      <c r="AA387"/>
    </row>
    <row r="388" spans="1:27" ht="94.95" customHeight="1" x14ac:dyDescent="0.2">
      <c r="A388" s="12" t="s">
        <v>2071</v>
      </c>
      <c r="B388" s="12" t="s">
        <v>2072</v>
      </c>
      <c r="C388" s="37" t="s">
        <v>2073</v>
      </c>
      <c r="D388" s="12" t="s">
        <v>2074</v>
      </c>
      <c r="E388" s="8" t="s">
        <v>1950</v>
      </c>
      <c r="F388" s="8" t="s">
        <v>2075</v>
      </c>
      <c r="G388" s="8" t="str">
        <f t="shared" si="12"/>
        <v>S1-00517</v>
      </c>
      <c r="H388" s="52" t="e">
        <f>VLOOKUP(G388,#REF!, 2)</f>
        <v>#REF!</v>
      </c>
      <c r="I388" s="52" t="e">
        <f>VLOOKUP(G388,#REF!, 4)</f>
        <v>#REF!</v>
      </c>
      <c r="J388" s="22" t="s">
        <v>2076</v>
      </c>
      <c r="K388" s="22" t="s">
        <v>3278</v>
      </c>
      <c r="L388" s="18" t="s">
        <v>3279</v>
      </c>
      <c r="M388" s="18"/>
      <c r="N388" s="18" t="s">
        <v>3280</v>
      </c>
      <c r="O388" s="18"/>
      <c r="P388" s="18" t="e">
        <f t="shared" si="13"/>
        <v>#REF!</v>
      </c>
      <c r="Q388" s="19" t="e">
        <f>IF(R388=0,VLOOKUP(G388,#REF!, 3),R388)</f>
        <v>#REF!</v>
      </c>
      <c r="R388" s="13" t="e">
        <f>VLOOKUP(G388,#REF!, 5)</f>
        <v>#REF!</v>
      </c>
      <c r="S388" s="18" t="s">
        <v>18</v>
      </c>
      <c r="T388" s="43"/>
      <c r="AA388"/>
    </row>
    <row r="389" spans="1:27" ht="252" customHeight="1" x14ac:dyDescent="0.2">
      <c r="A389" s="12" t="s">
        <v>2071</v>
      </c>
      <c r="B389" s="12" t="s">
        <v>2077</v>
      </c>
      <c r="C389" s="37" t="s">
        <v>2078</v>
      </c>
      <c r="D389" s="12" t="s">
        <v>2079</v>
      </c>
      <c r="E389" s="8" t="s">
        <v>1950</v>
      </c>
      <c r="F389" s="8" t="s">
        <v>2075</v>
      </c>
      <c r="G389" s="8" t="str">
        <f t="shared" si="12"/>
        <v>S1-00518</v>
      </c>
      <c r="H389" s="52" t="e">
        <f>VLOOKUP(G389,#REF!, 2)</f>
        <v>#REF!</v>
      </c>
      <c r="I389" s="52" t="e">
        <f>VLOOKUP(G389,#REF!, 4)</f>
        <v>#REF!</v>
      </c>
      <c r="J389" s="22" t="s">
        <v>2080</v>
      </c>
      <c r="K389" s="22" t="s">
        <v>3281</v>
      </c>
      <c r="L389" s="18" t="s">
        <v>3282</v>
      </c>
      <c r="M389" s="18"/>
      <c r="N389" s="18" t="s">
        <v>3283</v>
      </c>
      <c r="O389" s="18"/>
      <c r="P389" s="18" t="e">
        <f t="shared" si="13"/>
        <v>#REF!</v>
      </c>
      <c r="Q389" s="19" t="e">
        <f>IF(R389=0,VLOOKUP(G389,#REF!, 3),R389)</f>
        <v>#REF!</v>
      </c>
      <c r="R389" s="13" t="e">
        <f>VLOOKUP(G389,#REF!, 5)</f>
        <v>#REF!</v>
      </c>
      <c r="S389" s="18" t="s">
        <v>18</v>
      </c>
      <c r="T389" s="43"/>
      <c r="AA389"/>
    </row>
    <row r="390" spans="1:27" ht="38.75" x14ac:dyDescent="0.2">
      <c r="A390" s="12" t="s">
        <v>2071</v>
      </c>
      <c r="B390" s="12" t="s">
        <v>2081</v>
      </c>
      <c r="C390" s="37" t="s">
        <v>2082</v>
      </c>
      <c r="D390" s="12" t="s">
        <v>2083</v>
      </c>
      <c r="E390" s="8" t="s">
        <v>1950</v>
      </c>
      <c r="F390" s="8" t="s">
        <v>2075</v>
      </c>
      <c r="G390" s="8" t="str">
        <f t="shared" si="12"/>
        <v>S1-00519</v>
      </c>
      <c r="H390" s="52" t="e">
        <f>VLOOKUP(G390,#REF!, 2)</f>
        <v>#REF!</v>
      </c>
      <c r="I390" s="52" t="e">
        <f>VLOOKUP(G390,#REF!, 4)</f>
        <v>#REF!</v>
      </c>
      <c r="J390" s="22" t="s">
        <v>2084</v>
      </c>
      <c r="K390" s="22" t="s">
        <v>3284</v>
      </c>
      <c r="L390" s="18" t="s">
        <v>3285</v>
      </c>
      <c r="M390" s="18"/>
      <c r="N390" s="18" t="s">
        <v>3286</v>
      </c>
      <c r="O390" s="18"/>
      <c r="P390" s="18" t="e">
        <f t="shared" si="13"/>
        <v>#REF!</v>
      </c>
      <c r="Q390" s="19" t="e">
        <f>IF(R390=0,VLOOKUP(G390,#REF!, 3),R390)</f>
        <v>#REF!</v>
      </c>
      <c r="R390" s="13" t="e">
        <f>VLOOKUP(G390,#REF!, 5)</f>
        <v>#REF!</v>
      </c>
      <c r="S390" s="18" t="s">
        <v>18</v>
      </c>
      <c r="T390" s="43"/>
      <c r="AA390"/>
    </row>
    <row r="391" spans="1:27" ht="309.75" x14ac:dyDescent="0.2">
      <c r="A391" s="12" t="s">
        <v>2085</v>
      </c>
      <c r="B391" s="12" t="s">
        <v>2086</v>
      </c>
      <c r="C391" s="37" t="s">
        <v>680</v>
      </c>
      <c r="D391" s="12" t="s">
        <v>3287</v>
      </c>
      <c r="E391" s="8" t="s">
        <v>1950</v>
      </c>
      <c r="F391" s="8" t="s">
        <v>2087</v>
      </c>
      <c r="G391" s="8" t="str">
        <f t="shared" si="12"/>
        <v>S1-00570</v>
      </c>
      <c r="H391" s="52" t="e">
        <f>VLOOKUP(G391,#REF!, 2)</f>
        <v>#REF!</v>
      </c>
      <c r="I391" s="52" t="e">
        <f>VLOOKUP(G391,#REF!, 4)</f>
        <v>#REF!</v>
      </c>
      <c r="J391" s="22" t="s">
        <v>3288</v>
      </c>
      <c r="K391" s="22" t="s">
        <v>2644</v>
      </c>
      <c r="L391" s="18" t="s">
        <v>3289</v>
      </c>
      <c r="M391" s="19" t="s">
        <v>3290</v>
      </c>
      <c r="N391" s="18"/>
      <c r="O391" s="18"/>
      <c r="P391" s="18" t="e">
        <f t="shared" si="13"/>
        <v>#REF!</v>
      </c>
      <c r="Q391" s="19" t="e">
        <f>IF(R391=0,VLOOKUP(G391,#REF!, 3),R391)</f>
        <v>#REF!</v>
      </c>
      <c r="R391" s="13" t="e">
        <f>VLOOKUP(G391,#REF!, 5)</f>
        <v>#REF!</v>
      </c>
      <c r="S391" s="18" t="s">
        <v>18</v>
      </c>
      <c r="T391" s="43" t="s">
        <v>3291</v>
      </c>
      <c r="U391" s="4" t="s">
        <v>2299</v>
      </c>
      <c r="AA391"/>
    </row>
    <row r="392" spans="1:27" ht="38.75" x14ac:dyDescent="0.2">
      <c r="A392" s="12" t="s">
        <v>2089</v>
      </c>
      <c r="B392" s="12" t="s">
        <v>2090</v>
      </c>
      <c r="C392" s="37" t="s">
        <v>2091</v>
      </c>
      <c r="D392" s="12" t="s">
        <v>2092</v>
      </c>
      <c r="E392" s="8" t="s">
        <v>1950</v>
      </c>
      <c r="F392" s="8" t="s">
        <v>2093</v>
      </c>
      <c r="G392" s="8" t="str">
        <f t="shared" si="12"/>
        <v>S1-00520</v>
      </c>
      <c r="H392" s="52" t="e">
        <f>VLOOKUP(G392,#REF!, 2)</f>
        <v>#REF!</v>
      </c>
      <c r="I392" s="52" t="e">
        <f>VLOOKUP(G392,#REF!, 4)</f>
        <v>#REF!</v>
      </c>
      <c r="J392" s="22" t="s">
        <v>2094</v>
      </c>
      <c r="K392" s="22" t="s">
        <v>3292</v>
      </c>
      <c r="L392" s="18" t="s">
        <v>3293</v>
      </c>
      <c r="M392" s="18"/>
      <c r="N392" s="18" t="s">
        <v>3294</v>
      </c>
      <c r="O392" s="18"/>
      <c r="P392" s="18" t="e">
        <f t="shared" si="13"/>
        <v>#REF!</v>
      </c>
      <c r="Q392" s="19" t="e">
        <f>IF(R392=0,VLOOKUP(G392,#REF!, 3),R392)</f>
        <v>#REF!</v>
      </c>
      <c r="R392" s="13" t="e">
        <f>VLOOKUP(G392,#REF!, 5)</f>
        <v>#REF!</v>
      </c>
      <c r="S392" s="18" t="s">
        <v>18</v>
      </c>
      <c r="T392" s="43"/>
      <c r="AA392"/>
    </row>
    <row r="393" spans="1:27" ht="77.45" x14ac:dyDescent="0.2">
      <c r="A393" s="12" t="s">
        <v>2089</v>
      </c>
      <c r="B393" s="12" t="s">
        <v>2095</v>
      </c>
      <c r="C393" s="37" t="s">
        <v>2096</v>
      </c>
      <c r="D393" s="12" t="s">
        <v>2097</v>
      </c>
      <c r="E393" s="8" t="s">
        <v>1950</v>
      </c>
      <c r="F393" s="8" t="s">
        <v>2093</v>
      </c>
      <c r="G393" s="8" t="str">
        <f t="shared" si="12"/>
        <v>S1-00521</v>
      </c>
      <c r="H393" s="52" t="e">
        <f>VLOOKUP(G393,#REF!, 2)</f>
        <v>#REF!</v>
      </c>
      <c r="I393" s="52" t="e">
        <f>VLOOKUP(G393,#REF!, 4)</f>
        <v>#REF!</v>
      </c>
      <c r="J393" s="22" t="s">
        <v>2098</v>
      </c>
      <c r="K393" s="22" t="s">
        <v>3292</v>
      </c>
      <c r="L393" s="18" t="s">
        <v>3295</v>
      </c>
      <c r="M393" s="18"/>
      <c r="N393" s="18" t="s">
        <v>3296</v>
      </c>
      <c r="O393" s="18" t="s">
        <v>2297</v>
      </c>
      <c r="P393" s="18" t="e">
        <f t="shared" si="13"/>
        <v>#REF!</v>
      </c>
      <c r="Q393" s="19" t="e">
        <f>IF(R393=0,VLOOKUP(G393,#REF!, 3),R393)</f>
        <v>#REF!</v>
      </c>
      <c r="R393" s="13" t="e">
        <f>VLOOKUP(G393,#REF!, 5)</f>
        <v>#REF!</v>
      </c>
      <c r="S393" s="18" t="s">
        <v>18</v>
      </c>
      <c r="T393" s="43"/>
      <c r="AA393"/>
    </row>
    <row r="394" spans="1:27" ht="64.55" x14ac:dyDescent="0.2">
      <c r="A394" s="12" t="s">
        <v>2089</v>
      </c>
      <c r="B394" s="12" t="s">
        <v>2099</v>
      </c>
      <c r="C394" s="37" t="s">
        <v>2100</v>
      </c>
      <c r="D394" s="12" t="s">
        <v>2101</v>
      </c>
      <c r="E394" s="8" t="s">
        <v>1950</v>
      </c>
      <c r="F394" s="8" t="s">
        <v>2093</v>
      </c>
      <c r="G394" s="8" t="str">
        <f t="shared" si="12"/>
        <v>S1-00522</v>
      </c>
      <c r="H394" s="52" t="e">
        <f>VLOOKUP(G394,#REF!, 2)</f>
        <v>#REF!</v>
      </c>
      <c r="I394" s="52" t="e">
        <f>VLOOKUP(G394,#REF!, 4)</f>
        <v>#REF!</v>
      </c>
      <c r="J394" s="22" t="s">
        <v>2102</v>
      </c>
      <c r="K394" s="22" t="s">
        <v>3292</v>
      </c>
      <c r="L394" s="18" t="s">
        <v>3297</v>
      </c>
      <c r="M394" s="18"/>
      <c r="N394" s="18" t="s">
        <v>3298</v>
      </c>
      <c r="O394" s="18"/>
      <c r="P394" s="18" t="e">
        <f t="shared" si="13"/>
        <v>#REF!</v>
      </c>
      <c r="Q394" s="19" t="e">
        <f>IF(R394=0,VLOOKUP(G394,#REF!, 3),R394)</f>
        <v>#REF!</v>
      </c>
      <c r="R394" s="13" t="e">
        <f>VLOOKUP(G394,#REF!, 5)</f>
        <v>#REF!</v>
      </c>
      <c r="S394" s="18" t="s">
        <v>18</v>
      </c>
      <c r="T394" s="43"/>
      <c r="AA394"/>
    </row>
    <row r="395" spans="1:27" ht="103.25" x14ac:dyDescent="0.2">
      <c r="A395" s="12" t="s">
        <v>2103</v>
      </c>
      <c r="B395" s="12" t="s">
        <v>2104</v>
      </c>
      <c r="C395" s="37" t="s">
        <v>2105</v>
      </c>
      <c r="D395" s="12" t="s">
        <v>3299</v>
      </c>
      <c r="E395" s="8" t="s">
        <v>1950</v>
      </c>
      <c r="F395" s="8" t="s">
        <v>2107</v>
      </c>
      <c r="G395" s="8" t="str">
        <f t="shared" si="12"/>
        <v>S1-00523</v>
      </c>
      <c r="H395" s="52" t="e">
        <f>VLOOKUP(G395,#REF!, 2)</f>
        <v>#REF!</v>
      </c>
      <c r="I395" s="52" t="e">
        <f>VLOOKUP(G395,#REF!, 4)</f>
        <v>#REF!</v>
      </c>
      <c r="J395" s="22" t="s">
        <v>2108</v>
      </c>
      <c r="K395" s="22" t="s">
        <v>3300</v>
      </c>
      <c r="L395" s="18" t="s">
        <v>3301</v>
      </c>
      <c r="M395" s="18"/>
      <c r="N395" s="18" t="s">
        <v>3302</v>
      </c>
      <c r="O395" s="18" t="s">
        <v>2297</v>
      </c>
      <c r="P395" s="18" t="e">
        <f t="shared" si="13"/>
        <v>#REF!</v>
      </c>
      <c r="Q395" s="19" t="e">
        <f>IF(R395=0,VLOOKUP(G395,#REF!, 3),R395)</f>
        <v>#REF!</v>
      </c>
      <c r="R395" s="13" t="e">
        <f>VLOOKUP(G395,#REF!, 5)</f>
        <v>#REF!</v>
      </c>
      <c r="S395" s="18" t="s">
        <v>18</v>
      </c>
      <c r="T395" s="43"/>
      <c r="AA395"/>
    </row>
    <row r="396" spans="1:27" ht="233.5" customHeight="1" x14ac:dyDescent="0.2">
      <c r="A396" s="12" t="s">
        <v>2109</v>
      </c>
      <c r="B396" s="12" t="s">
        <v>2110</v>
      </c>
      <c r="C396" s="37" t="s">
        <v>2111</v>
      </c>
      <c r="D396" s="12" t="s">
        <v>2112</v>
      </c>
      <c r="E396" s="8" t="s">
        <v>1950</v>
      </c>
      <c r="F396" s="8" t="s">
        <v>2113</v>
      </c>
      <c r="G396" s="8" t="str">
        <f t="shared" si="12"/>
        <v>S1-00097</v>
      </c>
      <c r="H396" s="52" t="e">
        <f>VLOOKUP(G396,#REF!, 2)</f>
        <v>#REF!</v>
      </c>
      <c r="I396" s="52" t="e">
        <f>VLOOKUP(G396,#REF!, 4)</f>
        <v>#REF!</v>
      </c>
      <c r="J396" s="22" t="s">
        <v>2114</v>
      </c>
      <c r="K396" s="22" t="s">
        <v>2495</v>
      </c>
      <c r="L396" s="18" t="s">
        <v>3303</v>
      </c>
      <c r="M396" s="18"/>
      <c r="N396" s="18" t="s">
        <v>3304</v>
      </c>
      <c r="O396" s="18" t="s">
        <v>2297</v>
      </c>
      <c r="P396" s="18" t="e">
        <f t="shared" si="13"/>
        <v>#REF!</v>
      </c>
      <c r="Q396" s="19" t="e">
        <f>IF(R396=0,VLOOKUP(G396,#REF!, 3),R396)</f>
        <v>#REF!</v>
      </c>
      <c r="R396" s="13" t="e">
        <f>VLOOKUP(G396,#REF!, 5)</f>
        <v>#REF!</v>
      </c>
      <c r="S396" s="18" t="s">
        <v>18</v>
      </c>
      <c r="T396" s="43"/>
      <c r="AA396"/>
    </row>
    <row r="397" spans="1:27" ht="51.65" x14ac:dyDescent="0.2">
      <c r="A397" s="12" t="s">
        <v>2109</v>
      </c>
      <c r="B397" s="12" t="s">
        <v>2115</v>
      </c>
      <c r="C397" s="37" t="s">
        <v>2116</v>
      </c>
      <c r="D397" s="12" t="s">
        <v>2117</v>
      </c>
      <c r="E397" s="8" t="s">
        <v>1950</v>
      </c>
      <c r="F397" s="8" t="s">
        <v>2113</v>
      </c>
      <c r="G397" s="8" t="str">
        <f t="shared" si="12"/>
        <v>S1-00524</v>
      </c>
      <c r="H397" s="52" t="e">
        <f>VLOOKUP(G397,#REF!, 2)</f>
        <v>#REF!</v>
      </c>
      <c r="I397" s="52" t="e">
        <f>VLOOKUP(G397,#REF!, 4)</f>
        <v>#REF!</v>
      </c>
      <c r="J397" s="22" t="s">
        <v>2118</v>
      </c>
      <c r="K397" s="22" t="s">
        <v>3305</v>
      </c>
      <c r="L397" s="18" t="s">
        <v>3306</v>
      </c>
      <c r="M397" s="18"/>
      <c r="N397" s="18" t="s">
        <v>3307</v>
      </c>
      <c r="O397" s="18" t="s">
        <v>2297</v>
      </c>
      <c r="P397" s="18" t="e">
        <f t="shared" si="13"/>
        <v>#REF!</v>
      </c>
      <c r="Q397" s="19" t="e">
        <f>IF(R397=0,VLOOKUP(G397,#REF!, 3),R397)</f>
        <v>#REF!</v>
      </c>
      <c r="R397" s="13" t="e">
        <f>VLOOKUP(G397,#REF!, 5)</f>
        <v>#REF!</v>
      </c>
      <c r="S397" s="18" t="s">
        <v>18</v>
      </c>
      <c r="T397" s="43"/>
      <c r="AA397"/>
    </row>
    <row r="398" spans="1:27" ht="99" customHeight="1" x14ac:dyDescent="0.2">
      <c r="A398" s="12" t="s">
        <v>2119</v>
      </c>
      <c r="B398" s="12" t="s">
        <v>2120</v>
      </c>
      <c r="C398" s="37" t="s">
        <v>2121</v>
      </c>
      <c r="D398" s="12" t="s">
        <v>2122</v>
      </c>
      <c r="E398" s="8" t="s">
        <v>1950</v>
      </c>
      <c r="F398" s="8" t="s">
        <v>2123</v>
      </c>
      <c r="G398" s="8" t="str">
        <f t="shared" si="12"/>
        <v>S1-00525</v>
      </c>
      <c r="H398" s="52" t="e">
        <f>VLOOKUP(G398,#REF!, 2)</f>
        <v>#REF!</v>
      </c>
      <c r="I398" s="52" t="e">
        <f>VLOOKUP(G398,#REF!, 4)</f>
        <v>#REF!</v>
      </c>
      <c r="J398" s="22" t="s">
        <v>2124</v>
      </c>
      <c r="K398" s="22" t="s">
        <v>3308</v>
      </c>
      <c r="L398" s="18" t="s">
        <v>3309</v>
      </c>
      <c r="M398" s="18"/>
      <c r="N398" s="18"/>
      <c r="O398" s="18"/>
      <c r="P398" s="18" t="e">
        <f t="shared" si="13"/>
        <v>#REF!</v>
      </c>
      <c r="Q398" s="19" t="e">
        <f>IF(R398=0,VLOOKUP(G398,#REF!, 3),R398)</f>
        <v>#REF!</v>
      </c>
      <c r="R398" s="13" t="e">
        <f>VLOOKUP(G398,#REF!, 5)</f>
        <v>#REF!</v>
      </c>
      <c r="S398" s="18" t="s">
        <v>18</v>
      </c>
      <c r="T398" s="43"/>
      <c r="AA398"/>
    </row>
    <row r="399" spans="1:27" ht="120.25" customHeight="1" x14ac:dyDescent="0.2">
      <c r="A399" s="12" t="s">
        <v>2125</v>
      </c>
      <c r="B399" s="12" t="s">
        <v>2126</v>
      </c>
      <c r="C399" s="37" t="s">
        <v>2127</v>
      </c>
      <c r="D399" s="12" t="s">
        <v>2128</v>
      </c>
      <c r="E399" s="8" t="s">
        <v>1950</v>
      </c>
      <c r="F399" s="8" t="s">
        <v>2129</v>
      </c>
      <c r="G399" s="8" t="str">
        <f t="shared" si="12"/>
        <v>S1-00526</v>
      </c>
      <c r="H399" s="52" t="e">
        <f>VLOOKUP(G399,#REF!, 2)</f>
        <v>#REF!</v>
      </c>
      <c r="I399" s="52" t="e">
        <f>VLOOKUP(G399,#REF!, 4)</f>
        <v>#REF!</v>
      </c>
      <c r="J399" s="22" t="s">
        <v>2124</v>
      </c>
      <c r="K399" s="22" t="s">
        <v>3310</v>
      </c>
      <c r="L399" s="18" t="s">
        <v>3311</v>
      </c>
      <c r="M399" s="19" t="s">
        <v>3312</v>
      </c>
      <c r="N399" s="18" t="s">
        <v>3313</v>
      </c>
      <c r="O399" s="18"/>
      <c r="P399" s="18" t="e">
        <f t="shared" si="13"/>
        <v>#REF!</v>
      </c>
      <c r="Q399" s="19" t="e">
        <f>IF(R399=0,VLOOKUP(G399,#REF!, 3),R399)</f>
        <v>#REF!</v>
      </c>
      <c r="R399" s="13" t="e">
        <f>VLOOKUP(G399,#REF!, 5)</f>
        <v>#REF!</v>
      </c>
      <c r="S399" s="18" t="s">
        <v>18</v>
      </c>
      <c r="T399" s="43" t="s">
        <v>3314</v>
      </c>
      <c r="U399" s="4" t="s">
        <v>2321</v>
      </c>
      <c r="AA399"/>
    </row>
    <row r="400" spans="1:27" ht="129.1" x14ac:dyDescent="0.2">
      <c r="A400" s="12" t="s">
        <v>2130</v>
      </c>
      <c r="B400" s="12" t="s">
        <v>2131</v>
      </c>
      <c r="C400" s="37" t="s">
        <v>2132</v>
      </c>
      <c r="D400" s="12" t="s">
        <v>2133</v>
      </c>
      <c r="E400" s="8" t="s">
        <v>2134</v>
      </c>
      <c r="F400" s="8" t="s">
        <v>153</v>
      </c>
      <c r="G400" s="8" t="str">
        <f t="shared" si="12"/>
        <v>S1-00527</v>
      </c>
      <c r="H400" s="52" t="e">
        <f>VLOOKUP(G400,#REF!, 2)</f>
        <v>#REF!</v>
      </c>
      <c r="I400" s="52" t="e">
        <f>VLOOKUP(G400,#REF!, 4)</f>
        <v>#REF!</v>
      </c>
      <c r="J400" s="22" t="s">
        <v>2135</v>
      </c>
      <c r="K400" s="22" t="s">
        <v>3315</v>
      </c>
      <c r="L400" s="18" t="s">
        <v>3316</v>
      </c>
      <c r="M400" s="19" t="s">
        <v>3317</v>
      </c>
      <c r="N400" s="18" t="s">
        <v>3318</v>
      </c>
      <c r="O400" s="18" t="s">
        <v>2297</v>
      </c>
      <c r="P400" s="18" t="e">
        <f t="shared" si="13"/>
        <v>#REF!</v>
      </c>
      <c r="Q400" s="19" t="e">
        <f>IF(R400=0,VLOOKUP(G400,#REF!, 3),R400)</f>
        <v>#REF!</v>
      </c>
      <c r="R400" s="13" t="e">
        <f>VLOOKUP(G400,#REF!, 5)</f>
        <v>#REF!</v>
      </c>
      <c r="S400" s="18" t="s">
        <v>18</v>
      </c>
      <c r="T400" s="43" t="s">
        <v>3319</v>
      </c>
      <c r="U400" s="4" t="s">
        <v>2299</v>
      </c>
      <c r="AA400"/>
    </row>
    <row r="401" spans="1:27" ht="148.1" customHeight="1" x14ac:dyDescent="0.2">
      <c r="A401" s="12" t="s">
        <v>2130</v>
      </c>
      <c r="B401" s="12" t="s">
        <v>2136</v>
      </c>
      <c r="C401" s="37" t="s">
        <v>2137</v>
      </c>
      <c r="D401" s="12" t="s">
        <v>2138</v>
      </c>
      <c r="E401" s="8" t="s">
        <v>2134</v>
      </c>
      <c r="F401" s="8" t="s">
        <v>153</v>
      </c>
      <c r="G401" s="8" t="str">
        <f t="shared" si="12"/>
        <v>S1-00528</v>
      </c>
      <c r="H401" s="52" t="e">
        <f>VLOOKUP(G401,#REF!, 2)</f>
        <v>#REF!</v>
      </c>
      <c r="I401" s="52" t="e">
        <f>VLOOKUP(G401,#REF!, 4)</f>
        <v>#REF!</v>
      </c>
      <c r="J401" s="22" t="s">
        <v>2139</v>
      </c>
      <c r="K401" s="22" t="s">
        <v>3320</v>
      </c>
      <c r="L401" s="18" t="s">
        <v>3321</v>
      </c>
      <c r="M401" s="19"/>
      <c r="N401" s="18" t="s">
        <v>3322</v>
      </c>
      <c r="O401" s="18" t="s">
        <v>2331</v>
      </c>
      <c r="P401" s="18" t="e">
        <f t="shared" si="13"/>
        <v>#REF!</v>
      </c>
      <c r="Q401" s="19" t="e">
        <f>IF(R401=0,VLOOKUP(G401,#REF!, 3),R401)</f>
        <v>#REF!</v>
      </c>
      <c r="R401" s="13" t="e">
        <f>VLOOKUP(G401,#REF!, 5)</f>
        <v>#REF!</v>
      </c>
      <c r="S401" s="18" t="s">
        <v>18</v>
      </c>
      <c r="T401" s="43"/>
      <c r="AA401"/>
    </row>
    <row r="402" spans="1:27" ht="156.25" customHeight="1" x14ac:dyDescent="0.2">
      <c r="A402" s="12" t="s">
        <v>2140</v>
      </c>
      <c r="B402" s="12" t="s">
        <v>2141</v>
      </c>
      <c r="C402" s="37" t="s">
        <v>2142</v>
      </c>
      <c r="D402" s="12" t="s">
        <v>2143</v>
      </c>
      <c r="E402" s="8" t="s">
        <v>2134</v>
      </c>
      <c r="F402" s="8" t="s">
        <v>246</v>
      </c>
      <c r="G402" s="8" t="str">
        <f t="shared" si="12"/>
        <v>S1-00529</v>
      </c>
      <c r="H402" s="52" t="e">
        <f>VLOOKUP(G402,#REF!, 2)</f>
        <v>#REF!</v>
      </c>
      <c r="I402" s="52" t="e">
        <f>VLOOKUP(G402,#REF!, 4)</f>
        <v>#REF!</v>
      </c>
      <c r="J402" s="22" t="s">
        <v>2144</v>
      </c>
      <c r="K402" s="22" t="s">
        <v>3323</v>
      </c>
      <c r="L402" s="18" t="s">
        <v>3324</v>
      </c>
      <c r="M402" s="19" t="s">
        <v>3325</v>
      </c>
      <c r="N402" s="18" t="s">
        <v>3326</v>
      </c>
      <c r="O402" s="18" t="s">
        <v>2297</v>
      </c>
      <c r="P402" s="18" t="e">
        <f t="shared" si="13"/>
        <v>#REF!</v>
      </c>
      <c r="Q402" s="19" t="e">
        <f>IF(R402=0,VLOOKUP(G402,#REF!, 3),R402)</f>
        <v>#REF!</v>
      </c>
      <c r="R402" s="13" t="e">
        <f>VLOOKUP(G402,#REF!, 5)</f>
        <v>#REF!</v>
      </c>
      <c r="S402" s="18" t="s">
        <v>18</v>
      </c>
      <c r="T402" s="43" t="s">
        <v>3327</v>
      </c>
      <c r="U402" s="4" t="s">
        <v>2321</v>
      </c>
      <c r="AA402"/>
    </row>
    <row r="403" spans="1:27" ht="131.94999999999999" customHeight="1" x14ac:dyDescent="0.2">
      <c r="A403" s="12" t="s">
        <v>2140</v>
      </c>
      <c r="B403" s="12" t="s">
        <v>2145</v>
      </c>
      <c r="C403" s="37" t="s">
        <v>2146</v>
      </c>
      <c r="D403" s="12" t="s">
        <v>2147</v>
      </c>
      <c r="E403" s="8" t="s">
        <v>2134</v>
      </c>
      <c r="F403" s="8" t="s">
        <v>246</v>
      </c>
      <c r="G403" s="8" t="str">
        <f t="shared" si="12"/>
        <v>S1-00571</v>
      </c>
      <c r="H403" s="52" t="e">
        <f>VLOOKUP(G403,#REF!, 2)</f>
        <v>#REF!</v>
      </c>
      <c r="I403" s="52" t="e">
        <f>VLOOKUP(G403,#REF!, 4)</f>
        <v>#REF!</v>
      </c>
      <c r="J403" s="22" t="s">
        <v>2148</v>
      </c>
      <c r="K403" s="22" t="s">
        <v>3310</v>
      </c>
      <c r="L403" s="18" t="s">
        <v>3328</v>
      </c>
      <c r="M403" s="19" t="s">
        <v>3329</v>
      </c>
      <c r="N403" s="18" t="s">
        <v>3330</v>
      </c>
      <c r="O403" s="18"/>
      <c r="P403" s="18" t="e">
        <f t="shared" si="13"/>
        <v>#REF!</v>
      </c>
      <c r="Q403" s="19" t="e">
        <f>IF(R403=0,VLOOKUP(G403,#REF!, 3),R403)</f>
        <v>#REF!</v>
      </c>
      <c r="R403" s="13" t="e">
        <f>VLOOKUP(G403,#REF!, 5)</f>
        <v>#REF!</v>
      </c>
      <c r="S403" s="18" t="s">
        <v>18</v>
      </c>
      <c r="T403" s="43" t="s">
        <v>3331</v>
      </c>
      <c r="U403" s="4" t="s">
        <v>2299</v>
      </c>
      <c r="AA403"/>
    </row>
    <row r="404" spans="1:27" ht="77.45" x14ac:dyDescent="0.2">
      <c r="A404" s="12" t="s">
        <v>2149</v>
      </c>
      <c r="B404" s="12" t="s">
        <v>2150</v>
      </c>
      <c r="C404" s="37" t="s">
        <v>2151</v>
      </c>
      <c r="D404" s="12" t="s">
        <v>2152</v>
      </c>
      <c r="E404" s="8" t="s">
        <v>2134</v>
      </c>
      <c r="F404" s="8" t="s">
        <v>90</v>
      </c>
      <c r="G404" s="8" t="str">
        <f t="shared" si="12"/>
        <v>S1-00530</v>
      </c>
      <c r="H404" s="52" t="e">
        <f>VLOOKUP(G404,#REF!, 2)</f>
        <v>#REF!</v>
      </c>
      <c r="I404" s="52" t="e">
        <f>VLOOKUP(G404,#REF!, 4)</f>
        <v>#REF!</v>
      </c>
      <c r="J404" s="22" t="s">
        <v>2153</v>
      </c>
      <c r="K404" s="22" t="s">
        <v>3332</v>
      </c>
      <c r="L404" s="18" t="s">
        <v>3333</v>
      </c>
      <c r="M404" s="18" t="s">
        <v>3334</v>
      </c>
      <c r="N404" s="18" t="s">
        <v>3335</v>
      </c>
      <c r="O404" s="18" t="s">
        <v>2297</v>
      </c>
      <c r="P404" s="18" t="e">
        <f t="shared" si="13"/>
        <v>#REF!</v>
      </c>
      <c r="Q404" s="19" t="e">
        <f>IF(R404=0,VLOOKUP(G404,#REF!, 3),R404)</f>
        <v>#REF!</v>
      </c>
      <c r="R404" s="13" t="e">
        <f>VLOOKUP(G404,#REF!, 5)</f>
        <v>#REF!</v>
      </c>
      <c r="S404" s="18" t="s">
        <v>18</v>
      </c>
      <c r="T404" s="43" t="s">
        <v>3336</v>
      </c>
      <c r="AA404"/>
    </row>
    <row r="405" spans="1:27" ht="118.2" customHeight="1" x14ac:dyDescent="0.2">
      <c r="A405" s="12" t="s">
        <v>2154</v>
      </c>
      <c r="B405" s="12" t="s">
        <v>2155</v>
      </c>
      <c r="C405" s="37" t="s">
        <v>2156</v>
      </c>
      <c r="D405" s="12" t="s">
        <v>2157</v>
      </c>
      <c r="E405" s="8" t="s">
        <v>2134</v>
      </c>
      <c r="F405" s="8" t="s">
        <v>103</v>
      </c>
      <c r="G405" s="8" t="str">
        <f t="shared" si="12"/>
        <v>S1-00531</v>
      </c>
      <c r="H405" s="52" t="e">
        <f>VLOOKUP(G405,#REF!, 2)</f>
        <v>#REF!</v>
      </c>
      <c r="I405" s="52" t="e">
        <f>VLOOKUP(G405,#REF!, 4)</f>
        <v>#REF!</v>
      </c>
      <c r="J405" s="22" t="s">
        <v>2158</v>
      </c>
      <c r="K405" s="22" t="s">
        <v>3337</v>
      </c>
      <c r="L405" s="18" t="s">
        <v>3338</v>
      </c>
      <c r="M405" s="18"/>
      <c r="N405" s="18" t="s">
        <v>3339</v>
      </c>
      <c r="O405" s="18" t="s">
        <v>2297</v>
      </c>
      <c r="P405" s="18" t="e">
        <f t="shared" si="13"/>
        <v>#REF!</v>
      </c>
      <c r="Q405" s="19" t="e">
        <f>IF(R405=0,VLOOKUP(G405,#REF!, 3),R405)</f>
        <v>#REF!</v>
      </c>
      <c r="R405" s="13" t="e">
        <f>VLOOKUP(G405,#REF!, 5)</f>
        <v>#REF!</v>
      </c>
      <c r="S405" s="18" t="s">
        <v>18</v>
      </c>
      <c r="T405" s="43"/>
      <c r="AA405"/>
    </row>
    <row r="406" spans="1:27" ht="212.45" customHeight="1" x14ac:dyDescent="0.2">
      <c r="A406" s="12" t="s">
        <v>2159</v>
      </c>
      <c r="B406" s="12" t="s">
        <v>2160</v>
      </c>
      <c r="C406" s="37" t="s">
        <v>2161</v>
      </c>
      <c r="D406" s="12" t="s">
        <v>2162</v>
      </c>
      <c r="E406" s="8" t="s">
        <v>2134</v>
      </c>
      <c r="F406" s="8" t="s">
        <v>414</v>
      </c>
      <c r="G406" s="8" t="str">
        <f t="shared" si="12"/>
        <v>S1-00532</v>
      </c>
      <c r="H406" s="52" t="e">
        <f>VLOOKUP(G406,#REF!, 2)</f>
        <v>#REF!</v>
      </c>
      <c r="I406" s="52" t="e">
        <f>VLOOKUP(G406,#REF!, 4)</f>
        <v>#REF!</v>
      </c>
      <c r="J406" s="22" t="s">
        <v>2163</v>
      </c>
      <c r="K406" s="50" t="s">
        <v>3340</v>
      </c>
      <c r="L406" s="18" t="s">
        <v>3341</v>
      </c>
      <c r="M406" s="19" t="s">
        <v>3342</v>
      </c>
      <c r="N406" s="18" t="s">
        <v>3343</v>
      </c>
      <c r="O406" s="18" t="s">
        <v>2297</v>
      </c>
      <c r="P406" s="18" t="e">
        <f t="shared" si="13"/>
        <v>#REF!</v>
      </c>
      <c r="Q406" s="19" t="e">
        <f>IF(R406=0,VLOOKUP(G406,#REF!, 3),R406)</f>
        <v>#REF!</v>
      </c>
      <c r="R406" s="13" t="e">
        <f>VLOOKUP(G406,#REF!, 5)</f>
        <v>#REF!</v>
      </c>
      <c r="S406" s="18" t="s">
        <v>18</v>
      </c>
      <c r="T406" s="43" t="s">
        <v>3344</v>
      </c>
      <c r="AA406"/>
    </row>
    <row r="407" spans="1:27" ht="90.35" x14ac:dyDescent="0.2">
      <c r="A407" s="12" t="s">
        <v>2164</v>
      </c>
      <c r="B407" s="12" t="s">
        <v>2165</v>
      </c>
      <c r="C407" s="37" t="s">
        <v>2166</v>
      </c>
      <c r="D407" s="12" t="s">
        <v>2167</v>
      </c>
      <c r="E407" s="8" t="s">
        <v>2168</v>
      </c>
      <c r="F407" s="8" t="s">
        <v>421</v>
      </c>
      <c r="G407" s="8" t="str">
        <f t="shared" si="12"/>
        <v>S1-00572</v>
      </c>
      <c r="H407" s="52" t="e">
        <f>VLOOKUP(G407,#REF!, 2)</f>
        <v>#REF!</v>
      </c>
      <c r="I407" s="52" t="e">
        <f>VLOOKUP(G407,#REF!, 4)</f>
        <v>#REF!</v>
      </c>
      <c r="J407" s="22" t="s">
        <v>2169</v>
      </c>
      <c r="K407" s="22" t="s">
        <v>3345</v>
      </c>
      <c r="L407" s="18" t="s">
        <v>3346</v>
      </c>
      <c r="M407" s="19" t="s">
        <v>3347</v>
      </c>
      <c r="N407" s="18" t="s">
        <v>3348</v>
      </c>
      <c r="O407" s="18"/>
      <c r="P407" s="18" t="e">
        <f t="shared" si="13"/>
        <v>#REF!</v>
      </c>
      <c r="Q407" s="19" t="e">
        <f>IF(R407=0,VLOOKUP(G407,#REF!, 3),R407)</f>
        <v>#REF!</v>
      </c>
      <c r="R407" s="13" t="e">
        <f>VLOOKUP(G407,#REF!, 5)</f>
        <v>#REF!</v>
      </c>
      <c r="S407" s="18" t="s">
        <v>18</v>
      </c>
      <c r="T407" s="43" t="s">
        <v>3349</v>
      </c>
      <c r="U407" s="4" t="s">
        <v>2299</v>
      </c>
      <c r="AA407"/>
    </row>
    <row r="408" spans="1:27" ht="170.15" customHeight="1" x14ac:dyDescent="0.2">
      <c r="A408" s="12" t="s">
        <v>2164</v>
      </c>
      <c r="B408" s="12" t="s">
        <v>2170</v>
      </c>
      <c r="C408" s="37" t="s">
        <v>2171</v>
      </c>
      <c r="D408" s="12" t="s">
        <v>2172</v>
      </c>
      <c r="E408" s="8" t="s">
        <v>2168</v>
      </c>
      <c r="F408" s="8" t="s">
        <v>421</v>
      </c>
      <c r="G408" s="8" t="str">
        <f t="shared" si="12"/>
        <v>S1-00573</v>
      </c>
      <c r="H408" s="52" t="e">
        <f>VLOOKUP(G408,#REF!, 2)</f>
        <v>#REF!</v>
      </c>
      <c r="I408" s="52" t="e">
        <f>VLOOKUP(G408,#REF!, 4)</f>
        <v>#REF!</v>
      </c>
      <c r="J408" s="22" t="s">
        <v>2173</v>
      </c>
      <c r="K408" s="22" t="s">
        <v>3350</v>
      </c>
      <c r="L408" s="18" t="s">
        <v>3351</v>
      </c>
      <c r="M408" s="19" t="s">
        <v>3352</v>
      </c>
      <c r="N408" s="18" t="s">
        <v>3353</v>
      </c>
      <c r="O408" s="18"/>
      <c r="P408" s="18" t="e">
        <f t="shared" si="13"/>
        <v>#REF!</v>
      </c>
      <c r="Q408" s="19" t="e">
        <f>IF(R408=0,VLOOKUP(G408,#REF!, 3),R408)</f>
        <v>#REF!</v>
      </c>
      <c r="R408" s="13" t="e">
        <f>VLOOKUP(G408,#REF!, 5)</f>
        <v>#REF!</v>
      </c>
      <c r="S408" s="18" t="s">
        <v>18</v>
      </c>
      <c r="T408" s="43" t="s">
        <v>3354</v>
      </c>
      <c r="U408" s="4" t="s">
        <v>2299</v>
      </c>
      <c r="AA408"/>
    </row>
    <row r="409" spans="1:27" ht="251.15" customHeight="1" x14ac:dyDescent="0.2">
      <c r="A409" s="12" t="s">
        <v>2174</v>
      </c>
      <c r="B409" s="12" t="s">
        <v>2175</v>
      </c>
      <c r="C409" s="37" t="s">
        <v>2176</v>
      </c>
      <c r="D409" s="12" t="s">
        <v>2177</v>
      </c>
      <c r="E409" s="8" t="s">
        <v>2168</v>
      </c>
      <c r="F409" s="8" t="s">
        <v>31</v>
      </c>
      <c r="G409" s="8" t="str">
        <f t="shared" si="12"/>
        <v>S1-00574</v>
      </c>
      <c r="H409" s="52" t="e">
        <f>VLOOKUP(G409,#REF!, 2)</f>
        <v>#REF!</v>
      </c>
      <c r="I409" s="52" t="e">
        <f>VLOOKUP(G409,#REF!, 4)</f>
        <v>#REF!</v>
      </c>
      <c r="J409" s="22" t="s">
        <v>2178</v>
      </c>
      <c r="K409" s="22" t="s">
        <v>3355</v>
      </c>
      <c r="L409" s="18" t="s">
        <v>3356</v>
      </c>
      <c r="M409" s="19" t="s">
        <v>3357</v>
      </c>
      <c r="N409" s="18" t="s">
        <v>3358</v>
      </c>
      <c r="O409" s="18" t="s">
        <v>2297</v>
      </c>
      <c r="P409" s="18" t="e">
        <f t="shared" si="13"/>
        <v>#REF!</v>
      </c>
      <c r="Q409" s="19" t="e">
        <f>IF(R409=0,VLOOKUP(G409,#REF!, 3),R409)</f>
        <v>#REF!</v>
      </c>
      <c r="R409" s="13" t="e">
        <f>VLOOKUP(G409,#REF!, 5)</f>
        <v>#REF!</v>
      </c>
      <c r="S409" s="18" t="s">
        <v>18</v>
      </c>
      <c r="T409" s="43" t="s">
        <v>3359</v>
      </c>
      <c r="U409" s="4" t="s">
        <v>2299</v>
      </c>
      <c r="AA409"/>
    </row>
    <row r="410" spans="1:27" ht="90.35" x14ac:dyDescent="0.2">
      <c r="A410" s="12" t="s">
        <v>2179</v>
      </c>
      <c r="B410" s="12" t="s">
        <v>2180</v>
      </c>
      <c r="C410" s="37" t="s">
        <v>2181</v>
      </c>
      <c r="D410" s="12" t="s">
        <v>2182</v>
      </c>
      <c r="E410" s="8" t="s">
        <v>2168</v>
      </c>
      <c r="F410" s="8" t="s">
        <v>2183</v>
      </c>
      <c r="G410" s="8" t="str">
        <f t="shared" si="12"/>
        <v>S1-00575</v>
      </c>
      <c r="H410" s="52" t="e">
        <f>VLOOKUP(G410,#REF!, 2)</f>
        <v>#REF!</v>
      </c>
      <c r="I410" s="52" t="e">
        <f>VLOOKUP(G410,#REF!, 4)</f>
        <v>#REF!</v>
      </c>
      <c r="J410" s="22" t="s">
        <v>2184</v>
      </c>
      <c r="K410" s="22" t="s">
        <v>3360</v>
      </c>
      <c r="L410" s="18" t="s">
        <v>3361</v>
      </c>
      <c r="M410" s="19" t="s">
        <v>3362</v>
      </c>
      <c r="N410" s="18" t="s">
        <v>3363</v>
      </c>
      <c r="O410" s="18" t="s">
        <v>2297</v>
      </c>
      <c r="P410" s="18" t="e">
        <f t="shared" si="13"/>
        <v>#REF!</v>
      </c>
      <c r="Q410" s="19" t="e">
        <f>IF(R410=0,VLOOKUP(G410,#REF!, 3),R410)</f>
        <v>#REF!</v>
      </c>
      <c r="R410" s="13" t="e">
        <f>VLOOKUP(G410,#REF!, 5)</f>
        <v>#REF!</v>
      </c>
      <c r="S410" s="18" t="s">
        <v>18</v>
      </c>
      <c r="T410" s="43" t="s">
        <v>3364</v>
      </c>
      <c r="U410" s="4" t="s">
        <v>2299</v>
      </c>
      <c r="AA410"/>
    </row>
    <row r="411" spans="1:27" ht="76.95" customHeight="1" x14ac:dyDescent="0.2">
      <c r="A411" s="12" t="s">
        <v>2185</v>
      </c>
      <c r="B411" s="12" t="s">
        <v>2186</v>
      </c>
      <c r="C411" s="37" t="s">
        <v>2187</v>
      </c>
      <c r="D411" s="12" t="s">
        <v>2188</v>
      </c>
      <c r="E411" s="8" t="s">
        <v>2189</v>
      </c>
      <c r="F411" s="8" t="s">
        <v>66</v>
      </c>
      <c r="G411" s="8" t="str">
        <f t="shared" si="12"/>
        <v>S1-00533</v>
      </c>
      <c r="H411" s="52" t="e">
        <f>VLOOKUP(G411,#REF!, 2)</f>
        <v>#REF!</v>
      </c>
      <c r="I411" s="52" t="e">
        <f>VLOOKUP(G411,#REF!, 4)</f>
        <v>#REF!</v>
      </c>
      <c r="J411" s="22" t="s">
        <v>2190</v>
      </c>
      <c r="K411" s="22" t="s">
        <v>3365</v>
      </c>
      <c r="L411" s="18" t="s">
        <v>3366</v>
      </c>
      <c r="M411" s="18" t="s">
        <v>3367</v>
      </c>
      <c r="N411" s="18" t="s">
        <v>3368</v>
      </c>
      <c r="O411" s="18" t="s">
        <v>2297</v>
      </c>
      <c r="P411" s="18" t="e">
        <f t="shared" si="13"/>
        <v>#REF!</v>
      </c>
      <c r="Q411" s="19" t="e">
        <f>IF(R411=0,VLOOKUP(G411,#REF!, 3),R411)</f>
        <v>#REF!</v>
      </c>
      <c r="R411" s="13" t="e">
        <f>VLOOKUP(G411,#REF!, 5)</f>
        <v>#REF!</v>
      </c>
      <c r="S411" s="18" t="s">
        <v>18</v>
      </c>
      <c r="T411" s="43" t="s">
        <v>3365</v>
      </c>
      <c r="U411" s="4" t="s">
        <v>2309</v>
      </c>
      <c r="AA411"/>
    </row>
    <row r="412" spans="1:27" ht="76.099999999999994" customHeight="1" x14ac:dyDescent="0.2">
      <c r="A412" s="12" t="s">
        <v>2191</v>
      </c>
      <c r="B412" s="12" t="s">
        <v>2192</v>
      </c>
      <c r="C412" s="37" t="s">
        <v>2193</v>
      </c>
      <c r="D412" s="12" t="s">
        <v>2194</v>
      </c>
      <c r="E412" s="8" t="s">
        <v>2195</v>
      </c>
      <c r="F412" s="8" t="s">
        <v>1901</v>
      </c>
      <c r="G412" s="8" t="str">
        <f t="shared" si="12"/>
        <v>S1-00534</v>
      </c>
      <c r="H412" s="52" t="e">
        <f>VLOOKUP(G412,#REF!, 2)</f>
        <v>#REF!</v>
      </c>
      <c r="I412" s="52" t="e">
        <f>VLOOKUP(G412,#REF!, 4)</f>
        <v>#REF!</v>
      </c>
      <c r="J412" s="22" t="s">
        <v>2190</v>
      </c>
      <c r="K412" s="22" t="s">
        <v>3365</v>
      </c>
      <c r="L412" s="18" t="s">
        <v>3369</v>
      </c>
      <c r="M412" s="18" t="s">
        <v>3367</v>
      </c>
      <c r="N412" s="18"/>
      <c r="O412" s="18"/>
      <c r="P412" s="18" t="e">
        <f t="shared" si="13"/>
        <v>#REF!</v>
      </c>
      <c r="Q412" s="19" t="e">
        <f>IF(R412=0,VLOOKUP(G412,#REF!, 3),R412)</f>
        <v>#REF!</v>
      </c>
      <c r="R412" s="13" t="e">
        <f>VLOOKUP(G412,#REF!, 5)</f>
        <v>#REF!</v>
      </c>
      <c r="S412" s="18" t="s">
        <v>18</v>
      </c>
      <c r="T412" s="43" t="s">
        <v>3365</v>
      </c>
      <c r="U412" s="4" t="s">
        <v>2309</v>
      </c>
      <c r="AA412"/>
    </row>
    <row r="413" spans="1:27" ht="84.6" customHeight="1" x14ac:dyDescent="0.2">
      <c r="A413" s="12" t="s">
        <v>2196</v>
      </c>
      <c r="B413" s="12" t="s">
        <v>2197</v>
      </c>
      <c r="C413" s="37" t="s">
        <v>2198</v>
      </c>
      <c r="D413" s="12" t="s">
        <v>2199</v>
      </c>
      <c r="E413" s="8" t="s">
        <v>2195</v>
      </c>
      <c r="F413" s="8" t="s">
        <v>2200</v>
      </c>
      <c r="G413" s="8" t="str">
        <f t="shared" si="12"/>
        <v>S1-00535</v>
      </c>
      <c r="H413" s="52" t="e">
        <f>VLOOKUP(G413,#REF!, 2)</f>
        <v>#REF!</v>
      </c>
      <c r="I413" s="52" t="e">
        <f>VLOOKUP(G413,#REF!, 4)</f>
        <v>#REF!</v>
      </c>
      <c r="J413" s="22" t="s">
        <v>2201</v>
      </c>
      <c r="K413" s="22" t="s">
        <v>3365</v>
      </c>
      <c r="L413" s="18" t="s">
        <v>3370</v>
      </c>
      <c r="M413" s="18" t="s">
        <v>3367</v>
      </c>
      <c r="N413" s="18"/>
      <c r="O413" s="18"/>
      <c r="P413" s="18" t="e">
        <f t="shared" si="13"/>
        <v>#REF!</v>
      </c>
      <c r="Q413" s="19" t="e">
        <f>IF(R413=0,VLOOKUP(G413,#REF!, 3),R413)</f>
        <v>#REF!</v>
      </c>
      <c r="R413" s="13" t="e">
        <f>VLOOKUP(G413,#REF!, 5)</f>
        <v>#REF!</v>
      </c>
      <c r="S413" s="18" t="s">
        <v>18</v>
      </c>
      <c r="T413" s="43" t="s">
        <v>3365</v>
      </c>
      <c r="U413" s="4" t="s">
        <v>2309</v>
      </c>
      <c r="AA413"/>
    </row>
    <row r="414" spans="1:27" ht="84.25" customHeight="1" x14ac:dyDescent="0.2">
      <c r="A414" s="12" t="s">
        <v>2202</v>
      </c>
      <c r="B414" s="12" t="s">
        <v>2203</v>
      </c>
      <c r="C414" s="37" t="s">
        <v>2204</v>
      </c>
      <c r="D414" s="12" t="s">
        <v>2205</v>
      </c>
      <c r="E414" s="8" t="s">
        <v>2195</v>
      </c>
      <c r="F414" s="8" t="s">
        <v>1650</v>
      </c>
      <c r="G414" s="8" t="str">
        <f t="shared" si="12"/>
        <v>S1-00536</v>
      </c>
      <c r="H414" s="52" t="e">
        <f>VLOOKUP(G414,#REF!, 2)</f>
        <v>#REF!</v>
      </c>
      <c r="I414" s="52" t="e">
        <f>VLOOKUP(G414,#REF!, 4)</f>
        <v>#REF!</v>
      </c>
      <c r="J414" s="22" t="s">
        <v>2190</v>
      </c>
      <c r="K414" s="22" t="s">
        <v>3365</v>
      </c>
      <c r="L414" s="18" t="s">
        <v>3371</v>
      </c>
      <c r="M414" s="18" t="s">
        <v>3367</v>
      </c>
      <c r="N414" s="18"/>
      <c r="O414" s="18"/>
      <c r="P414" s="18" t="e">
        <f t="shared" si="13"/>
        <v>#REF!</v>
      </c>
      <c r="Q414" s="19" t="e">
        <f>IF(R414=0,VLOOKUP(G414,#REF!, 3),R414)</f>
        <v>#REF!</v>
      </c>
      <c r="R414" s="13" t="e">
        <f>VLOOKUP(G414,#REF!, 5)</f>
        <v>#REF!</v>
      </c>
      <c r="S414" s="18" t="s">
        <v>18</v>
      </c>
      <c r="T414" s="43" t="s">
        <v>3365</v>
      </c>
      <c r="U414" s="4" t="s">
        <v>2309</v>
      </c>
      <c r="AA414"/>
    </row>
    <row r="415" spans="1:27" ht="271.05" x14ac:dyDescent="0.2">
      <c r="A415" s="12" t="s">
        <v>2206</v>
      </c>
      <c r="B415" s="12" t="s">
        <v>2207</v>
      </c>
      <c r="C415" s="37" t="s">
        <v>2208</v>
      </c>
      <c r="D415" s="12" t="s">
        <v>2209</v>
      </c>
      <c r="E415" s="8" t="s">
        <v>2210</v>
      </c>
      <c r="F415" s="8" t="s">
        <v>2211</v>
      </c>
      <c r="G415" s="8" t="str">
        <f t="shared" si="12"/>
        <v>S1-00537</v>
      </c>
      <c r="H415" s="52" t="e">
        <f>VLOOKUP(G415,#REF!, 2)</f>
        <v>#REF!</v>
      </c>
      <c r="I415" s="52" t="e">
        <f>VLOOKUP(G415,#REF!, 4)</f>
        <v>#REF!</v>
      </c>
      <c r="J415" s="22" t="s">
        <v>2212</v>
      </c>
      <c r="K415" s="22" t="s">
        <v>3372</v>
      </c>
      <c r="L415" s="18" t="s">
        <v>3373</v>
      </c>
      <c r="M415" s="18"/>
      <c r="N415" s="18"/>
      <c r="O415" s="18"/>
      <c r="P415" s="18" t="e">
        <f t="shared" si="13"/>
        <v>#REF!</v>
      </c>
      <c r="Q415" s="19" t="e">
        <f>IF(R415=0,VLOOKUP(G415,#REF!, 3),R415)</f>
        <v>#REF!</v>
      </c>
      <c r="R415" s="13" t="e">
        <f>VLOOKUP(G415,#REF!, 5)</f>
        <v>#REF!</v>
      </c>
      <c r="S415" s="18" t="s">
        <v>18</v>
      </c>
      <c r="T415" s="43"/>
      <c r="AA415"/>
    </row>
    <row r="416" spans="1:27" ht="82.2" customHeight="1" x14ac:dyDescent="0.2">
      <c r="A416" s="12" t="s">
        <v>2213</v>
      </c>
      <c r="B416" s="12" t="s">
        <v>2214</v>
      </c>
      <c r="C416" s="37" t="s">
        <v>2215</v>
      </c>
      <c r="D416" s="12" t="s">
        <v>2216</v>
      </c>
      <c r="E416" s="8" t="s">
        <v>2210</v>
      </c>
      <c r="F416" s="8" t="s">
        <v>883</v>
      </c>
      <c r="G416" s="8" t="str">
        <f t="shared" si="12"/>
        <v>S1-00538</v>
      </c>
      <c r="H416" s="52" t="e">
        <f>VLOOKUP(G416,#REF!, 2)</f>
        <v>#REF!</v>
      </c>
      <c r="I416" s="52" t="e">
        <f>VLOOKUP(G416,#REF!, 4)</f>
        <v>#REF!</v>
      </c>
      <c r="J416" s="22" t="s">
        <v>2190</v>
      </c>
      <c r="K416" s="22" t="s">
        <v>3372</v>
      </c>
      <c r="L416" s="18" t="s">
        <v>3374</v>
      </c>
      <c r="M416" s="18"/>
      <c r="N416" s="18"/>
      <c r="O416" s="18"/>
      <c r="P416" s="18" t="e">
        <f t="shared" si="13"/>
        <v>#REF!</v>
      </c>
      <c r="Q416" s="19" t="e">
        <f>IF(R416=0,VLOOKUP(G416,#REF!, 3),R416)</f>
        <v>#REF!</v>
      </c>
      <c r="R416" s="13" t="e">
        <f>VLOOKUP(G416,#REF!, 5)</f>
        <v>#REF!</v>
      </c>
      <c r="S416" s="18" t="s">
        <v>18</v>
      </c>
      <c r="T416" s="43"/>
      <c r="AA416"/>
    </row>
    <row r="417" spans="1:27" ht="64.55" x14ac:dyDescent="0.2">
      <c r="A417" s="12" t="s">
        <v>2217</v>
      </c>
      <c r="B417" s="12" t="s">
        <v>2218</v>
      </c>
      <c r="C417" s="37" t="s">
        <v>2219</v>
      </c>
      <c r="D417" s="12" t="s">
        <v>2220</v>
      </c>
      <c r="E417" s="8" t="s">
        <v>2210</v>
      </c>
      <c r="F417" s="8" t="s">
        <v>2221</v>
      </c>
      <c r="G417" s="8" t="str">
        <f t="shared" si="12"/>
        <v>S1-00539</v>
      </c>
      <c r="H417" s="52" t="e">
        <f>VLOOKUP(G417,#REF!, 2)</f>
        <v>#REF!</v>
      </c>
      <c r="I417" s="52" t="e">
        <f>VLOOKUP(G417,#REF!, 4)</f>
        <v>#REF!</v>
      </c>
      <c r="J417" s="22" t="s">
        <v>2190</v>
      </c>
      <c r="K417" s="22" t="s">
        <v>3372</v>
      </c>
      <c r="L417" s="18" t="s">
        <v>3375</v>
      </c>
      <c r="M417" s="18"/>
      <c r="N417" s="18"/>
      <c r="O417" s="18"/>
      <c r="P417" s="18" t="e">
        <f t="shared" si="13"/>
        <v>#REF!</v>
      </c>
      <c r="Q417" s="19" t="e">
        <f>IF(R417=0,VLOOKUP(G417,#REF!, 3),R417)</f>
        <v>#REF!</v>
      </c>
      <c r="R417" s="13" t="e">
        <f>VLOOKUP(G417,#REF!, 5)</f>
        <v>#REF!</v>
      </c>
      <c r="S417" s="18" t="s">
        <v>18</v>
      </c>
      <c r="T417" s="43"/>
      <c r="AA417"/>
    </row>
    <row r="418" spans="1:27" ht="232.3" x14ac:dyDescent="0.2">
      <c r="A418" s="12" t="s">
        <v>2222</v>
      </c>
      <c r="B418" s="12" t="s">
        <v>2223</v>
      </c>
      <c r="C418" s="37" t="s">
        <v>2224</v>
      </c>
      <c r="D418" s="12" t="s">
        <v>2225</v>
      </c>
      <c r="E418" s="8" t="s">
        <v>2226</v>
      </c>
      <c r="F418" s="8" t="s">
        <v>116</v>
      </c>
      <c r="G418" s="8" t="str">
        <f t="shared" si="12"/>
        <v>S1-00540</v>
      </c>
      <c r="H418" s="52" t="e">
        <f>VLOOKUP(G418,#REF!, 2)</f>
        <v>#REF!</v>
      </c>
      <c r="I418" s="52" t="e">
        <f>VLOOKUP(G418,#REF!, 4)</f>
        <v>#REF!</v>
      </c>
      <c r="J418" s="22" t="s">
        <v>2227</v>
      </c>
      <c r="K418" s="22" t="s">
        <v>3376</v>
      </c>
      <c r="L418" s="18" t="s">
        <v>3377</v>
      </c>
      <c r="M418" s="18" t="s">
        <v>3378</v>
      </c>
      <c r="N418" s="18" t="s">
        <v>3379</v>
      </c>
      <c r="O418" s="18" t="s">
        <v>2297</v>
      </c>
      <c r="P418" s="18" t="e">
        <f t="shared" si="13"/>
        <v>#REF!</v>
      </c>
      <c r="Q418" s="19" t="e">
        <f>IF(R418=0,VLOOKUP(G418,#REF!, 3),R418)</f>
        <v>#REF!</v>
      </c>
      <c r="R418" s="13" t="e">
        <f>VLOOKUP(G418,#REF!, 5)</f>
        <v>#REF!</v>
      </c>
      <c r="S418" s="18" t="s">
        <v>18</v>
      </c>
      <c r="T418" s="43" t="s">
        <v>3380</v>
      </c>
      <c r="U418" s="4" t="s">
        <v>2309</v>
      </c>
      <c r="AA418"/>
    </row>
    <row r="419" spans="1:27" ht="309.75" x14ac:dyDescent="0.2">
      <c r="A419" s="12" t="s">
        <v>2222</v>
      </c>
      <c r="B419" s="12" t="s">
        <v>2228</v>
      </c>
      <c r="C419" s="37" t="s">
        <v>2229</v>
      </c>
      <c r="D419" s="12" t="s">
        <v>2230</v>
      </c>
      <c r="E419" s="8" t="s">
        <v>2226</v>
      </c>
      <c r="F419" s="8" t="s">
        <v>116</v>
      </c>
      <c r="G419" s="8" t="str">
        <f t="shared" si="12"/>
        <v>S1-00541</v>
      </c>
      <c r="H419" s="52" t="e">
        <f>VLOOKUP(G419,#REF!, 2)</f>
        <v>#REF!</v>
      </c>
      <c r="I419" s="52" t="e">
        <f>VLOOKUP(G419,#REF!, 4)</f>
        <v>#REF!</v>
      </c>
      <c r="J419" s="22" t="s">
        <v>2231</v>
      </c>
      <c r="K419" s="22" t="s">
        <v>3381</v>
      </c>
      <c r="L419" s="18" t="s">
        <v>3382</v>
      </c>
      <c r="M419" s="18" t="s">
        <v>3383</v>
      </c>
      <c r="N419" s="18"/>
      <c r="O419" s="18"/>
      <c r="P419" s="18" t="e">
        <f t="shared" si="13"/>
        <v>#REF!</v>
      </c>
      <c r="Q419" s="19" t="e">
        <f>IF(R419=0,VLOOKUP(G419,#REF!, 3),R419)</f>
        <v>#REF!</v>
      </c>
      <c r="R419" s="13" t="e">
        <f>VLOOKUP(G419,#REF!, 5)</f>
        <v>#REF!</v>
      </c>
      <c r="S419" s="18" t="s">
        <v>18</v>
      </c>
      <c r="T419" s="43" t="s">
        <v>3384</v>
      </c>
      <c r="U419" s="4" t="s">
        <v>2299</v>
      </c>
    </row>
    <row r="420" spans="1:27" ht="129.1" x14ac:dyDescent="0.2">
      <c r="A420" s="12" t="s">
        <v>2232</v>
      </c>
      <c r="B420" s="12" t="s">
        <v>2233</v>
      </c>
      <c r="C420" s="37" t="s">
        <v>2234</v>
      </c>
      <c r="D420" s="12" t="s">
        <v>2235</v>
      </c>
      <c r="E420" s="8" t="s">
        <v>2226</v>
      </c>
      <c r="F420" s="8" t="s">
        <v>246</v>
      </c>
      <c r="G420" s="8" t="str">
        <f t="shared" si="12"/>
        <v>S1-00542</v>
      </c>
      <c r="H420" s="52" t="e">
        <f>VLOOKUP(G420,#REF!, 2)</f>
        <v>#REF!</v>
      </c>
      <c r="I420" s="52" t="e">
        <f>VLOOKUP(G420,#REF!, 4)</f>
        <v>#REF!</v>
      </c>
      <c r="J420" s="22" t="s">
        <v>2236</v>
      </c>
      <c r="K420" s="22" t="s">
        <v>3385</v>
      </c>
      <c r="L420" s="18" t="s">
        <v>3386</v>
      </c>
      <c r="M420" s="18" t="s">
        <v>3387</v>
      </c>
      <c r="N420" s="18" t="s">
        <v>3388</v>
      </c>
      <c r="O420" s="18" t="s">
        <v>2297</v>
      </c>
      <c r="P420" s="18" t="e">
        <f t="shared" si="13"/>
        <v>#REF!</v>
      </c>
      <c r="Q420" s="19" t="e">
        <f>IF(R420=0,VLOOKUP(G420,#REF!, 3),R420)</f>
        <v>#REF!</v>
      </c>
      <c r="R420" s="13" t="e">
        <f>VLOOKUP(G420,#REF!, 5)</f>
        <v>#REF!</v>
      </c>
      <c r="S420" s="18" t="s">
        <v>18</v>
      </c>
      <c r="T420" s="43" t="s">
        <v>3365</v>
      </c>
      <c r="U420" s="4" t="s">
        <v>2309</v>
      </c>
    </row>
    <row r="421" spans="1:27" ht="116.15" x14ac:dyDescent="0.2">
      <c r="A421" s="12" t="s">
        <v>2232</v>
      </c>
      <c r="B421" s="12" t="s">
        <v>2237</v>
      </c>
      <c r="C421" s="37" t="s">
        <v>2238</v>
      </c>
      <c r="D421" s="12" t="s">
        <v>2239</v>
      </c>
      <c r="E421" s="8" t="s">
        <v>2226</v>
      </c>
      <c r="F421" s="8" t="s">
        <v>246</v>
      </c>
      <c r="G421" s="8" t="str">
        <f t="shared" si="12"/>
        <v>S1-00543</v>
      </c>
      <c r="H421" s="52" t="e">
        <f>VLOOKUP(G421,#REF!, 2)</f>
        <v>#REF!</v>
      </c>
      <c r="I421" s="52" t="e">
        <f>VLOOKUP(G421,#REF!, 4)</f>
        <v>#REF!</v>
      </c>
      <c r="J421" s="22" t="s">
        <v>2240</v>
      </c>
      <c r="K421" s="22" t="s">
        <v>3385</v>
      </c>
      <c r="L421" s="18" t="s">
        <v>3389</v>
      </c>
      <c r="M421" s="18" t="s">
        <v>3387</v>
      </c>
      <c r="N421" s="18" t="s">
        <v>2499</v>
      </c>
      <c r="O421" s="18" t="s">
        <v>2297</v>
      </c>
      <c r="P421" s="18" t="e">
        <f t="shared" si="13"/>
        <v>#REF!</v>
      </c>
      <c r="Q421" s="19" t="e">
        <f>IF(R421=0,VLOOKUP(G421,#REF!, 3),R421)</f>
        <v>#REF!</v>
      </c>
      <c r="R421" s="13" t="e">
        <f>VLOOKUP(G421,#REF!, 5)</f>
        <v>#REF!</v>
      </c>
      <c r="S421" s="18" t="s">
        <v>18</v>
      </c>
      <c r="T421" s="43" t="s">
        <v>3365</v>
      </c>
      <c r="U421" s="4" t="s">
        <v>2309</v>
      </c>
    </row>
    <row r="422" spans="1:27" ht="271.05" x14ac:dyDescent="0.2">
      <c r="A422" s="12" t="s">
        <v>2241</v>
      </c>
      <c r="B422" s="12" t="s">
        <v>2242</v>
      </c>
      <c r="C422" s="37" t="s">
        <v>2243</v>
      </c>
      <c r="D422" s="12" t="s">
        <v>2244</v>
      </c>
      <c r="E422" s="8" t="s">
        <v>2245</v>
      </c>
      <c r="F422" s="8" t="s">
        <v>116</v>
      </c>
      <c r="G422" s="8" t="str">
        <f t="shared" si="12"/>
        <v>S1-00544</v>
      </c>
      <c r="H422" s="52" t="e">
        <f>VLOOKUP(G422,#REF!, 2)</f>
        <v>#REF!</v>
      </c>
      <c r="I422" s="52" t="e">
        <f>VLOOKUP(G422,#REF!, 4)</f>
        <v>#REF!</v>
      </c>
      <c r="J422" s="22" t="s">
        <v>2246</v>
      </c>
      <c r="K422" s="22" t="s">
        <v>3390</v>
      </c>
      <c r="L422" s="18" t="s">
        <v>3391</v>
      </c>
      <c r="M422" s="18" t="s">
        <v>3392</v>
      </c>
      <c r="N422" s="18"/>
      <c r="O422" s="18"/>
      <c r="P422" s="18" t="e">
        <f t="shared" si="13"/>
        <v>#REF!</v>
      </c>
      <c r="Q422" s="19" t="e">
        <f>IF(R422=0,VLOOKUP(G422,#REF!, 3),R422)</f>
        <v>#REF!</v>
      </c>
      <c r="R422" s="13" t="e">
        <f>VLOOKUP(G422,#REF!, 5)</f>
        <v>#REF!</v>
      </c>
      <c r="S422" s="18" t="s">
        <v>18</v>
      </c>
      <c r="T422" s="43" t="s">
        <v>3393</v>
      </c>
      <c r="U422" s="4" t="s">
        <v>2299</v>
      </c>
    </row>
    <row r="423" spans="1:27" ht="77.45" x14ac:dyDescent="0.2">
      <c r="A423" s="12" t="s">
        <v>2247</v>
      </c>
      <c r="B423" s="12" t="s">
        <v>2248</v>
      </c>
      <c r="C423" s="37" t="s">
        <v>2249</v>
      </c>
      <c r="D423" s="12" t="s">
        <v>2250</v>
      </c>
      <c r="E423" s="8" t="s">
        <v>2251</v>
      </c>
      <c r="F423" s="8" t="s">
        <v>246</v>
      </c>
      <c r="G423" s="8" t="str">
        <f t="shared" si="12"/>
        <v>S1-00547</v>
      </c>
      <c r="H423" s="52" t="e">
        <f>VLOOKUP(G423,#REF!, 2)</f>
        <v>#REF!</v>
      </c>
      <c r="I423" s="52" t="e">
        <f>VLOOKUP(G423,#REF!, 4)</f>
        <v>#REF!</v>
      </c>
      <c r="J423" s="22" t="s">
        <v>2252</v>
      </c>
      <c r="K423" s="22" t="s">
        <v>3310</v>
      </c>
      <c r="L423" s="18" t="s">
        <v>3394</v>
      </c>
      <c r="M423" s="18" t="s">
        <v>3219</v>
      </c>
      <c r="N423" s="18" t="s">
        <v>3395</v>
      </c>
      <c r="O423" s="18"/>
      <c r="P423" s="18" t="e">
        <f t="shared" si="13"/>
        <v>#REF!</v>
      </c>
      <c r="Q423" s="19" t="e">
        <f>IF(R423=0,VLOOKUP(G423,#REF!, 3),R423)</f>
        <v>#REF!</v>
      </c>
      <c r="R423" s="13" t="e">
        <f>VLOOKUP(G423,#REF!, 5)</f>
        <v>#REF!</v>
      </c>
      <c r="S423" s="18" t="s">
        <v>18</v>
      </c>
      <c r="T423" s="43" t="s">
        <v>3314</v>
      </c>
      <c r="U423" s="4" t="s">
        <v>2299</v>
      </c>
    </row>
    <row r="424" spans="1:27" ht="257.45" customHeight="1" x14ac:dyDescent="0.2">
      <c r="A424" s="12" t="s">
        <v>2253</v>
      </c>
      <c r="B424" s="12" t="s">
        <v>2254</v>
      </c>
      <c r="C424" s="37" t="s">
        <v>2255</v>
      </c>
      <c r="D424" s="12" t="s">
        <v>2256</v>
      </c>
      <c r="E424" s="8" t="s">
        <v>2251</v>
      </c>
      <c r="F424" s="8" t="s">
        <v>1650</v>
      </c>
      <c r="G424" s="8" t="str">
        <f t="shared" si="12"/>
        <v>S1-00548</v>
      </c>
      <c r="H424" s="52" t="e">
        <f>VLOOKUP(G424,#REF!, 2)</f>
        <v>#REF!</v>
      </c>
      <c r="I424" s="52" t="e">
        <f>VLOOKUP(G424,#REF!, 4)</f>
        <v>#REF!</v>
      </c>
      <c r="J424" s="22" t="s">
        <v>1183</v>
      </c>
      <c r="K424" s="22" t="s">
        <v>3396</v>
      </c>
      <c r="L424" s="18" t="s">
        <v>3397</v>
      </c>
      <c r="M424" s="18"/>
      <c r="N424" s="18"/>
      <c r="O424" s="18"/>
      <c r="P424" s="18" t="e">
        <f t="shared" si="13"/>
        <v>#REF!</v>
      </c>
      <c r="Q424" s="19" t="e">
        <f>IF(R424=0,VLOOKUP(G424,#REF!, 3),R424)</f>
        <v>#REF!</v>
      </c>
      <c r="R424" s="13" t="e">
        <f>VLOOKUP(G424,#REF!, 5)</f>
        <v>#REF!</v>
      </c>
      <c r="S424" s="18" t="s">
        <v>18</v>
      </c>
      <c r="T424" s="43"/>
    </row>
    <row r="425" spans="1:27" ht="55.9" customHeight="1" x14ac:dyDescent="0.2">
      <c r="A425" s="12" t="s">
        <v>2257</v>
      </c>
      <c r="B425" s="12" t="s">
        <v>2258</v>
      </c>
      <c r="C425" s="37" t="s">
        <v>2259</v>
      </c>
      <c r="D425" s="12" t="s">
        <v>2260</v>
      </c>
      <c r="E425" s="8" t="s">
        <v>2261</v>
      </c>
      <c r="F425" s="8" t="s">
        <v>2262</v>
      </c>
      <c r="G425" s="8" t="str">
        <f t="shared" si="12"/>
        <v>S1-00549</v>
      </c>
      <c r="H425" s="52" t="e">
        <f>VLOOKUP(G425,#REF!, 2)</f>
        <v>#REF!</v>
      </c>
      <c r="I425" s="52" t="e">
        <f>VLOOKUP(G425,#REF!, 4)</f>
        <v>#REF!</v>
      </c>
      <c r="J425" s="22" t="s">
        <v>2263</v>
      </c>
      <c r="K425" s="22" t="s">
        <v>3398</v>
      </c>
      <c r="L425" s="18" t="s">
        <v>3399</v>
      </c>
      <c r="M425" s="18"/>
      <c r="N425" s="18"/>
      <c r="O425" s="18"/>
      <c r="P425" s="18" t="e">
        <f t="shared" si="13"/>
        <v>#REF!</v>
      </c>
      <c r="Q425" s="19" t="e">
        <f>IF(R425=0,VLOOKUP(G425,#REF!, 3),R425)</f>
        <v>#REF!</v>
      </c>
      <c r="R425" s="13" t="e">
        <f>VLOOKUP(G425,#REF!, 5)</f>
        <v>#REF!</v>
      </c>
      <c r="S425" s="18" t="s">
        <v>18</v>
      </c>
      <c r="T425" s="43"/>
    </row>
    <row r="426" spans="1:27" ht="64.55" x14ac:dyDescent="0.2">
      <c r="A426" s="12" t="s">
        <v>2264</v>
      </c>
      <c r="B426" s="12" t="s">
        <v>2265</v>
      </c>
      <c r="C426" s="37" t="s">
        <v>2266</v>
      </c>
      <c r="D426" s="12" t="s">
        <v>2267</v>
      </c>
      <c r="E426" s="8" t="s">
        <v>2268</v>
      </c>
      <c r="F426" s="8" t="s">
        <v>116</v>
      </c>
      <c r="G426" s="8" t="str">
        <f t="shared" si="12"/>
        <v>S1-00550</v>
      </c>
      <c r="H426" s="52" t="e">
        <f>VLOOKUP(G426,#REF!, 2)</f>
        <v>#REF!</v>
      </c>
      <c r="I426" s="52" t="e">
        <f>VLOOKUP(G426,#REF!, 4)</f>
        <v>#REF!</v>
      </c>
      <c r="J426" s="22" t="s">
        <v>2269</v>
      </c>
      <c r="K426" s="22" t="s">
        <v>3400</v>
      </c>
      <c r="L426" s="18" t="s">
        <v>3401</v>
      </c>
      <c r="M426" s="18"/>
      <c r="N426" s="18"/>
      <c r="O426" s="18"/>
      <c r="P426" s="18" t="e">
        <f t="shared" si="13"/>
        <v>#REF!</v>
      </c>
      <c r="Q426" s="19" t="e">
        <f>IF(R426=0,VLOOKUP(G426,#REF!, 3),R426)</f>
        <v>#REF!</v>
      </c>
      <c r="R426" s="13" t="e">
        <f>VLOOKUP(G426,#REF!, 5)</f>
        <v>#REF!</v>
      </c>
      <c r="S426" s="18" t="s">
        <v>18</v>
      </c>
      <c r="T426" s="43"/>
    </row>
    <row r="427" spans="1:27" ht="51.65" x14ac:dyDescent="0.2">
      <c r="A427" s="12" t="s">
        <v>2270</v>
      </c>
      <c r="B427" s="12" t="s">
        <v>2271</v>
      </c>
      <c r="C427" s="37" t="s">
        <v>2272</v>
      </c>
      <c r="D427" s="12" t="s">
        <v>2273</v>
      </c>
      <c r="E427" s="8" t="s">
        <v>2268</v>
      </c>
      <c r="F427" s="8" t="s">
        <v>2262</v>
      </c>
      <c r="G427" s="8" t="str">
        <f t="shared" si="12"/>
        <v>S1-00551</v>
      </c>
      <c r="H427" s="52" t="e">
        <f>VLOOKUP(G427,#REF!, 2)</f>
        <v>#REF!</v>
      </c>
      <c r="I427" s="52" t="e">
        <f>VLOOKUP(G427,#REF!, 4)</f>
        <v>#REF!</v>
      </c>
      <c r="J427" s="22" t="s">
        <v>2274</v>
      </c>
      <c r="K427" s="22" t="s">
        <v>3402</v>
      </c>
      <c r="L427" s="18" t="s">
        <v>3399</v>
      </c>
      <c r="M427" s="18"/>
      <c r="N427" s="18"/>
      <c r="O427" s="18"/>
      <c r="P427" s="18" t="e">
        <f t="shared" si="13"/>
        <v>#REF!</v>
      </c>
      <c r="Q427" s="19" t="e">
        <f>IF(R427=0,VLOOKUP(G427,#REF!, 3),R427)</f>
        <v>#REF!</v>
      </c>
      <c r="R427" s="13" t="e">
        <f>VLOOKUP(G427,#REF!, 5)</f>
        <v>#REF!</v>
      </c>
      <c r="S427" s="18" t="s">
        <v>18</v>
      </c>
      <c r="T427" s="43"/>
    </row>
    <row r="428" spans="1:27" ht="38.75" x14ac:dyDescent="0.2">
      <c r="A428" s="12" t="s">
        <v>2275</v>
      </c>
      <c r="B428" s="12" t="s">
        <v>2276</v>
      </c>
      <c r="C428" s="37" t="s">
        <v>2277</v>
      </c>
      <c r="D428" s="12" t="s">
        <v>2278</v>
      </c>
      <c r="E428" s="8" t="s">
        <v>2279</v>
      </c>
      <c r="F428" s="8" t="s">
        <v>2262</v>
      </c>
      <c r="G428" s="8" t="str">
        <f>SUBSTITUTE(B428,"BRDP-","")</f>
        <v>S1-00552</v>
      </c>
      <c r="H428" s="52" t="e">
        <f>VLOOKUP(G428,#REF!, 2)</f>
        <v>#REF!</v>
      </c>
      <c r="I428" s="52" t="e">
        <f>VLOOKUP(G428,#REF!, 4)</f>
        <v>#REF!</v>
      </c>
      <c r="J428" s="22" t="s">
        <v>970</v>
      </c>
      <c r="K428" s="22" t="s">
        <v>3402</v>
      </c>
      <c r="L428" s="18" t="s">
        <v>3399</v>
      </c>
      <c r="M428" s="18"/>
      <c r="N428" s="18"/>
      <c r="O428" s="18"/>
      <c r="P428" s="18" t="e">
        <f t="shared" si="13"/>
        <v>#REF!</v>
      </c>
      <c r="Q428" s="19" t="e">
        <f>IF(R428=0,VLOOKUP(G428,#REF!, 3),R428)</f>
        <v>#REF!</v>
      </c>
      <c r="R428" s="13" t="e">
        <f>VLOOKUP(G428,#REF!, 5)</f>
        <v>#REF!</v>
      </c>
      <c r="S428" s="18" t="s">
        <v>18</v>
      </c>
      <c r="T428" s="43"/>
    </row>
    <row r="429" spans="1:27" x14ac:dyDescent="0.2">
      <c r="B429" s="8"/>
      <c r="E429" s="8"/>
      <c r="F429" s="8"/>
      <c r="G429" s="8"/>
      <c r="H429" s="8"/>
      <c r="I429" s="8"/>
    </row>
    <row r="430" spans="1:27" x14ac:dyDescent="0.2">
      <c r="B430" s="8"/>
      <c r="E430" s="8"/>
      <c r="F430" s="8"/>
      <c r="G430" s="8"/>
      <c r="H430" s="8"/>
      <c r="I430" s="8"/>
      <c r="S430" s="4">
        <f>COUNTIF(S2:S428,"Refused")</f>
        <v>0</v>
      </c>
    </row>
    <row r="431" spans="1:27" x14ac:dyDescent="0.2">
      <c r="B431" s="8"/>
      <c r="E431" s="8"/>
      <c r="F431" s="8"/>
      <c r="G431" s="8"/>
      <c r="H431" s="8"/>
      <c r="I431" s="8"/>
    </row>
    <row r="432" spans="1:27" x14ac:dyDescent="0.2">
      <c r="B432" s="8"/>
      <c r="E432" s="8"/>
      <c r="F432" s="8"/>
      <c r="G432" s="8"/>
      <c r="H432" s="8"/>
      <c r="I432" s="8"/>
    </row>
    <row r="433" spans="2:9" x14ac:dyDescent="0.2">
      <c r="B433" s="8"/>
      <c r="E433" s="8"/>
      <c r="F433" s="8"/>
      <c r="G433" s="8"/>
      <c r="H433" s="8"/>
      <c r="I433" s="8"/>
    </row>
    <row r="434" spans="2:9" x14ac:dyDescent="0.2">
      <c r="B434" s="8"/>
      <c r="E434" s="8"/>
      <c r="F434" s="8"/>
      <c r="G434" s="8"/>
      <c r="H434" s="8"/>
      <c r="I434" s="8"/>
    </row>
    <row r="435" spans="2:9" x14ac:dyDescent="0.2">
      <c r="B435" s="8"/>
      <c r="E435" s="8"/>
      <c r="F435" s="8"/>
      <c r="G435" s="8"/>
      <c r="H435" s="8"/>
      <c r="I435" s="8"/>
    </row>
    <row r="436" spans="2:9" x14ac:dyDescent="0.2">
      <c r="B436" s="8"/>
      <c r="E436" s="8"/>
      <c r="F436" s="8"/>
      <c r="G436" s="8"/>
      <c r="H436" s="8"/>
      <c r="I436" s="8"/>
    </row>
    <row r="437" spans="2:9" x14ac:dyDescent="0.2">
      <c r="B437" s="8"/>
      <c r="E437" s="8"/>
      <c r="F437" s="8"/>
      <c r="G437" s="8"/>
      <c r="H437" s="8"/>
      <c r="I437" s="8"/>
    </row>
    <row r="438" spans="2:9" x14ac:dyDescent="0.2">
      <c r="B438" s="8"/>
      <c r="E438" s="8"/>
      <c r="F438" s="8"/>
      <c r="G438" s="8"/>
      <c r="H438" s="8"/>
      <c r="I438" s="8"/>
    </row>
    <row r="439" spans="2:9" x14ac:dyDescent="0.2">
      <c r="B439" s="8"/>
      <c r="E439" s="8"/>
      <c r="F439" s="8"/>
      <c r="G439" s="8"/>
      <c r="H439" s="8"/>
      <c r="I439" s="8"/>
    </row>
    <row r="440" spans="2:9" x14ac:dyDescent="0.2">
      <c r="B440" s="8"/>
      <c r="E440" s="8"/>
      <c r="F440" s="8"/>
      <c r="G440" s="8"/>
      <c r="H440" s="8"/>
      <c r="I440" s="8"/>
    </row>
    <row r="441" spans="2:9" x14ac:dyDescent="0.2">
      <c r="B441" s="8"/>
      <c r="E441" s="8"/>
      <c r="F441" s="8"/>
      <c r="G441" s="8"/>
      <c r="H441" s="8"/>
      <c r="I441" s="8"/>
    </row>
    <row r="442" spans="2:9" x14ac:dyDescent="0.2">
      <c r="B442" s="8"/>
      <c r="E442" s="8"/>
      <c r="F442" s="8"/>
      <c r="G442" s="8"/>
      <c r="H442" s="8"/>
      <c r="I442" s="8"/>
    </row>
    <row r="443" spans="2:9" x14ac:dyDescent="0.2">
      <c r="B443" s="8"/>
      <c r="E443" s="8"/>
      <c r="F443" s="8"/>
      <c r="G443" s="8"/>
      <c r="H443" s="8"/>
      <c r="I443" s="8"/>
    </row>
    <row r="444" spans="2:9" x14ac:dyDescent="0.2">
      <c r="B444" s="8"/>
      <c r="E444" s="8"/>
      <c r="F444" s="8"/>
      <c r="G444" s="8"/>
      <c r="H444" s="8"/>
      <c r="I444" s="8"/>
    </row>
    <row r="445" spans="2:9" x14ac:dyDescent="0.2">
      <c r="B445" s="8"/>
      <c r="E445" s="8"/>
      <c r="F445" s="8"/>
      <c r="G445" s="8"/>
      <c r="H445" s="8"/>
      <c r="I445" s="8"/>
    </row>
    <row r="446" spans="2:9" x14ac:dyDescent="0.2">
      <c r="B446" s="8"/>
      <c r="E446" s="8"/>
      <c r="F446" s="8"/>
      <c r="G446" s="8"/>
      <c r="H446" s="8"/>
      <c r="I446" s="8"/>
    </row>
    <row r="447" spans="2:9" x14ac:dyDescent="0.2">
      <c r="B447" s="8"/>
      <c r="E447" s="8"/>
      <c r="F447" s="8"/>
      <c r="G447" s="8"/>
      <c r="H447" s="8"/>
      <c r="I447" s="8"/>
    </row>
    <row r="448" spans="2:9" x14ac:dyDescent="0.2">
      <c r="B448" s="8"/>
      <c r="E448" s="8"/>
      <c r="F448" s="8"/>
      <c r="G448" s="8"/>
      <c r="H448" s="8"/>
      <c r="I448" s="8"/>
    </row>
    <row r="449" spans="2:18" x14ac:dyDescent="0.2">
      <c r="B449" s="8"/>
      <c r="E449" s="8"/>
      <c r="F449" s="8"/>
      <c r="G449" s="8"/>
      <c r="H449" s="8"/>
      <c r="I449" s="8"/>
    </row>
    <row r="450" spans="2:18" x14ac:dyDescent="0.2">
      <c r="B450" s="8"/>
      <c r="E450" s="8"/>
      <c r="F450" s="8"/>
      <c r="G450" s="8"/>
      <c r="H450" s="8"/>
      <c r="I450" s="8"/>
    </row>
    <row r="451" spans="2:18" x14ac:dyDescent="0.2">
      <c r="B451" s="8"/>
      <c r="E451" s="8"/>
      <c r="F451" s="8"/>
      <c r="G451" s="8"/>
      <c r="H451" s="8"/>
      <c r="I451" s="8"/>
    </row>
    <row r="452" spans="2:18" x14ac:dyDescent="0.2">
      <c r="E452" s="8"/>
      <c r="F452" s="8"/>
      <c r="G452" s="8"/>
      <c r="H452" s="8"/>
      <c r="I452" s="8"/>
    </row>
    <row r="453" spans="2:18" x14ac:dyDescent="0.2">
      <c r="E453" s="8"/>
      <c r="F453" s="8"/>
      <c r="G453" s="8"/>
      <c r="H453" s="8"/>
      <c r="I453" s="8"/>
    </row>
    <row r="454" spans="2:18" x14ac:dyDescent="0.2">
      <c r="E454" s="8"/>
      <c r="F454" s="8"/>
      <c r="G454" s="8"/>
      <c r="H454" s="8"/>
      <c r="I454" s="8"/>
    </row>
    <row r="455" spans="2:18" x14ac:dyDescent="0.2">
      <c r="E455" s="8"/>
      <c r="F455" s="8"/>
      <c r="G455" s="8"/>
      <c r="H455" s="8"/>
      <c r="I455" s="8"/>
    </row>
    <row r="456" spans="2:18" x14ac:dyDescent="0.2">
      <c r="E456" s="8"/>
      <c r="F456" s="8"/>
      <c r="G456" s="8"/>
      <c r="H456" s="8"/>
      <c r="I456" s="8"/>
    </row>
    <row r="457" spans="2:18" x14ac:dyDescent="0.2">
      <c r="E457" s="8"/>
      <c r="F457" s="8"/>
      <c r="G457" s="8"/>
      <c r="H457" s="8"/>
      <c r="I457" s="8"/>
    </row>
    <row r="458" spans="2:18" x14ac:dyDescent="0.2">
      <c r="E458" s="8"/>
      <c r="F458" s="8"/>
      <c r="G458" s="8"/>
      <c r="H458" s="8"/>
      <c r="I458" s="8"/>
    </row>
    <row r="459" spans="2:18" x14ac:dyDescent="0.2">
      <c r="E459" s="8"/>
      <c r="F459" s="8"/>
      <c r="G459" s="8"/>
      <c r="H459" s="8"/>
      <c r="I459" s="8"/>
    </row>
    <row r="460" spans="2:18" x14ac:dyDescent="0.2">
      <c r="E460" s="8"/>
      <c r="F460" s="8"/>
      <c r="G460" s="8"/>
      <c r="H460" s="8"/>
      <c r="I460" s="8"/>
    </row>
    <row r="461" spans="2:18" x14ac:dyDescent="0.2">
      <c r="E461" s="8"/>
      <c r="F461" s="8"/>
      <c r="G461" s="8"/>
      <c r="H461" s="8"/>
      <c r="I461" s="8"/>
    </row>
    <row r="462" spans="2:18" x14ac:dyDescent="0.2">
      <c r="E462" s="8"/>
      <c r="F462" s="8"/>
      <c r="G462" s="8"/>
      <c r="H462" s="8"/>
      <c r="I462" s="8"/>
    </row>
    <row r="463" spans="2:18" x14ac:dyDescent="0.2">
      <c r="E463" s="8"/>
      <c r="F463" s="8"/>
      <c r="G463" s="8"/>
      <c r="H463" s="8"/>
      <c r="I463" s="8"/>
    </row>
    <row r="464" spans="2:18" x14ac:dyDescent="0.2">
      <c r="B464" s="2"/>
      <c r="C464" s="11"/>
      <c r="D464" s="1"/>
      <c r="E464" s="10"/>
      <c r="F464" s="10"/>
      <c r="G464" s="10"/>
      <c r="H464" s="10"/>
      <c r="I464" s="10"/>
      <c r="J464" s="5"/>
      <c r="K464" s="5"/>
      <c r="L464" s="5"/>
      <c r="M464" s="5"/>
      <c r="N464" s="5"/>
      <c r="O464" s="5"/>
      <c r="P464" s="5"/>
      <c r="Q464" s="5"/>
      <c r="R464" s="5"/>
    </row>
    <row r="465" spans="2:18" x14ac:dyDescent="0.2">
      <c r="E465" s="8"/>
      <c r="F465" s="8"/>
      <c r="G465" s="8"/>
      <c r="H465" s="8"/>
      <c r="I465" s="8"/>
    </row>
    <row r="466" spans="2:18" x14ac:dyDescent="0.2">
      <c r="C466" s="11"/>
      <c r="D466" s="1"/>
      <c r="E466" s="10"/>
      <c r="F466" s="10"/>
      <c r="G466" s="10"/>
      <c r="H466" s="10"/>
      <c r="I466" s="10"/>
      <c r="J466" s="5"/>
      <c r="K466" s="5"/>
      <c r="L466" s="5"/>
      <c r="M466" s="5"/>
      <c r="N466" s="5"/>
      <c r="O466" s="5"/>
      <c r="P466" s="5"/>
      <c r="Q466" s="5"/>
      <c r="R466" s="5"/>
    </row>
    <row r="467" spans="2:18" x14ac:dyDescent="0.2">
      <c r="E467" s="8"/>
      <c r="F467" s="8"/>
      <c r="G467" s="8"/>
      <c r="H467" s="8"/>
      <c r="I467" s="8"/>
    </row>
    <row r="468" spans="2:18" x14ac:dyDescent="0.2">
      <c r="E468" s="8"/>
      <c r="F468" s="8"/>
      <c r="G468" s="8"/>
      <c r="H468" s="8"/>
      <c r="I468" s="8"/>
    </row>
    <row r="469" spans="2:18" x14ac:dyDescent="0.2">
      <c r="C469" s="11"/>
      <c r="D469" s="1"/>
      <c r="E469" s="10"/>
      <c r="F469" s="10"/>
      <c r="G469" s="10"/>
      <c r="H469" s="10"/>
      <c r="I469" s="10"/>
      <c r="J469" s="5"/>
      <c r="K469" s="5"/>
      <c r="L469" s="5"/>
      <c r="M469" s="5"/>
      <c r="N469" s="5"/>
      <c r="O469" s="5"/>
      <c r="P469" s="5"/>
      <c r="Q469" s="5"/>
      <c r="R469" s="5"/>
    </row>
    <row r="470" spans="2:18" x14ac:dyDescent="0.2">
      <c r="E470" s="8"/>
      <c r="F470" s="8"/>
      <c r="G470" s="8"/>
      <c r="H470" s="8"/>
      <c r="I470" s="8"/>
    </row>
    <row r="471" spans="2:18" x14ac:dyDescent="0.2">
      <c r="B471" s="2"/>
      <c r="C471" s="11"/>
      <c r="D471" s="1"/>
      <c r="E471" s="10"/>
      <c r="F471" s="10"/>
      <c r="G471" s="10"/>
      <c r="H471" s="10"/>
      <c r="I471" s="10"/>
      <c r="J471" s="5"/>
      <c r="K471" s="5"/>
      <c r="L471" s="5"/>
      <c r="M471" s="5"/>
      <c r="N471" s="5"/>
      <c r="O471" s="5"/>
      <c r="P471" s="5"/>
      <c r="Q471" s="5"/>
      <c r="R471" s="5"/>
    </row>
    <row r="472" spans="2:18" x14ac:dyDescent="0.2">
      <c r="E472" s="8"/>
      <c r="F472" s="8"/>
      <c r="G472" s="8"/>
      <c r="H472" s="8"/>
      <c r="I472" s="8"/>
    </row>
    <row r="473" spans="2:18" x14ac:dyDescent="0.2">
      <c r="E473" s="8"/>
      <c r="F473" s="8"/>
      <c r="G473" s="8"/>
      <c r="H473" s="8"/>
      <c r="I473" s="8"/>
    </row>
    <row r="474" spans="2:18" x14ac:dyDescent="0.2">
      <c r="E474" s="8"/>
      <c r="F474" s="8"/>
      <c r="G474" s="8"/>
      <c r="H474" s="8"/>
      <c r="I474" s="8"/>
    </row>
    <row r="475" spans="2:18" x14ac:dyDescent="0.2">
      <c r="E475" s="8"/>
      <c r="F475" s="8"/>
      <c r="G475" s="8"/>
      <c r="H475" s="8"/>
      <c r="I475" s="8"/>
    </row>
    <row r="476" spans="2:18" x14ac:dyDescent="0.2">
      <c r="E476" s="8"/>
      <c r="F476" s="8"/>
      <c r="G476" s="8"/>
      <c r="H476" s="8"/>
      <c r="I476" s="8"/>
    </row>
    <row r="477" spans="2:18" x14ac:dyDescent="0.2">
      <c r="E477" s="8"/>
      <c r="F477" s="8"/>
      <c r="G477" s="8"/>
      <c r="H477" s="8"/>
      <c r="I477" s="8"/>
    </row>
    <row r="478" spans="2:18" x14ac:dyDescent="0.2">
      <c r="E478" s="8"/>
      <c r="F478" s="8"/>
      <c r="G478" s="8"/>
      <c r="H478" s="8"/>
      <c r="I478" s="8"/>
    </row>
    <row r="479" spans="2:18" x14ac:dyDescent="0.2">
      <c r="E479" s="8"/>
      <c r="F479" s="8"/>
      <c r="G479" s="8"/>
      <c r="H479" s="8"/>
      <c r="I479" s="8"/>
    </row>
    <row r="480" spans="2:18" x14ac:dyDescent="0.2">
      <c r="E480" s="8"/>
      <c r="F480" s="8"/>
      <c r="G480" s="8"/>
      <c r="H480" s="8"/>
      <c r="I480" s="8"/>
    </row>
    <row r="481" spans="5:9" x14ac:dyDescent="0.2">
      <c r="E481" s="8"/>
      <c r="F481" s="8"/>
      <c r="G481" s="8"/>
      <c r="H481" s="8"/>
      <c r="I481" s="8"/>
    </row>
    <row r="482" spans="5:9" x14ac:dyDescent="0.2">
      <c r="E482" s="8"/>
      <c r="F482" s="8"/>
      <c r="G482" s="8"/>
      <c r="H482" s="8"/>
      <c r="I482" s="8"/>
    </row>
    <row r="483" spans="5:9" x14ac:dyDescent="0.2">
      <c r="E483" s="8"/>
      <c r="F483" s="8"/>
      <c r="G483" s="8"/>
      <c r="H483" s="8"/>
      <c r="I483" s="8"/>
    </row>
    <row r="484" spans="5:9" x14ac:dyDescent="0.2">
      <c r="E484" s="8"/>
      <c r="F484" s="8"/>
      <c r="G484" s="8"/>
      <c r="H484" s="8"/>
      <c r="I484" s="8"/>
    </row>
    <row r="485" spans="5:9" x14ac:dyDescent="0.2">
      <c r="E485" s="8"/>
      <c r="F485" s="8"/>
      <c r="G485" s="8"/>
      <c r="H485" s="8"/>
      <c r="I485" s="8"/>
    </row>
    <row r="486" spans="5:9" x14ac:dyDescent="0.2">
      <c r="E486" s="8"/>
      <c r="F486" s="8"/>
      <c r="G486" s="8"/>
      <c r="H486" s="8"/>
      <c r="I486" s="8"/>
    </row>
    <row r="487" spans="5:9" x14ac:dyDescent="0.2">
      <c r="E487" s="8"/>
      <c r="F487" s="8"/>
      <c r="G487" s="8"/>
      <c r="H487" s="8"/>
      <c r="I487" s="8"/>
    </row>
    <row r="488" spans="5:9" x14ac:dyDescent="0.2">
      <c r="E488" s="8"/>
      <c r="F488" s="8"/>
      <c r="G488" s="8"/>
      <c r="H488" s="8"/>
      <c r="I488" s="8"/>
    </row>
    <row r="489" spans="5:9" x14ac:dyDescent="0.2">
      <c r="E489" s="8"/>
      <c r="F489" s="8"/>
      <c r="G489" s="8"/>
      <c r="H489" s="8"/>
      <c r="I489" s="8"/>
    </row>
    <row r="490" spans="5:9" x14ac:dyDescent="0.2">
      <c r="E490" s="8"/>
      <c r="F490" s="8"/>
      <c r="G490" s="8"/>
      <c r="H490" s="8"/>
      <c r="I490" s="8"/>
    </row>
    <row r="491" spans="5:9" x14ac:dyDescent="0.2">
      <c r="E491" s="8"/>
      <c r="F491" s="8"/>
      <c r="G491" s="8"/>
      <c r="H491" s="8"/>
      <c r="I491" s="8"/>
    </row>
    <row r="492" spans="5:9" x14ac:dyDescent="0.2">
      <c r="E492" s="8"/>
      <c r="F492" s="8"/>
      <c r="G492" s="8"/>
      <c r="H492" s="8"/>
      <c r="I492" s="8"/>
    </row>
    <row r="493" spans="5:9" x14ac:dyDescent="0.2">
      <c r="E493" s="8"/>
      <c r="F493" s="8"/>
      <c r="G493" s="8"/>
      <c r="H493" s="8"/>
      <c r="I493" s="8"/>
    </row>
    <row r="494" spans="5:9" x14ac:dyDescent="0.2">
      <c r="E494" s="8"/>
      <c r="F494" s="8"/>
      <c r="G494" s="8"/>
      <c r="H494" s="8"/>
      <c r="I494" s="8"/>
    </row>
    <row r="495" spans="5:9" x14ac:dyDescent="0.2">
      <c r="E495" s="8"/>
      <c r="F495" s="8"/>
      <c r="G495" s="8"/>
      <c r="H495" s="8"/>
      <c r="I495" s="8"/>
    </row>
    <row r="496" spans="5:9" x14ac:dyDescent="0.2">
      <c r="E496" s="8"/>
      <c r="F496" s="8"/>
      <c r="G496" s="8"/>
      <c r="H496" s="8"/>
      <c r="I496" s="8"/>
    </row>
    <row r="497" spans="5:9" x14ac:dyDescent="0.2">
      <c r="E497" s="8"/>
      <c r="F497" s="8"/>
      <c r="G497" s="8"/>
      <c r="H497" s="8"/>
      <c r="I497" s="8"/>
    </row>
    <row r="525" spans="3:18" x14ac:dyDescent="0.2">
      <c r="C525" s="11"/>
      <c r="D525" s="1"/>
      <c r="E525" s="5"/>
      <c r="F525" s="5"/>
      <c r="G525" s="5"/>
      <c r="H525" s="5"/>
      <c r="I525" s="5"/>
      <c r="J525" s="5"/>
      <c r="K525" s="5"/>
      <c r="L525" s="5"/>
      <c r="M525" s="5"/>
      <c r="N525" s="5"/>
      <c r="O525" s="5"/>
      <c r="P525" s="5"/>
      <c r="Q525" s="5"/>
      <c r="R525" s="5"/>
    </row>
    <row r="526" spans="3:18" x14ac:dyDescent="0.2">
      <c r="C526" s="11"/>
      <c r="D526" s="1"/>
      <c r="E526" s="5"/>
      <c r="F526" s="5"/>
      <c r="G526" s="5"/>
      <c r="H526" s="5"/>
      <c r="I526" s="5"/>
      <c r="J526" s="5"/>
      <c r="K526" s="5"/>
      <c r="L526" s="5"/>
      <c r="M526" s="5"/>
      <c r="N526" s="5"/>
      <c r="O526" s="5"/>
      <c r="P526" s="5"/>
      <c r="Q526" s="5"/>
      <c r="R526" s="5"/>
    </row>
    <row r="530" spans="2:18" x14ac:dyDescent="0.2">
      <c r="B530" s="2"/>
      <c r="C530" s="11"/>
      <c r="D530" s="1"/>
      <c r="E530" s="5"/>
      <c r="F530" s="5"/>
      <c r="G530" s="5"/>
      <c r="H530" s="5"/>
      <c r="I530" s="5"/>
      <c r="J530" s="5"/>
      <c r="K530" s="5"/>
      <c r="L530" s="5"/>
      <c r="M530" s="5"/>
      <c r="N530" s="5"/>
      <c r="O530" s="5"/>
      <c r="P530" s="5"/>
      <c r="Q530" s="5"/>
      <c r="R530" s="5"/>
    </row>
    <row r="533" spans="2:18" x14ac:dyDescent="0.2">
      <c r="C533" s="11"/>
      <c r="D533" s="1"/>
      <c r="E533" s="5"/>
      <c r="F533" s="5"/>
      <c r="G533" s="5"/>
      <c r="H533" s="5"/>
      <c r="I533" s="5"/>
      <c r="J533" s="5"/>
      <c r="K533" s="5"/>
      <c r="L533" s="5"/>
      <c r="M533" s="5"/>
      <c r="N533" s="5"/>
      <c r="O533" s="5"/>
      <c r="P533" s="5"/>
      <c r="Q533" s="5"/>
      <c r="R533" s="5"/>
    </row>
    <row r="550" spans="2:18" x14ac:dyDescent="0.2">
      <c r="B550" s="2"/>
      <c r="C550" s="11"/>
      <c r="D550" s="1"/>
      <c r="E550" s="5"/>
      <c r="F550" s="5"/>
      <c r="G550" s="5"/>
      <c r="H550" s="5"/>
      <c r="I550" s="5"/>
      <c r="J550" s="5"/>
      <c r="K550" s="5"/>
      <c r="L550" s="5"/>
      <c r="M550" s="5"/>
      <c r="N550" s="5"/>
      <c r="O550" s="5"/>
      <c r="P550" s="5"/>
      <c r="Q550" s="5"/>
      <c r="R550" s="5"/>
    </row>
    <row r="551" spans="2:18" x14ac:dyDescent="0.2">
      <c r="C551" s="11"/>
      <c r="D551" s="1"/>
      <c r="E551" s="5"/>
      <c r="F551" s="5"/>
      <c r="G551" s="5"/>
      <c r="H551" s="5"/>
      <c r="I551" s="5"/>
      <c r="J551" s="5"/>
      <c r="K551" s="5"/>
      <c r="L551" s="5"/>
      <c r="M551" s="5"/>
      <c r="N551" s="5"/>
      <c r="O551" s="5"/>
      <c r="P551" s="5"/>
      <c r="Q551" s="5"/>
      <c r="R551" s="5"/>
    </row>
    <row r="556" spans="2:18" x14ac:dyDescent="0.2">
      <c r="C556" s="11"/>
      <c r="D556" s="1"/>
      <c r="E556" s="5"/>
      <c r="F556" s="5"/>
      <c r="G556" s="5"/>
      <c r="H556" s="5"/>
      <c r="I556" s="5"/>
      <c r="J556" s="5"/>
      <c r="K556" s="5"/>
      <c r="L556" s="5"/>
      <c r="M556" s="5"/>
      <c r="N556" s="5"/>
      <c r="O556" s="5"/>
      <c r="P556" s="5"/>
      <c r="Q556" s="5"/>
      <c r="R556" s="5"/>
    </row>
    <row r="565" spans="2:18" x14ac:dyDescent="0.2">
      <c r="C565" s="11"/>
      <c r="D565" s="1"/>
      <c r="E565" s="5"/>
      <c r="F565" s="5"/>
      <c r="G565" s="5"/>
      <c r="H565" s="5"/>
      <c r="I565" s="5"/>
      <c r="J565" s="5"/>
      <c r="K565" s="5"/>
      <c r="L565" s="5"/>
      <c r="M565" s="5"/>
      <c r="N565" s="5"/>
      <c r="O565" s="5"/>
      <c r="P565" s="5"/>
      <c r="Q565" s="5"/>
      <c r="R565" s="5"/>
    </row>
    <row r="574" spans="2:18" x14ac:dyDescent="0.2">
      <c r="B574" s="2"/>
      <c r="C574" s="11"/>
      <c r="D574" s="1"/>
      <c r="E574" s="5"/>
      <c r="F574" s="5"/>
      <c r="G574" s="5"/>
      <c r="H574" s="5"/>
      <c r="I574" s="5"/>
      <c r="J574" s="5"/>
      <c r="K574" s="5"/>
      <c r="L574" s="5"/>
      <c r="M574" s="5"/>
      <c r="N574" s="5"/>
      <c r="O574" s="5"/>
      <c r="P574" s="5"/>
      <c r="Q574" s="5"/>
      <c r="R574" s="5"/>
    </row>
    <row r="582" spans="3:18" x14ac:dyDescent="0.2">
      <c r="C582" s="11"/>
      <c r="D582" s="1"/>
      <c r="E582" s="5"/>
      <c r="F582" s="5"/>
      <c r="G582" s="5"/>
      <c r="H582" s="5"/>
      <c r="I582" s="5"/>
      <c r="J582" s="5"/>
      <c r="K582" s="5"/>
      <c r="L582" s="5"/>
      <c r="M582" s="5"/>
      <c r="N582" s="5"/>
      <c r="O582" s="5"/>
      <c r="P582" s="5"/>
      <c r="Q582" s="5"/>
      <c r="R582" s="5"/>
    </row>
    <row r="594" spans="3:18" x14ac:dyDescent="0.2">
      <c r="C594" s="11"/>
      <c r="D594" s="1"/>
      <c r="E594" s="5"/>
      <c r="F594" s="5"/>
      <c r="G594" s="5"/>
      <c r="H594" s="5"/>
      <c r="I594" s="5"/>
      <c r="J594" s="5"/>
      <c r="K594" s="5"/>
      <c r="L594" s="5"/>
      <c r="M594" s="5"/>
      <c r="N594" s="5"/>
      <c r="O594" s="5"/>
      <c r="P594" s="5"/>
      <c r="Q594" s="5"/>
      <c r="R594" s="5"/>
    </row>
    <row r="886" spans="3:18" x14ac:dyDescent="0.2">
      <c r="C886" s="11"/>
      <c r="D886" s="1"/>
      <c r="E886" s="5"/>
      <c r="F886" s="5"/>
      <c r="G886" s="5"/>
      <c r="H886" s="5"/>
      <c r="I886" s="5"/>
      <c r="J886" s="5"/>
      <c r="K886" s="5"/>
      <c r="L886" s="5"/>
      <c r="M886" s="5"/>
      <c r="N886" s="5"/>
      <c r="O886" s="5"/>
      <c r="P886" s="5"/>
      <c r="Q886" s="5"/>
      <c r="R886" s="5"/>
    </row>
    <row r="909" spans="2:18" x14ac:dyDescent="0.2">
      <c r="B909" s="2"/>
      <c r="C909" s="11"/>
      <c r="D909" s="1"/>
      <c r="E909" s="5"/>
      <c r="F909" s="5"/>
      <c r="G909" s="5"/>
      <c r="H909" s="5"/>
      <c r="I909" s="5"/>
      <c r="J909" s="5"/>
      <c r="K909" s="5"/>
      <c r="L909" s="5"/>
      <c r="M909" s="5"/>
      <c r="N909" s="5"/>
      <c r="O909" s="5"/>
      <c r="P909" s="5"/>
      <c r="Q909" s="5"/>
      <c r="R909" s="5"/>
    </row>
    <row r="963" spans="2:18" x14ac:dyDescent="0.2">
      <c r="B963" s="2"/>
      <c r="C963" s="11"/>
      <c r="D963" s="1"/>
      <c r="E963" s="5"/>
      <c r="F963" s="5"/>
      <c r="G963" s="5"/>
      <c r="H963" s="5"/>
      <c r="I963" s="5"/>
      <c r="J963" s="5"/>
      <c r="K963" s="5"/>
      <c r="L963" s="5"/>
      <c r="M963" s="5"/>
      <c r="N963" s="5"/>
      <c r="O963" s="5"/>
      <c r="P963" s="5"/>
      <c r="Q963" s="5"/>
      <c r="R963" s="5"/>
    </row>
    <row r="967" spans="2:18" x14ac:dyDescent="0.2">
      <c r="B967" s="2"/>
      <c r="C967" s="11"/>
      <c r="D967" s="1"/>
      <c r="E967" s="5"/>
      <c r="F967" s="5"/>
      <c r="G967" s="5"/>
      <c r="H967" s="5"/>
      <c r="I967" s="5"/>
      <c r="J967" s="5"/>
      <c r="K967" s="5"/>
      <c r="L967" s="5"/>
      <c r="M967" s="5"/>
      <c r="N967" s="5"/>
      <c r="O967" s="5"/>
      <c r="P967" s="5"/>
      <c r="Q967" s="5"/>
      <c r="R967" s="5"/>
    </row>
    <row r="989" spans="2:18" x14ac:dyDescent="0.2">
      <c r="B989" s="2"/>
      <c r="C989" s="11"/>
      <c r="D989" s="1"/>
      <c r="E989" s="5"/>
      <c r="F989" s="5"/>
      <c r="G989" s="5"/>
      <c r="H989" s="5"/>
      <c r="I989" s="5"/>
      <c r="J989" s="5"/>
      <c r="K989" s="5"/>
      <c r="L989" s="5"/>
      <c r="M989" s="5"/>
      <c r="N989" s="5"/>
      <c r="O989" s="5"/>
      <c r="P989" s="5"/>
      <c r="Q989" s="5"/>
      <c r="R989" s="5"/>
    </row>
    <row r="1004" spans="2:18" x14ac:dyDescent="0.2">
      <c r="B1004" s="2"/>
      <c r="C1004" s="11"/>
      <c r="D1004" s="1"/>
      <c r="E1004" s="5"/>
      <c r="F1004" s="5"/>
      <c r="G1004" s="5"/>
      <c r="H1004" s="5"/>
      <c r="I1004" s="5"/>
      <c r="J1004" s="5"/>
      <c r="K1004" s="5"/>
      <c r="L1004" s="5"/>
      <c r="M1004" s="5"/>
      <c r="N1004" s="5"/>
      <c r="O1004" s="5"/>
      <c r="P1004" s="5"/>
      <c r="Q1004" s="5"/>
      <c r="R1004" s="5"/>
    </row>
    <row r="1005" spans="2:18" x14ac:dyDescent="0.2">
      <c r="B1005" s="2"/>
      <c r="C1005" s="11"/>
      <c r="D1005" s="1"/>
      <c r="E1005" s="5"/>
      <c r="F1005" s="5"/>
      <c r="G1005" s="5"/>
      <c r="H1005" s="5"/>
      <c r="I1005" s="5"/>
      <c r="J1005" s="5"/>
      <c r="K1005" s="5"/>
      <c r="L1005" s="5"/>
      <c r="M1005" s="5"/>
      <c r="N1005" s="5"/>
      <c r="O1005" s="5"/>
      <c r="P1005" s="5"/>
      <c r="Q1005" s="5"/>
      <c r="R1005" s="5"/>
    </row>
    <row r="1010" spans="2:18" x14ac:dyDescent="0.2">
      <c r="B1010" s="2"/>
      <c r="C1010" s="11"/>
      <c r="D1010" s="1"/>
      <c r="E1010" s="5"/>
      <c r="F1010" s="5"/>
      <c r="G1010" s="5"/>
      <c r="H1010" s="5"/>
      <c r="I1010" s="5"/>
      <c r="J1010" s="5"/>
      <c r="K1010" s="5"/>
      <c r="L1010" s="5"/>
      <c r="M1010" s="5"/>
      <c r="N1010" s="5"/>
      <c r="O1010" s="5"/>
      <c r="P1010" s="5"/>
      <c r="Q1010" s="5"/>
      <c r="R1010" s="5"/>
    </row>
    <row r="1015" spans="2:18" x14ac:dyDescent="0.2">
      <c r="B1015" s="2"/>
      <c r="C1015" s="11"/>
      <c r="D1015" s="1"/>
      <c r="E1015" s="5"/>
      <c r="F1015" s="5"/>
      <c r="G1015" s="5"/>
      <c r="H1015" s="5"/>
      <c r="I1015" s="5"/>
      <c r="J1015" s="5"/>
      <c r="K1015" s="5"/>
      <c r="L1015" s="5"/>
      <c r="M1015" s="5"/>
      <c r="N1015" s="5"/>
      <c r="O1015" s="5"/>
      <c r="P1015" s="5"/>
      <c r="Q1015" s="5"/>
      <c r="R1015" s="5"/>
    </row>
    <row r="1016" spans="2:18" x14ac:dyDescent="0.2">
      <c r="B1016" s="2"/>
      <c r="C1016" s="11"/>
      <c r="D1016" s="1"/>
      <c r="E1016" s="5"/>
      <c r="F1016" s="5"/>
      <c r="G1016" s="5"/>
      <c r="H1016" s="5"/>
      <c r="I1016" s="5"/>
      <c r="J1016" s="5"/>
      <c r="K1016" s="5"/>
      <c r="L1016" s="5"/>
      <c r="M1016" s="5"/>
      <c r="N1016" s="5"/>
      <c r="O1016" s="5"/>
      <c r="P1016" s="5"/>
      <c r="Q1016" s="5"/>
      <c r="R1016" s="5"/>
    </row>
    <row r="1020" spans="2:18" x14ac:dyDescent="0.2">
      <c r="B1020" s="2"/>
      <c r="C1020" s="11"/>
      <c r="D1020" s="1"/>
      <c r="E1020" s="5"/>
      <c r="F1020" s="5"/>
      <c r="G1020" s="5"/>
      <c r="H1020" s="5"/>
      <c r="I1020" s="5"/>
      <c r="J1020" s="5"/>
      <c r="K1020" s="5"/>
      <c r="L1020" s="5"/>
      <c r="M1020" s="5"/>
      <c r="N1020" s="5"/>
      <c r="O1020" s="5"/>
      <c r="P1020" s="5"/>
      <c r="Q1020" s="5"/>
      <c r="R1020" s="5"/>
    </row>
    <row r="1029" spans="2:18" x14ac:dyDescent="0.2">
      <c r="B1029" s="2"/>
      <c r="C1029" s="11"/>
      <c r="D1029" s="1"/>
      <c r="E1029" s="5"/>
      <c r="F1029" s="5"/>
      <c r="G1029" s="5"/>
      <c r="H1029" s="5"/>
      <c r="I1029" s="5"/>
      <c r="J1029" s="5"/>
      <c r="K1029" s="5"/>
      <c r="L1029" s="5"/>
      <c r="M1029" s="5"/>
      <c r="N1029" s="5"/>
      <c r="O1029" s="5"/>
      <c r="P1029" s="5"/>
      <c r="Q1029" s="5"/>
      <c r="R1029" s="5"/>
    </row>
    <row r="1031" spans="2:18" x14ac:dyDescent="0.2">
      <c r="B1031" s="2"/>
      <c r="C1031" s="11"/>
      <c r="D1031" s="1"/>
      <c r="E1031" s="5"/>
      <c r="F1031" s="5"/>
      <c r="G1031" s="5"/>
      <c r="H1031" s="5"/>
      <c r="I1031" s="5"/>
      <c r="J1031" s="5"/>
      <c r="K1031" s="5"/>
      <c r="L1031" s="5"/>
      <c r="M1031" s="5"/>
      <c r="N1031" s="5"/>
      <c r="O1031" s="5"/>
      <c r="P1031" s="5"/>
      <c r="Q1031" s="5"/>
      <c r="R1031" s="5"/>
    </row>
    <row r="1038" spans="2:18" x14ac:dyDescent="0.2">
      <c r="B1038" s="2"/>
      <c r="C1038" s="11"/>
      <c r="D1038" s="1"/>
      <c r="E1038" s="5"/>
      <c r="F1038" s="5"/>
      <c r="G1038" s="5"/>
      <c r="H1038" s="5"/>
      <c r="I1038" s="5"/>
      <c r="J1038" s="5"/>
      <c r="K1038" s="5"/>
      <c r="L1038" s="5"/>
      <c r="M1038" s="5"/>
      <c r="N1038" s="5"/>
      <c r="O1038" s="5"/>
      <c r="P1038" s="5"/>
      <c r="Q1038" s="5"/>
      <c r="R1038" s="5"/>
    </row>
    <row r="1044" spans="2:18" x14ac:dyDescent="0.2">
      <c r="B1044" s="2"/>
      <c r="C1044" s="11"/>
      <c r="D1044" s="1"/>
      <c r="E1044" s="5"/>
      <c r="F1044" s="5"/>
      <c r="G1044" s="5"/>
      <c r="H1044" s="5"/>
      <c r="I1044" s="5"/>
      <c r="J1044" s="5"/>
      <c r="K1044" s="5"/>
      <c r="L1044" s="5"/>
      <c r="M1044" s="5"/>
      <c r="N1044" s="5"/>
      <c r="O1044" s="5"/>
      <c r="P1044" s="5"/>
      <c r="Q1044" s="5"/>
      <c r="R1044" s="5"/>
    </row>
    <row r="1045" spans="2:18" x14ac:dyDescent="0.2">
      <c r="B1045" s="2"/>
      <c r="C1045" s="11"/>
      <c r="D1045" s="1"/>
      <c r="E1045" s="5"/>
      <c r="F1045" s="5"/>
      <c r="G1045" s="5"/>
      <c r="H1045" s="5"/>
      <c r="I1045" s="5"/>
      <c r="J1045" s="5"/>
      <c r="K1045" s="5"/>
      <c r="L1045" s="5"/>
      <c r="M1045" s="5"/>
      <c r="N1045" s="5"/>
      <c r="O1045" s="5"/>
      <c r="P1045" s="5"/>
      <c r="Q1045" s="5"/>
      <c r="R1045" s="5"/>
    </row>
    <row r="1047" spans="2:18" x14ac:dyDescent="0.2">
      <c r="B1047" s="2"/>
      <c r="C1047" s="11"/>
      <c r="D1047" s="1"/>
      <c r="E1047" s="5"/>
      <c r="F1047" s="5"/>
      <c r="G1047" s="5"/>
      <c r="H1047" s="5"/>
      <c r="I1047" s="5"/>
      <c r="J1047" s="5"/>
      <c r="K1047" s="5"/>
      <c r="L1047" s="5"/>
      <c r="M1047" s="5"/>
      <c r="N1047" s="5"/>
      <c r="O1047" s="5"/>
      <c r="P1047" s="5"/>
      <c r="Q1047" s="5"/>
      <c r="R1047" s="5"/>
    </row>
    <row r="1048" spans="2:18" x14ac:dyDescent="0.2">
      <c r="B1048" s="2"/>
      <c r="C1048" s="11"/>
      <c r="D1048" s="1"/>
      <c r="E1048" s="5"/>
      <c r="F1048" s="5"/>
      <c r="G1048" s="5"/>
      <c r="H1048" s="5"/>
      <c r="I1048" s="5"/>
      <c r="J1048" s="5"/>
      <c r="K1048" s="5"/>
      <c r="L1048" s="5"/>
      <c r="M1048" s="5"/>
      <c r="N1048" s="5"/>
      <c r="O1048" s="5"/>
      <c r="P1048" s="5"/>
      <c r="Q1048" s="5"/>
      <c r="R1048" s="5"/>
    </row>
    <row r="1049" spans="2:18" x14ac:dyDescent="0.2">
      <c r="B1049" s="2"/>
      <c r="C1049" s="11"/>
      <c r="D1049" s="1"/>
      <c r="E1049" s="5"/>
      <c r="F1049" s="5"/>
      <c r="G1049" s="5"/>
      <c r="H1049" s="5"/>
      <c r="I1049" s="5"/>
      <c r="J1049" s="5"/>
      <c r="K1049" s="5"/>
      <c r="L1049" s="5"/>
      <c r="M1049" s="5"/>
      <c r="N1049" s="5"/>
      <c r="O1049" s="5"/>
      <c r="P1049" s="5"/>
      <c r="Q1049" s="5"/>
      <c r="R1049" s="5"/>
    </row>
    <row r="1052" spans="2:18" x14ac:dyDescent="0.2">
      <c r="B1052" s="2"/>
      <c r="C1052" s="11"/>
      <c r="D1052" s="1"/>
      <c r="E1052" s="5"/>
      <c r="F1052" s="5"/>
      <c r="G1052" s="5"/>
      <c r="H1052" s="5"/>
      <c r="I1052" s="5"/>
      <c r="J1052" s="5"/>
      <c r="K1052" s="5"/>
      <c r="L1052" s="5"/>
      <c r="M1052" s="5"/>
      <c r="N1052" s="5"/>
      <c r="O1052" s="5"/>
      <c r="P1052" s="5"/>
      <c r="Q1052" s="5"/>
      <c r="R1052" s="5"/>
    </row>
    <row r="1055" spans="2:18" x14ac:dyDescent="0.2">
      <c r="B1055" s="2"/>
      <c r="C1055" s="11"/>
      <c r="D1055" s="1"/>
      <c r="E1055" s="5"/>
      <c r="F1055" s="5"/>
      <c r="G1055" s="5"/>
      <c r="H1055" s="5"/>
      <c r="I1055" s="5"/>
      <c r="J1055" s="5"/>
      <c r="K1055" s="5"/>
      <c r="L1055" s="5"/>
      <c r="M1055" s="5"/>
      <c r="N1055" s="5"/>
      <c r="O1055" s="5"/>
      <c r="P1055" s="5"/>
      <c r="Q1055" s="5"/>
      <c r="R1055" s="5"/>
    </row>
    <row r="1057" spans="2:18" x14ac:dyDescent="0.2">
      <c r="B1057" s="2"/>
      <c r="C1057" s="11"/>
      <c r="D1057" s="1"/>
      <c r="E1057" s="5"/>
      <c r="F1057" s="5"/>
      <c r="G1057" s="5"/>
      <c r="H1057" s="5"/>
      <c r="I1057" s="5"/>
      <c r="J1057" s="5"/>
      <c r="K1057" s="5"/>
      <c r="L1057" s="5"/>
      <c r="M1057" s="5"/>
      <c r="N1057" s="5"/>
      <c r="O1057" s="5"/>
      <c r="P1057" s="5"/>
      <c r="Q1057" s="5"/>
      <c r="R1057" s="5"/>
    </row>
    <row r="1059" spans="2:18" x14ac:dyDescent="0.2">
      <c r="B1059" s="2"/>
      <c r="C1059" s="11"/>
      <c r="D1059" s="1"/>
      <c r="E1059" s="5"/>
      <c r="F1059" s="5"/>
      <c r="G1059" s="5"/>
      <c r="H1059" s="5"/>
      <c r="I1059" s="5"/>
      <c r="J1059" s="5"/>
      <c r="K1059" s="5"/>
      <c r="L1059" s="5"/>
      <c r="M1059" s="5"/>
      <c r="N1059" s="5"/>
      <c r="O1059" s="5"/>
      <c r="P1059" s="5"/>
      <c r="Q1059" s="5"/>
      <c r="R1059" s="5"/>
    </row>
    <row r="1060" spans="2:18" x14ac:dyDescent="0.2">
      <c r="B1060" s="2"/>
      <c r="C1060" s="11"/>
      <c r="D1060" s="1"/>
      <c r="E1060" s="5"/>
      <c r="F1060" s="5"/>
      <c r="G1060" s="5"/>
      <c r="H1060" s="5"/>
      <c r="I1060" s="5"/>
      <c r="J1060" s="5"/>
      <c r="K1060" s="5"/>
      <c r="L1060" s="5"/>
      <c r="M1060" s="5"/>
      <c r="N1060" s="5"/>
      <c r="O1060" s="5"/>
      <c r="P1060" s="5"/>
      <c r="Q1060" s="5"/>
      <c r="R1060" s="5"/>
    </row>
    <row r="1064" spans="2:18" x14ac:dyDescent="0.2">
      <c r="B1064" s="2"/>
      <c r="C1064" s="11"/>
      <c r="D1064" s="1"/>
      <c r="E1064" s="5"/>
      <c r="F1064" s="5"/>
      <c r="G1064" s="5"/>
      <c r="H1064" s="5"/>
      <c r="I1064" s="5"/>
      <c r="J1064" s="5"/>
      <c r="K1064" s="5"/>
      <c r="L1064" s="5"/>
      <c r="M1064" s="5"/>
      <c r="N1064" s="5"/>
      <c r="O1064" s="5"/>
      <c r="P1064" s="5"/>
      <c r="Q1064" s="5"/>
      <c r="R1064" s="5"/>
    </row>
    <row r="1069" spans="2:18" x14ac:dyDescent="0.2">
      <c r="B1069" s="2"/>
      <c r="C1069" s="11"/>
      <c r="D1069" s="1"/>
      <c r="E1069" s="5"/>
      <c r="F1069" s="5"/>
      <c r="G1069" s="5"/>
      <c r="H1069" s="5"/>
      <c r="I1069" s="5"/>
      <c r="J1069" s="5"/>
      <c r="K1069" s="5"/>
      <c r="L1069" s="5"/>
      <c r="M1069" s="5"/>
      <c r="N1069" s="5"/>
      <c r="O1069" s="5"/>
      <c r="P1069" s="5"/>
      <c r="Q1069" s="5"/>
      <c r="R1069" s="5"/>
    </row>
    <row r="1070" spans="2:18" x14ac:dyDescent="0.2">
      <c r="B1070" s="2"/>
      <c r="C1070" s="11"/>
      <c r="D1070" s="1"/>
      <c r="E1070" s="5"/>
      <c r="F1070" s="5"/>
      <c r="G1070" s="5"/>
      <c r="H1070" s="5"/>
      <c r="I1070" s="5"/>
      <c r="J1070" s="5"/>
      <c r="K1070" s="5"/>
      <c r="L1070" s="5"/>
      <c r="M1070" s="5"/>
      <c r="N1070" s="5"/>
      <c r="O1070" s="5"/>
      <c r="P1070" s="5"/>
      <c r="Q1070" s="5"/>
      <c r="R1070" s="5"/>
    </row>
    <row r="1072" spans="2:18" x14ac:dyDescent="0.2">
      <c r="B1072" s="3"/>
      <c r="C1072" s="11"/>
      <c r="D1072" s="1"/>
      <c r="E1072" s="5"/>
      <c r="F1072" s="5"/>
      <c r="G1072" s="5"/>
      <c r="H1072" s="5"/>
      <c r="I1072" s="5"/>
      <c r="J1072" s="5"/>
      <c r="K1072" s="5"/>
      <c r="L1072" s="5"/>
      <c r="M1072" s="5"/>
      <c r="N1072" s="5"/>
      <c r="O1072" s="5"/>
      <c r="P1072" s="5"/>
      <c r="Q1072" s="5"/>
      <c r="R1072" s="5"/>
    </row>
    <row r="1074" spans="2:18" x14ac:dyDescent="0.2">
      <c r="B1074" s="2"/>
      <c r="C1074" s="11"/>
      <c r="D1074" s="1"/>
      <c r="E1074" s="5"/>
      <c r="F1074" s="5"/>
      <c r="G1074" s="5"/>
      <c r="H1074" s="5"/>
      <c r="I1074" s="5"/>
      <c r="J1074" s="5"/>
      <c r="K1074" s="5"/>
      <c r="L1074" s="5"/>
      <c r="M1074" s="5"/>
      <c r="N1074" s="5"/>
      <c r="O1074" s="5"/>
      <c r="P1074" s="5"/>
      <c r="Q1074" s="5"/>
      <c r="R1074" s="5"/>
    </row>
    <row r="1077" spans="2:18" x14ac:dyDescent="0.2">
      <c r="B1077" s="2"/>
      <c r="C1077" s="11"/>
      <c r="D1077" s="1"/>
      <c r="E1077" s="5"/>
      <c r="F1077" s="5"/>
      <c r="G1077" s="5"/>
      <c r="H1077" s="5"/>
      <c r="I1077" s="5"/>
      <c r="J1077" s="5"/>
      <c r="K1077" s="5"/>
      <c r="L1077" s="5"/>
      <c r="M1077" s="5"/>
      <c r="N1077" s="5"/>
      <c r="O1077" s="5"/>
      <c r="P1077" s="5"/>
      <c r="Q1077" s="5"/>
      <c r="R1077" s="5"/>
    </row>
    <row r="1080" spans="2:18" x14ac:dyDescent="0.2">
      <c r="B1080" s="3"/>
      <c r="C1080" s="11"/>
      <c r="D1080" s="1"/>
      <c r="E1080" s="5"/>
      <c r="F1080" s="5"/>
      <c r="G1080" s="5"/>
      <c r="H1080" s="5"/>
      <c r="I1080" s="5"/>
      <c r="J1080" s="5"/>
      <c r="K1080" s="5"/>
      <c r="L1080" s="5"/>
      <c r="M1080" s="5"/>
      <c r="N1080" s="5"/>
      <c r="O1080" s="5"/>
      <c r="P1080" s="5"/>
      <c r="Q1080" s="5"/>
      <c r="R1080" s="5"/>
    </row>
    <row r="1087" spans="2:18" x14ac:dyDescent="0.2">
      <c r="B1087" s="3"/>
      <c r="C1087" s="11"/>
      <c r="D1087" s="1"/>
      <c r="E1087" s="5"/>
      <c r="F1087" s="5"/>
      <c r="G1087" s="5"/>
      <c r="H1087" s="5"/>
      <c r="I1087" s="5"/>
      <c r="J1087" s="5"/>
      <c r="K1087" s="5"/>
      <c r="L1087" s="5"/>
      <c r="M1087" s="5"/>
      <c r="N1087" s="5"/>
      <c r="O1087" s="5"/>
      <c r="P1087" s="5"/>
      <c r="Q1087" s="5"/>
      <c r="R1087" s="5"/>
    </row>
    <row r="1091" spans="2:18" x14ac:dyDescent="0.2">
      <c r="C1091" s="11"/>
      <c r="D1091" s="1"/>
      <c r="E1091" s="5"/>
      <c r="F1091" s="5"/>
      <c r="G1091" s="5"/>
      <c r="H1091" s="5"/>
      <c r="I1091" s="5"/>
      <c r="J1091" s="5"/>
      <c r="K1091" s="5"/>
      <c r="L1091" s="5"/>
      <c r="M1091" s="5"/>
      <c r="N1091" s="5"/>
      <c r="O1091" s="5"/>
      <c r="P1091" s="5"/>
      <c r="Q1091" s="5"/>
      <c r="R1091" s="5"/>
    </row>
    <row r="1093" spans="2:18" x14ac:dyDescent="0.2">
      <c r="B1093" s="3"/>
      <c r="C1093" s="11"/>
      <c r="D1093" s="1"/>
      <c r="E1093" s="5"/>
      <c r="F1093" s="5"/>
      <c r="G1093" s="5"/>
      <c r="H1093" s="5"/>
      <c r="I1093" s="5"/>
      <c r="J1093" s="5"/>
      <c r="K1093" s="5"/>
      <c r="L1093" s="5"/>
      <c r="M1093" s="5"/>
      <c r="N1093" s="5"/>
      <c r="O1093" s="5"/>
      <c r="P1093" s="5"/>
      <c r="Q1093" s="5"/>
      <c r="R1093" s="5"/>
    </row>
    <row r="1095" spans="2:18" x14ac:dyDescent="0.2">
      <c r="B1095" s="3"/>
      <c r="C1095" s="11"/>
      <c r="D1095" s="1"/>
      <c r="E1095" s="5"/>
      <c r="F1095" s="5"/>
      <c r="G1095" s="5"/>
      <c r="H1095" s="5"/>
      <c r="I1095" s="5"/>
      <c r="J1095" s="5"/>
      <c r="K1095" s="5"/>
      <c r="L1095" s="5"/>
      <c r="M1095" s="5"/>
      <c r="N1095" s="5"/>
      <c r="O1095" s="5"/>
      <c r="P1095" s="5"/>
      <c r="Q1095" s="5"/>
      <c r="R1095" s="5"/>
    </row>
    <row r="1096" spans="2:18" x14ac:dyDescent="0.2">
      <c r="C1096" s="11"/>
      <c r="D1096" s="1"/>
      <c r="E1096" s="5"/>
      <c r="F1096" s="5"/>
      <c r="G1096" s="5"/>
      <c r="H1096" s="5"/>
      <c r="I1096" s="5"/>
      <c r="J1096" s="5"/>
      <c r="K1096" s="5"/>
      <c r="L1096" s="5"/>
      <c r="M1096" s="5"/>
      <c r="N1096" s="5"/>
      <c r="O1096" s="5"/>
      <c r="P1096" s="5"/>
      <c r="Q1096" s="5"/>
      <c r="R1096" s="5"/>
    </row>
    <row r="1102" spans="2:18" x14ac:dyDescent="0.2">
      <c r="B1102" s="3"/>
      <c r="C1102" s="11"/>
      <c r="D1102" s="1"/>
      <c r="E1102" s="5"/>
      <c r="F1102" s="5"/>
      <c r="G1102" s="5"/>
      <c r="H1102" s="5"/>
      <c r="I1102" s="5"/>
      <c r="J1102" s="5"/>
      <c r="K1102" s="5"/>
      <c r="L1102" s="5"/>
      <c r="M1102" s="5"/>
      <c r="N1102" s="5"/>
      <c r="O1102" s="5"/>
      <c r="P1102" s="5"/>
      <c r="Q1102" s="5"/>
      <c r="R1102" s="5"/>
    </row>
    <row r="1103" spans="2:18" x14ac:dyDescent="0.2">
      <c r="B1103" s="3"/>
      <c r="C1103" s="11"/>
      <c r="D1103" s="1"/>
      <c r="E1103" s="5"/>
      <c r="F1103" s="5"/>
      <c r="G1103" s="5"/>
      <c r="H1103" s="5"/>
      <c r="I1103" s="5"/>
      <c r="J1103" s="5"/>
      <c r="K1103" s="5"/>
      <c r="L1103" s="5"/>
      <c r="M1103" s="5"/>
      <c r="N1103" s="5"/>
      <c r="O1103" s="5"/>
      <c r="P1103" s="5"/>
      <c r="Q1103" s="5"/>
      <c r="R1103" s="5"/>
    </row>
    <row r="1107" spans="2:18" x14ac:dyDescent="0.2">
      <c r="B1107" s="3"/>
      <c r="C1107" s="11"/>
      <c r="D1107" s="1"/>
      <c r="E1107" s="5"/>
      <c r="F1107" s="5"/>
      <c r="G1107" s="5"/>
      <c r="H1107" s="5"/>
      <c r="I1107" s="5"/>
      <c r="J1107" s="5"/>
      <c r="K1107" s="5"/>
      <c r="L1107" s="5"/>
      <c r="M1107" s="5"/>
      <c r="N1107" s="5"/>
      <c r="O1107" s="5"/>
      <c r="P1107" s="5"/>
      <c r="Q1107" s="5"/>
      <c r="R1107" s="5"/>
    </row>
    <row r="1108" spans="2:18" x14ac:dyDescent="0.2">
      <c r="B1108" s="3"/>
      <c r="C1108" s="11"/>
      <c r="D1108" s="1"/>
      <c r="E1108" s="5"/>
      <c r="F1108" s="5"/>
      <c r="G1108" s="5"/>
      <c r="H1108" s="5"/>
      <c r="I1108" s="5"/>
      <c r="J1108" s="5"/>
      <c r="K1108" s="5"/>
      <c r="L1108" s="5"/>
      <c r="M1108" s="5"/>
      <c r="N1108" s="5"/>
      <c r="O1108" s="5"/>
      <c r="P1108" s="5"/>
      <c r="Q1108" s="5"/>
      <c r="R1108" s="5"/>
    </row>
    <row r="1110" spans="2:18" x14ac:dyDescent="0.2">
      <c r="C1110" s="11"/>
      <c r="D1110" s="1"/>
      <c r="E1110" s="5"/>
      <c r="F1110" s="5"/>
      <c r="G1110" s="5"/>
      <c r="H1110" s="5"/>
      <c r="I1110" s="5"/>
      <c r="J1110" s="5"/>
      <c r="K1110" s="5"/>
      <c r="L1110" s="5"/>
      <c r="M1110" s="5"/>
      <c r="N1110" s="5"/>
      <c r="O1110" s="5"/>
      <c r="P1110" s="5"/>
      <c r="Q1110" s="5"/>
      <c r="R1110" s="5"/>
    </row>
    <row r="1112" spans="2:18" x14ac:dyDescent="0.2">
      <c r="B1112" s="3"/>
      <c r="C1112" s="11"/>
      <c r="D1112" s="1"/>
      <c r="E1112" s="5"/>
      <c r="F1112" s="5"/>
      <c r="G1112" s="5"/>
      <c r="H1112" s="5"/>
      <c r="I1112" s="5"/>
      <c r="J1112" s="5"/>
      <c r="K1112" s="5"/>
      <c r="L1112" s="5"/>
      <c r="M1112" s="5"/>
      <c r="N1112" s="5"/>
      <c r="O1112" s="5"/>
      <c r="P1112" s="5"/>
      <c r="Q1112" s="5"/>
      <c r="R1112" s="5"/>
    </row>
    <row r="1118" spans="2:18" x14ac:dyDescent="0.2">
      <c r="C1118" s="11"/>
      <c r="D1118" s="1"/>
      <c r="E1118" s="5"/>
      <c r="F1118" s="5"/>
      <c r="G1118" s="5"/>
      <c r="H1118" s="5"/>
      <c r="I1118" s="5"/>
      <c r="J1118" s="5"/>
      <c r="K1118" s="5"/>
      <c r="L1118" s="5"/>
      <c r="M1118" s="5"/>
      <c r="N1118" s="5"/>
      <c r="O1118" s="5"/>
      <c r="P1118" s="5"/>
      <c r="Q1118" s="5"/>
      <c r="R1118" s="5"/>
    </row>
    <row r="1119" spans="2:18" x14ac:dyDescent="0.2">
      <c r="B1119" s="3"/>
      <c r="C1119" s="11"/>
      <c r="D1119" s="1"/>
      <c r="E1119" s="5"/>
      <c r="F1119" s="5"/>
      <c r="G1119" s="5"/>
      <c r="H1119" s="5"/>
      <c r="I1119" s="5"/>
      <c r="J1119" s="5"/>
      <c r="K1119" s="5"/>
      <c r="L1119" s="5"/>
      <c r="M1119" s="5"/>
      <c r="N1119" s="5"/>
      <c r="O1119" s="5"/>
      <c r="P1119" s="5"/>
      <c r="Q1119" s="5"/>
      <c r="R1119" s="5"/>
    </row>
    <row r="1120" spans="2:18" x14ac:dyDescent="0.2">
      <c r="C1120" s="11"/>
      <c r="D1120" s="1"/>
      <c r="E1120" s="5"/>
      <c r="F1120" s="5"/>
      <c r="G1120" s="5"/>
      <c r="H1120" s="5"/>
      <c r="I1120" s="5"/>
      <c r="J1120" s="5"/>
      <c r="K1120" s="5"/>
      <c r="L1120" s="5"/>
      <c r="M1120" s="5"/>
      <c r="N1120" s="5"/>
      <c r="O1120" s="5"/>
      <c r="P1120" s="5"/>
      <c r="Q1120" s="5"/>
      <c r="R1120" s="5"/>
    </row>
    <row r="1124" spans="2:18" x14ac:dyDescent="0.2">
      <c r="B1124" s="3"/>
      <c r="C1124" s="11"/>
      <c r="D1124" s="1"/>
      <c r="E1124" s="5"/>
      <c r="F1124" s="5"/>
      <c r="G1124" s="5"/>
      <c r="H1124" s="5"/>
      <c r="I1124" s="5"/>
      <c r="J1124" s="5"/>
      <c r="K1124" s="5"/>
      <c r="L1124" s="5"/>
      <c r="M1124" s="5"/>
      <c r="N1124" s="5"/>
      <c r="O1124" s="5"/>
      <c r="P1124" s="5"/>
      <c r="Q1124" s="5"/>
      <c r="R1124" s="5"/>
    </row>
    <row r="1126" spans="2:18" x14ac:dyDescent="0.2">
      <c r="C1126" s="11"/>
      <c r="D1126" s="1"/>
      <c r="E1126" s="5"/>
      <c r="F1126" s="5"/>
      <c r="G1126" s="5"/>
      <c r="H1126" s="5"/>
      <c r="I1126" s="5"/>
      <c r="J1126" s="5"/>
      <c r="K1126" s="5"/>
      <c r="L1126" s="5"/>
      <c r="M1126" s="5"/>
      <c r="N1126" s="5"/>
      <c r="O1126" s="5"/>
      <c r="P1126" s="5"/>
      <c r="Q1126" s="5"/>
      <c r="R1126" s="5"/>
    </row>
    <row r="1128" spans="2:18" x14ac:dyDescent="0.2">
      <c r="C1128" s="11"/>
      <c r="D1128" s="1"/>
      <c r="E1128" s="5"/>
      <c r="F1128" s="5"/>
      <c r="G1128" s="5"/>
      <c r="H1128" s="5"/>
      <c r="I1128" s="5"/>
      <c r="J1128" s="5"/>
      <c r="K1128" s="5"/>
      <c r="L1128" s="5"/>
      <c r="M1128" s="5"/>
      <c r="N1128" s="5"/>
      <c r="O1128" s="5"/>
      <c r="P1128" s="5"/>
      <c r="Q1128" s="5"/>
      <c r="R1128" s="5"/>
    </row>
    <row r="1129" spans="2:18" x14ac:dyDescent="0.2">
      <c r="B1129" s="3"/>
      <c r="C1129" s="11"/>
      <c r="D1129" s="1"/>
      <c r="E1129" s="5"/>
      <c r="F1129" s="5"/>
      <c r="G1129" s="5"/>
      <c r="H1129" s="5"/>
      <c r="I1129" s="5"/>
      <c r="J1129" s="5"/>
      <c r="K1129" s="5"/>
      <c r="L1129" s="5"/>
      <c r="M1129" s="5"/>
      <c r="N1129" s="5"/>
      <c r="O1129" s="5"/>
      <c r="P1129" s="5"/>
      <c r="Q1129" s="5"/>
      <c r="R1129" s="5"/>
    </row>
    <row r="1133" spans="2:18" x14ac:dyDescent="0.2">
      <c r="C1133" s="11"/>
      <c r="D1133" s="1"/>
      <c r="E1133" s="5"/>
      <c r="F1133" s="5"/>
      <c r="G1133" s="5"/>
      <c r="H1133" s="5"/>
      <c r="I1133" s="5"/>
      <c r="J1133" s="5"/>
      <c r="K1133" s="5"/>
      <c r="L1133" s="5"/>
      <c r="M1133" s="5"/>
      <c r="N1133" s="5"/>
      <c r="O1133" s="5"/>
      <c r="P1133" s="5"/>
      <c r="Q1133" s="5"/>
      <c r="R1133" s="5"/>
    </row>
    <row r="1134" spans="2:18" x14ac:dyDescent="0.2">
      <c r="B1134" s="3"/>
      <c r="C1134" s="11"/>
      <c r="D1134" s="1"/>
      <c r="E1134" s="5"/>
      <c r="F1134" s="5"/>
      <c r="G1134" s="5"/>
      <c r="H1134" s="5"/>
      <c r="I1134" s="5"/>
      <c r="J1134" s="5"/>
      <c r="K1134" s="5"/>
      <c r="L1134" s="5"/>
      <c r="M1134" s="5"/>
      <c r="N1134" s="5"/>
      <c r="O1134" s="5"/>
      <c r="P1134" s="5"/>
      <c r="Q1134" s="5"/>
      <c r="R1134" s="5"/>
    </row>
    <row r="1138" spans="2:18" x14ac:dyDescent="0.2">
      <c r="B1138" s="3"/>
      <c r="C1138" s="11"/>
      <c r="D1138" s="1"/>
      <c r="E1138" s="5"/>
      <c r="F1138" s="5"/>
      <c r="G1138" s="5"/>
      <c r="H1138" s="5"/>
      <c r="I1138" s="5"/>
      <c r="J1138" s="5"/>
      <c r="K1138" s="5"/>
      <c r="L1138" s="5"/>
      <c r="M1138" s="5"/>
      <c r="N1138" s="5"/>
      <c r="O1138" s="5"/>
      <c r="P1138" s="5"/>
      <c r="Q1138" s="5"/>
      <c r="R1138" s="5"/>
    </row>
    <row r="1143" spans="2:18" x14ac:dyDescent="0.2">
      <c r="C1143" s="11"/>
      <c r="D1143" s="1"/>
      <c r="E1143" s="5"/>
      <c r="F1143" s="5"/>
      <c r="G1143" s="5"/>
      <c r="H1143" s="5"/>
      <c r="I1143" s="5"/>
      <c r="J1143" s="5"/>
      <c r="K1143" s="5"/>
      <c r="L1143" s="5"/>
      <c r="M1143" s="5"/>
      <c r="N1143" s="5"/>
      <c r="O1143" s="5"/>
      <c r="P1143" s="5"/>
      <c r="Q1143" s="5"/>
      <c r="R1143" s="5"/>
    </row>
    <row r="1145" spans="2:18" x14ac:dyDescent="0.2">
      <c r="C1145" s="11"/>
      <c r="D1145" s="1"/>
      <c r="E1145" s="5"/>
      <c r="F1145" s="5"/>
      <c r="G1145" s="5"/>
      <c r="H1145" s="5"/>
      <c r="I1145" s="5"/>
      <c r="J1145" s="5"/>
      <c r="K1145" s="5"/>
      <c r="L1145" s="5"/>
      <c r="M1145" s="5"/>
      <c r="N1145" s="5"/>
      <c r="O1145" s="5"/>
      <c r="P1145" s="5"/>
      <c r="Q1145" s="5"/>
      <c r="R1145" s="5"/>
    </row>
    <row r="1146" spans="2:18" x14ac:dyDescent="0.2">
      <c r="B1146" s="3"/>
      <c r="C1146" s="11"/>
      <c r="D1146" s="1"/>
      <c r="E1146" s="5"/>
      <c r="F1146" s="5"/>
      <c r="G1146" s="5"/>
      <c r="H1146" s="5"/>
      <c r="I1146" s="5"/>
      <c r="J1146" s="5"/>
      <c r="K1146" s="5"/>
      <c r="L1146" s="5"/>
      <c r="M1146" s="5"/>
      <c r="N1146" s="5"/>
      <c r="O1146" s="5"/>
      <c r="P1146" s="5"/>
      <c r="Q1146" s="5"/>
      <c r="R1146" s="5"/>
    </row>
    <row r="1150" spans="2:18" x14ac:dyDescent="0.2">
      <c r="C1150" s="11"/>
      <c r="D1150" s="1"/>
      <c r="E1150" s="5"/>
      <c r="F1150" s="5"/>
      <c r="G1150" s="5"/>
      <c r="H1150" s="5"/>
      <c r="I1150" s="5"/>
      <c r="J1150" s="5"/>
      <c r="K1150" s="5"/>
      <c r="L1150" s="5"/>
      <c r="M1150" s="5"/>
      <c r="N1150" s="5"/>
      <c r="O1150" s="5"/>
      <c r="P1150" s="5"/>
      <c r="Q1150" s="5"/>
      <c r="R1150" s="5"/>
    </row>
    <row r="1153" spans="2:18" x14ac:dyDescent="0.2">
      <c r="C1153" s="11"/>
      <c r="D1153" s="1"/>
      <c r="E1153" s="5"/>
      <c r="F1153" s="5"/>
      <c r="G1153" s="5"/>
      <c r="H1153" s="5"/>
      <c r="I1153" s="5"/>
      <c r="J1153" s="5"/>
      <c r="K1153" s="5"/>
      <c r="L1153" s="5"/>
      <c r="M1153" s="5"/>
      <c r="N1153" s="5"/>
      <c r="O1153" s="5"/>
      <c r="P1153" s="5"/>
      <c r="Q1153" s="5"/>
      <c r="R1153" s="5"/>
    </row>
    <row r="1154" spans="2:18" x14ac:dyDescent="0.2">
      <c r="B1154" s="3"/>
      <c r="C1154" s="11"/>
      <c r="D1154" s="1"/>
      <c r="E1154" s="5"/>
      <c r="F1154" s="5"/>
      <c r="G1154" s="5"/>
      <c r="H1154" s="5"/>
      <c r="I1154" s="5"/>
      <c r="J1154" s="5"/>
      <c r="K1154" s="5"/>
      <c r="L1154" s="5"/>
      <c r="M1154" s="5"/>
      <c r="N1154" s="5"/>
      <c r="O1154" s="5"/>
      <c r="P1154" s="5"/>
      <c r="Q1154" s="5"/>
      <c r="R1154" s="5"/>
    </row>
    <row r="1155" spans="2:18" x14ac:dyDescent="0.2">
      <c r="B1155" s="3"/>
      <c r="C1155" s="11"/>
      <c r="D1155" s="1"/>
      <c r="E1155" s="5"/>
      <c r="F1155" s="5"/>
      <c r="G1155" s="5"/>
      <c r="H1155" s="5"/>
      <c r="I1155" s="5"/>
      <c r="J1155" s="5"/>
      <c r="K1155" s="5"/>
      <c r="L1155" s="5"/>
      <c r="M1155" s="5"/>
      <c r="N1155" s="5"/>
      <c r="O1155" s="5"/>
      <c r="P1155" s="5"/>
      <c r="Q1155" s="5"/>
      <c r="R1155" s="5"/>
    </row>
    <row r="1160" spans="2:18" x14ac:dyDescent="0.2">
      <c r="C1160" s="11"/>
      <c r="D1160" s="1"/>
      <c r="E1160" s="5"/>
      <c r="F1160" s="5"/>
      <c r="G1160" s="5"/>
      <c r="H1160" s="5"/>
      <c r="I1160" s="5"/>
      <c r="J1160" s="5"/>
      <c r="K1160" s="5"/>
      <c r="L1160" s="5"/>
      <c r="M1160" s="5"/>
      <c r="N1160" s="5"/>
      <c r="O1160" s="5"/>
      <c r="P1160" s="5"/>
      <c r="Q1160" s="5"/>
      <c r="R1160" s="5"/>
    </row>
    <row r="1167" spans="2:18" x14ac:dyDescent="0.2">
      <c r="C1167" s="11"/>
      <c r="D1167" s="1"/>
      <c r="E1167" s="5"/>
      <c r="F1167" s="5"/>
      <c r="G1167" s="5"/>
      <c r="H1167" s="5"/>
      <c r="I1167" s="5"/>
      <c r="J1167" s="5"/>
      <c r="K1167" s="5"/>
      <c r="L1167" s="5"/>
      <c r="M1167" s="5"/>
      <c r="N1167" s="5"/>
      <c r="O1167" s="5"/>
      <c r="P1167" s="5"/>
      <c r="Q1167" s="5"/>
      <c r="R1167" s="5"/>
    </row>
    <row r="1169" spans="2:18" x14ac:dyDescent="0.2">
      <c r="B1169" s="3"/>
      <c r="C1169" s="11"/>
      <c r="D1169" s="1"/>
      <c r="E1169" s="5"/>
      <c r="F1169" s="5"/>
      <c r="G1169" s="5"/>
      <c r="H1169" s="5"/>
      <c r="I1169" s="5"/>
      <c r="J1169" s="5"/>
      <c r="K1169" s="5"/>
      <c r="L1169" s="5"/>
      <c r="M1169" s="5"/>
      <c r="N1169" s="5"/>
      <c r="O1169" s="5"/>
      <c r="P1169" s="5"/>
      <c r="Q1169" s="5"/>
      <c r="R1169" s="5"/>
    </row>
    <row r="1172" spans="2:18" x14ac:dyDescent="0.2">
      <c r="B1172" s="3"/>
      <c r="C1172" s="11"/>
      <c r="D1172" s="1"/>
      <c r="E1172" s="5"/>
      <c r="F1172" s="5"/>
      <c r="G1172" s="5"/>
      <c r="H1172" s="5"/>
      <c r="I1172" s="5"/>
      <c r="J1172" s="5"/>
      <c r="K1172" s="5"/>
      <c r="L1172" s="5"/>
      <c r="M1172" s="5"/>
      <c r="N1172" s="5"/>
      <c r="O1172" s="5"/>
      <c r="P1172" s="5"/>
      <c r="Q1172" s="5"/>
      <c r="R1172" s="5"/>
    </row>
    <row r="1173" spans="2:18" x14ac:dyDescent="0.2">
      <c r="B1173" s="3"/>
      <c r="C1173" s="11"/>
      <c r="D1173" s="1"/>
      <c r="E1173" s="5"/>
      <c r="F1173" s="5"/>
      <c r="G1173" s="5"/>
      <c r="H1173" s="5"/>
      <c r="I1173" s="5"/>
      <c r="J1173" s="5"/>
      <c r="K1173" s="5"/>
      <c r="L1173" s="5"/>
      <c r="M1173" s="5"/>
      <c r="N1173" s="5"/>
      <c r="O1173" s="5"/>
      <c r="P1173" s="5"/>
      <c r="Q1173" s="5"/>
      <c r="R1173" s="5"/>
    </row>
    <row r="1174" spans="2:18" x14ac:dyDescent="0.2">
      <c r="B1174" s="3"/>
      <c r="C1174" s="11"/>
      <c r="D1174" s="1"/>
      <c r="E1174" s="5"/>
      <c r="F1174" s="5"/>
      <c r="G1174" s="5"/>
      <c r="H1174" s="5"/>
      <c r="I1174" s="5"/>
      <c r="J1174" s="5"/>
      <c r="K1174" s="5"/>
      <c r="L1174" s="5"/>
      <c r="M1174" s="5"/>
      <c r="N1174" s="5"/>
      <c r="O1174" s="5"/>
      <c r="P1174" s="5"/>
      <c r="Q1174" s="5"/>
      <c r="R1174" s="5"/>
    </row>
    <row r="1177" spans="2:18" x14ac:dyDescent="0.2">
      <c r="B1177" s="3"/>
      <c r="C1177" s="11"/>
      <c r="D1177" s="1"/>
      <c r="E1177" s="5"/>
      <c r="F1177" s="5"/>
      <c r="G1177" s="5"/>
      <c r="H1177" s="5"/>
      <c r="I1177" s="5"/>
      <c r="J1177" s="5"/>
      <c r="K1177" s="5"/>
      <c r="L1177" s="5"/>
      <c r="M1177" s="5"/>
      <c r="N1177" s="5"/>
      <c r="O1177" s="5"/>
      <c r="P1177" s="5"/>
      <c r="Q1177" s="5"/>
      <c r="R1177" s="5"/>
    </row>
    <row r="1178" spans="2:18" x14ac:dyDescent="0.2">
      <c r="B1178" s="3"/>
      <c r="C1178" s="11"/>
      <c r="D1178" s="1"/>
      <c r="E1178" s="5"/>
      <c r="F1178" s="5"/>
      <c r="G1178" s="5"/>
      <c r="H1178" s="5"/>
      <c r="I1178" s="5"/>
      <c r="J1178" s="5"/>
      <c r="K1178" s="5"/>
      <c r="L1178" s="5"/>
      <c r="M1178" s="5"/>
      <c r="N1178" s="5"/>
      <c r="O1178" s="5"/>
      <c r="P1178" s="5"/>
      <c r="Q1178" s="5"/>
      <c r="R1178" s="5"/>
    </row>
    <row r="1181" spans="2:18" x14ac:dyDescent="0.2">
      <c r="B1181" s="3"/>
      <c r="C1181" s="11"/>
      <c r="D1181" s="1"/>
      <c r="E1181" s="5"/>
      <c r="F1181" s="5"/>
      <c r="G1181" s="5"/>
      <c r="H1181" s="5"/>
      <c r="I1181" s="5"/>
      <c r="J1181" s="5"/>
      <c r="K1181" s="5"/>
      <c r="L1181" s="5"/>
      <c r="M1181" s="5"/>
      <c r="N1181" s="5"/>
      <c r="O1181" s="5"/>
      <c r="P1181" s="5"/>
      <c r="Q1181" s="5"/>
      <c r="R1181" s="5"/>
    </row>
    <row r="1182" spans="2:18" x14ac:dyDescent="0.2">
      <c r="B1182" s="3"/>
      <c r="C1182" s="11"/>
      <c r="D1182" s="1"/>
      <c r="E1182" s="5"/>
      <c r="F1182" s="5"/>
      <c r="G1182" s="5"/>
      <c r="H1182" s="5"/>
      <c r="I1182" s="5"/>
      <c r="J1182" s="5"/>
      <c r="K1182" s="5"/>
      <c r="L1182" s="5"/>
      <c r="M1182" s="5"/>
      <c r="N1182" s="5"/>
      <c r="O1182" s="5"/>
      <c r="P1182" s="5"/>
      <c r="Q1182" s="5"/>
      <c r="R1182" s="5"/>
    </row>
    <row r="1184" spans="2:18" x14ac:dyDescent="0.2">
      <c r="B1184" s="3"/>
      <c r="C1184" s="11"/>
      <c r="D1184" s="1"/>
      <c r="E1184" s="5"/>
      <c r="F1184" s="5"/>
      <c r="G1184" s="5"/>
      <c r="H1184" s="5"/>
      <c r="I1184" s="5"/>
      <c r="J1184" s="5"/>
      <c r="K1184" s="5"/>
      <c r="L1184" s="5"/>
      <c r="M1184" s="5"/>
      <c r="N1184" s="5"/>
      <c r="O1184" s="5"/>
      <c r="P1184" s="5"/>
      <c r="Q1184" s="5"/>
      <c r="R1184" s="5"/>
    </row>
    <row r="1190" spans="2:20" x14ac:dyDescent="0.2">
      <c r="B1190" s="3"/>
      <c r="C1190" s="11"/>
      <c r="D1190" s="1"/>
      <c r="E1190" s="5"/>
      <c r="F1190" s="5"/>
      <c r="G1190" s="5"/>
      <c r="H1190" s="5"/>
      <c r="I1190" s="5"/>
      <c r="J1190" s="5"/>
      <c r="K1190" s="5"/>
      <c r="L1190" s="5"/>
      <c r="M1190" s="5"/>
      <c r="N1190" s="5"/>
      <c r="O1190" s="5"/>
      <c r="P1190" s="5"/>
      <c r="Q1190" s="5"/>
      <c r="R1190" s="5"/>
    </row>
    <row r="1192" spans="2:20" x14ac:dyDescent="0.2">
      <c r="B1192" s="3"/>
      <c r="C1192" s="11"/>
      <c r="D1192" s="1"/>
      <c r="E1192" s="5"/>
      <c r="F1192" s="5"/>
      <c r="G1192" s="5"/>
      <c r="H1192" s="5"/>
      <c r="I1192" s="5"/>
      <c r="J1192" s="5"/>
      <c r="K1192" s="5"/>
      <c r="L1192" s="5"/>
      <c r="M1192" s="5"/>
      <c r="N1192" s="5"/>
      <c r="O1192" s="5"/>
      <c r="P1192" s="5"/>
      <c r="Q1192" s="5"/>
      <c r="R1192" s="5"/>
    </row>
    <row r="1194" spans="2:20" x14ac:dyDescent="0.2">
      <c r="B1194" s="3"/>
      <c r="C1194" s="11"/>
      <c r="D1194" s="1"/>
      <c r="E1194" s="5"/>
      <c r="F1194" s="5"/>
      <c r="G1194" s="5"/>
      <c r="H1194" s="5"/>
      <c r="I1194" s="5"/>
      <c r="J1194" s="5"/>
      <c r="K1194" s="5"/>
      <c r="L1194" s="5"/>
      <c r="M1194" s="5"/>
      <c r="N1194" s="5"/>
      <c r="O1194" s="5"/>
      <c r="P1194" s="5"/>
      <c r="Q1194" s="5"/>
      <c r="R1194" s="5"/>
      <c r="S1194" s="8"/>
      <c r="T1194" s="8"/>
    </row>
    <row r="1195" spans="2:20" x14ac:dyDescent="0.2">
      <c r="S1195" s="8"/>
      <c r="T1195" s="8"/>
    </row>
    <row r="1196" spans="2:20" x14ac:dyDescent="0.2">
      <c r="B1196" s="3"/>
      <c r="C1196" s="11"/>
      <c r="D1196" s="1"/>
      <c r="E1196" s="5"/>
      <c r="F1196" s="5"/>
      <c r="G1196" s="5"/>
      <c r="H1196" s="5"/>
      <c r="I1196" s="5"/>
      <c r="J1196" s="5"/>
      <c r="K1196" s="5"/>
      <c r="L1196" s="5"/>
      <c r="M1196" s="5"/>
      <c r="N1196" s="5"/>
      <c r="O1196" s="5"/>
      <c r="P1196" s="5"/>
      <c r="Q1196" s="5"/>
      <c r="R1196" s="5"/>
      <c r="S1196" s="8"/>
      <c r="T1196" s="8"/>
    </row>
    <row r="1197" spans="2:20" x14ac:dyDescent="0.2">
      <c r="S1197" s="8"/>
      <c r="T1197" s="8"/>
    </row>
    <row r="1198" spans="2:20" x14ac:dyDescent="0.2">
      <c r="S1198" s="8"/>
      <c r="T1198" s="8"/>
    </row>
    <row r="1200" spans="2:20" x14ac:dyDescent="0.2">
      <c r="B1200" s="3"/>
      <c r="C1200" s="11"/>
      <c r="D1200" s="1"/>
      <c r="E1200" s="5"/>
      <c r="F1200" s="5"/>
      <c r="G1200" s="5"/>
      <c r="H1200" s="5"/>
      <c r="I1200" s="5"/>
      <c r="J1200" s="5"/>
      <c r="K1200" s="5"/>
      <c r="L1200" s="5"/>
      <c r="M1200" s="5"/>
      <c r="N1200" s="5"/>
      <c r="O1200" s="5"/>
      <c r="P1200" s="5"/>
      <c r="Q1200" s="5"/>
      <c r="R1200" s="5"/>
    </row>
    <row r="1203" spans="2:20" x14ac:dyDescent="0.2">
      <c r="B1203" s="3"/>
      <c r="C1203" s="11"/>
      <c r="D1203" s="1"/>
      <c r="E1203" s="5"/>
      <c r="F1203" s="5"/>
      <c r="G1203" s="5"/>
      <c r="H1203" s="5"/>
      <c r="I1203" s="5"/>
      <c r="J1203" s="5"/>
      <c r="K1203" s="5"/>
      <c r="L1203" s="5"/>
      <c r="M1203" s="5"/>
      <c r="N1203" s="5"/>
      <c r="O1203" s="5"/>
      <c r="P1203" s="5"/>
      <c r="Q1203" s="5"/>
      <c r="R1203" s="5"/>
    </row>
    <row r="1206" spans="2:20" x14ac:dyDescent="0.2">
      <c r="B1206" s="3"/>
      <c r="C1206" s="11"/>
      <c r="D1206" s="1"/>
      <c r="E1206" s="5"/>
      <c r="F1206" s="5"/>
      <c r="G1206" s="5"/>
      <c r="H1206" s="5"/>
      <c r="I1206" s="5"/>
      <c r="J1206" s="5"/>
      <c r="K1206" s="5"/>
      <c r="L1206" s="5"/>
      <c r="M1206" s="5"/>
      <c r="N1206" s="5"/>
      <c r="O1206" s="5"/>
      <c r="P1206" s="5"/>
      <c r="Q1206" s="5"/>
      <c r="R1206" s="5"/>
    </row>
    <row r="1208" spans="2:20" x14ac:dyDescent="0.2">
      <c r="B1208" s="3"/>
      <c r="C1208" s="11"/>
      <c r="D1208" s="1"/>
      <c r="E1208" s="5"/>
      <c r="F1208" s="5"/>
      <c r="G1208" s="5"/>
      <c r="H1208" s="5"/>
      <c r="I1208" s="5"/>
      <c r="J1208" s="5"/>
      <c r="K1208" s="5"/>
      <c r="L1208" s="5"/>
      <c r="M1208" s="5"/>
      <c r="N1208" s="5"/>
      <c r="O1208" s="5"/>
      <c r="P1208" s="5"/>
      <c r="Q1208" s="5"/>
      <c r="R1208" s="5"/>
    </row>
    <row r="1209" spans="2:20" x14ac:dyDescent="0.2">
      <c r="B1209" s="3"/>
      <c r="C1209" s="11"/>
      <c r="D1209" s="1"/>
      <c r="E1209" s="5"/>
      <c r="F1209" s="5"/>
      <c r="G1209" s="5"/>
      <c r="H1209" s="5"/>
      <c r="I1209" s="5"/>
      <c r="J1209" s="5"/>
      <c r="K1209" s="5"/>
      <c r="L1209" s="5"/>
      <c r="M1209" s="5"/>
      <c r="N1209" s="5"/>
      <c r="O1209" s="5"/>
      <c r="P1209" s="5"/>
      <c r="Q1209" s="5"/>
      <c r="R1209" s="5"/>
    </row>
    <row r="1211" spans="2:20" x14ac:dyDescent="0.2">
      <c r="B1211" s="3"/>
      <c r="C1211" s="11"/>
      <c r="D1211" s="1"/>
      <c r="E1211" s="5"/>
      <c r="F1211" s="5"/>
      <c r="G1211" s="5"/>
      <c r="H1211" s="5"/>
      <c r="I1211" s="5"/>
      <c r="J1211" s="5"/>
      <c r="K1211" s="5"/>
      <c r="L1211" s="5"/>
      <c r="M1211" s="5"/>
      <c r="N1211" s="5"/>
      <c r="O1211" s="5"/>
      <c r="P1211" s="5"/>
      <c r="Q1211" s="5"/>
      <c r="R1211" s="5"/>
    </row>
    <row r="1213" spans="2:20" x14ac:dyDescent="0.2">
      <c r="S1213" s="8"/>
      <c r="T1213" s="8"/>
    </row>
    <row r="1214" spans="2:20" x14ac:dyDescent="0.2">
      <c r="S1214" s="8"/>
      <c r="T1214" s="8"/>
    </row>
    <row r="1215" spans="2:20" x14ac:dyDescent="0.2">
      <c r="S1215" s="8"/>
      <c r="T1215" s="8"/>
    </row>
    <row r="1216" spans="2:20" x14ac:dyDescent="0.2">
      <c r="S1216" s="8"/>
      <c r="T1216" s="8"/>
    </row>
    <row r="1217" spans="19:20" x14ac:dyDescent="0.2">
      <c r="S1217" s="8"/>
      <c r="T1217" s="8"/>
    </row>
    <row r="1218" spans="19:20" x14ac:dyDescent="0.2">
      <c r="S1218" s="8"/>
      <c r="T1218" s="8"/>
    </row>
    <row r="1219" spans="19:20" x14ac:dyDescent="0.2">
      <c r="S1219" s="8"/>
      <c r="T1219" s="8"/>
    </row>
    <row r="1220" spans="19:20" x14ac:dyDescent="0.2">
      <c r="S1220" s="8"/>
      <c r="T1220" s="8"/>
    </row>
    <row r="1221" spans="19:20" x14ac:dyDescent="0.2">
      <c r="S1221" s="8"/>
      <c r="T1221" s="8"/>
    </row>
    <row r="1222" spans="19:20" x14ac:dyDescent="0.2">
      <c r="S1222" s="8"/>
      <c r="T1222" s="8"/>
    </row>
    <row r="1243" spans="19:20" x14ac:dyDescent="0.2">
      <c r="S1243" s="8"/>
      <c r="T1243" s="8"/>
    </row>
    <row r="1246" spans="19:20" x14ac:dyDescent="0.2">
      <c r="S1246" s="8"/>
      <c r="T1246" s="8"/>
    </row>
    <row r="1247" spans="19:20" x14ac:dyDescent="0.2">
      <c r="S1247" s="8"/>
      <c r="T1247" s="8"/>
    </row>
    <row r="1256" spans="19:20" x14ac:dyDescent="0.2">
      <c r="S1256" s="8"/>
      <c r="T1256" s="8"/>
    </row>
    <row r="1257" spans="19:20" x14ac:dyDescent="0.2">
      <c r="S1257" s="8"/>
      <c r="T1257" s="8"/>
    </row>
    <row r="1258" spans="19:20" x14ac:dyDescent="0.2">
      <c r="S1258" s="8"/>
      <c r="T1258" s="8"/>
    </row>
    <row r="1259" spans="19:20" x14ac:dyDescent="0.2">
      <c r="S1259" s="8"/>
      <c r="T1259" s="8"/>
    </row>
    <row r="1303" spans="19:20" x14ac:dyDescent="0.2">
      <c r="S1303" s="8"/>
      <c r="T1303" s="8"/>
    </row>
    <row r="1377" spans="19:20" x14ac:dyDescent="0.2">
      <c r="S1377" s="8"/>
      <c r="T1377" s="8"/>
    </row>
    <row r="1390" spans="19:20" x14ac:dyDescent="0.2">
      <c r="S1390" s="8"/>
      <c r="T1390" s="8"/>
    </row>
    <row r="1391" spans="19:20" x14ac:dyDescent="0.2">
      <c r="S1391" s="8"/>
      <c r="T1391" s="8"/>
    </row>
    <row r="1401" spans="19:20" x14ac:dyDescent="0.2">
      <c r="S1401" s="8"/>
      <c r="T1401" s="8"/>
    </row>
    <row r="1626" spans="2:18" x14ac:dyDescent="0.2">
      <c r="B1626" s="2"/>
      <c r="C1626" s="11"/>
      <c r="D1626" s="1"/>
      <c r="E1626" s="5"/>
      <c r="F1626" s="5"/>
      <c r="G1626" s="5"/>
      <c r="H1626" s="5"/>
      <c r="I1626" s="5"/>
      <c r="J1626" s="5"/>
      <c r="K1626" s="5"/>
      <c r="L1626" s="5"/>
      <c r="M1626" s="5"/>
      <c r="N1626" s="5"/>
      <c r="O1626" s="5"/>
      <c r="P1626" s="5"/>
      <c r="Q1626" s="5"/>
      <c r="R1626" s="5"/>
    </row>
    <row r="1628" spans="2:18" x14ac:dyDescent="0.2">
      <c r="B1628" s="2"/>
      <c r="C1628" s="11"/>
      <c r="D1628" s="1"/>
      <c r="E1628" s="5"/>
      <c r="F1628" s="5"/>
      <c r="G1628" s="5"/>
      <c r="H1628" s="5"/>
      <c r="I1628" s="5"/>
      <c r="J1628" s="5"/>
      <c r="K1628" s="5"/>
      <c r="L1628" s="5"/>
      <c r="M1628" s="5"/>
      <c r="N1628" s="5"/>
      <c r="O1628" s="5"/>
      <c r="P1628" s="5"/>
      <c r="Q1628" s="5"/>
      <c r="R1628" s="5"/>
    </row>
    <row r="1629" spans="2:18" x14ac:dyDescent="0.2">
      <c r="B1629" s="2"/>
      <c r="C1629" s="11"/>
      <c r="D1629" s="1"/>
      <c r="E1629" s="5"/>
      <c r="F1629" s="5"/>
      <c r="G1629" s="5"/>
      <c r="H1629" s="5"/>
      <c r="I1629" s="5"/>
      <c r="J1629" s="5"/>
      <c r="K1629" s="5"/>
      <c r="L1629" s="5"/>
      <c r="M1629" s="5"/>
      <c r="N1629" s="5"/>
      <c r="O1629" s="5"/>
      <c r="P1629" s="5"/>
      <c r="Q1629" s="5"/>
      <c r="R1629" s="5"/>
    </row>
    <row r="1640" spans="2:18" x14ac:dyDescent="0.2">
      <c r="B1640" s="2"/>
      <c r="C1640" s="11"/>
      <c r="D1640" s="1"/>
      <c r="E1640" s="5"/>
      <c r="F1640" s="5"/>
      <c r="G1640" s="5"/>
      <c r="H1640" s="5"/>
      <c r="I1640" s="5"/>
      <c r="J1640" s="5"/>
      <c r="K1640" s="5"/>
      <c r="L1640" s="5"/>
      <c r="M1640" s="5"/>
      <c r="N1640" s="5"/>
      <c r="O1640" s="5"/>
      <c r="P1640" s="5"/>
      <c r="Q1640" s="5"/>
      <c r="R1640" s="5"/>
    </row>
    <row r="1641" spans="2:18" x14ac:dyDescent="0.2">
      <c r="B1641" s="2"/>
      <c r="C1641" s="11"/>
      <c r="D1641" s="1"/>
      <c r="E1641" s="5"/>
      <c r="F1641" s="5"/>
      <c r="G1641" s="5"/>
      <c r="H1641" s="5"/>
      <c r="I1641" s="5"/>
      <c r="J1641" s="5"/>
      <c r="K1641" s="5"/>
      <c r="L1641" s="5"/>
      <c r="M1641" s="5"/>
      <c r="N1641" s="5"/>
      <c r="O1641" s="5"/>
      <c r="P1641" s="5"/>
      <c r="Q1641" s="5"/>
      <c r="R1641" s="5"/>
    </row>
    <row r="1643" spans="2:18" x14ac:dyDescent="0.2">
      <c r="B1643" s="2"/>
      <c r="C1643" s="11"/>
      <c r="D1643" s="1"/>
      <c r="E1643" s="5"/>
      <c r="F1643" s="5"/>
      <c r="G1643" s="5"/>
      <c r="H1643" s="5"/>
      <c r="I1643" s="5"/>
      <c r="J1643" s="5"/>
      <c r="K1643" s="5"/>
      <c r="L1643" s="5"/>
      <c r="M1643" s="5"/>
      <c r="N1643" s="5"/>
      <c r="O1643" s="5"/>
      <c r="P1643" s="5"/>
      <c r="Q1643" s="5"/>
      <c r="R1643" s="5"/>
    </row>
    <row r="1644" spans="2:18" x14ac:dyDescent="0.2">
      <c r="B1644" s="2"/>
      <c r="C1644" s="11"/>
      <c r="D1644" s="1"/>
      <c r="E1644" s="5"/>
      <c r="F1644" s="5"/>
      <c r="G1644" s="5"/>
      <c r="H1644" s="5"/>
      <c r="I1644" s="5"/>
      <c r="J1644" s="5"/>
      <c r="K1644" s="5"/>
      <c r="L1644" s="5"/>
      <c r="M1644" s="5"/>
      <c r="N1644" s="5"/>
      <c r="O1644" s="5"/>
      <c r="P1644" s="5"/>
      <c r="Q1644" s="5"/>
      <c r="R1644" s="5"/>
    </row>
    <row r="1645" spans="2:18" x14ac:dyDescent="0.2">
      <c r="C1645" s="11"/>
      <c r="D1645" s="1"/>
      <c r="E1645" s="5"/>
      <c r="F1645" s="5"/>
      <c r="G1645" s="5"/>
      <c r="H1645" s="5"/>
      <c r="I1645" s="5"/>
      <c r="J1645" s="5"/>
      <c r="K1645" s="5"/>
      <c r="L1645" s="5"/>
      <c r="M1645" s="5"/>
      <c r="N1645" s="5"/>
      <c r="O1645" s="5"/>
      <c r="P1645" s="5"/>
      <c r="Q1645" s="5"/>
      <c r="R1645" s="5"/>
    </row>
    <row r="1647" spans="2:18" x14ac:dyDescent="0.2">
      <c r="C1647" s="11"/>
      <c r="D1647" s="1"/>
      <c r="E1647" s="5"/>
      <c r="F1647" s="5"/>
      <c r="G1647" s="5"/>
      <c r="H1647" s="5"/>
      <c r="I1647" s="5"/>
      <c r="J1647" s="5"/>
      <c r="K1647" s="5"/>
      <c r="L1647" s="5"/>
      <c r="M1647" s="5"/>
      <c r="N1647" s="5"/>
      <c r="O1647" s="5"/>
      <c r="P1647" s="5"/>
      <c r="Q1647" s="5"/>
      <c r="R1647" s="5"/>
    </row>
    <row r="1649" spans="2:18" x14ac:dyDescent="0.2">
      <c r="B1649" s="2"/>
      <c r="C1649" s="11"/>
      <c r="D1649" s="1"/>
      <c r="E1649" s="5"/>
      <c r="F1649" s="5"/>
      <c r="G1649" s="5"/>
      <c r="H1649" s="5"/>
      <c r="I1649" s="5"/>
      <c r="J1649" s="5"/>
      <c r="K1649" s="5"/>
      <c r="L1649" s="5"/>
      <c r="M1649" s="5"/>
      <c r="N1649" s="5"/>
      <c r="O1649" s="5"/>
      <c r="P1649" s="5"/>
      <c r="Q1649" s="5"/>
      <c r="R1649" s="5"/>
    </row>
    <row r="1653" spans="2:18" x14ac:dyDescent="0.2">
      <c r="B1653" s="2"/>
      <c r="C1653" s="11"/>
      <c r="D1653" s="1"/>
      <c r="E1653" s="5"/>
      <c r="F1653" s="5"/>
      <c r="G1653" s="5"/>
      <c r="H1653" s="5"/>
      <c r="I1653" s="5"/>
      <c r="J1653" s="5"/>
      <c r="K1653" s="5"/>
      <c r="L1653" s="5"/>
      <c r="M1653" s="5"/>
      <c r="N1653" s="5"/>
      <c r="O1653" s="5"/>
      <c r="P1653" s="5"/>
      <c r="Q1653" s="5"/>
      <c r="R1653" s="5"/>
    </row>
    <row r="1654" spans="2:18" x14ac:dyDescent="0.2">
      <c r="B1654" s="2"/>
      <c r="C1654" s="11"/>
      <c r="D1654" s="1"/>
      <c r="E1654" s="5"/>
      <c r="F1654" s="5"/>
      <c r="G1654" s="5"/>
      <c r="H1654" s="5"/>
      <c r="I1654" s="5"/>
      <c r="J1654" s="5"/>
      <c r="K1654" s="5"/>
      <c r="L1654" s="5"/>
      <c r="M1654" s="5"/>
      <c r="N1654" s="5"/>
      <c r="O1654" s="5"/>
      <c r="P1654" s="5"/>
      <c r="Q1654" s="5"/>
      <c r="R1654" s="5"/>
    </row>
    <row r="1655" spans="2:18" x14ac:dyDescent="0.2">
      <c r="B1655" s="2"/>
      <c r="C1655" s="11"/>
      <c r="D1655" s="1"/>
      <c r="E1655" s="5"/>
      <c r="F1655" s="5"/>
      <c r="G1655" s="5"/>
      <c r="H1655" s="5"/>
      <c r="I1655" s="5"/>
      <c r="J1655" s="5"/>
      <c r="K1655" s="5"/>
      <c r="L1655" s="5"/>
      <c r="M1655" s="5"/>
      <c r="N1655" s="5"/>
      <c r="O1655" s="5"/>
      <c r="P1655" s="5"/>
      <c r="Q1655" s="5"/>
      <c r="R1655" s="5"/>
    </row>
    <row r="1659" spans="2:18" x14ac:dyDescent="0.2">
      <c r="B1659" s="2"/>
      <c r="C1659" s="11"/>
      <c r="D1659" s="1"/>
      <c r="E1659" s="5"/>
      <c r="F1659" s="5"/>
      <c r="G1659" s="5"/>
      <c r="H1659" s="5"/>
      <c r="I1659" s="5"/>
      <c r="J1659" s="5"/>
      <c r="K1659" s="5"/>
      <c r="L1659" s="5"/>
      <c r="M1659" s="5"/>
      <c r="N1659" s="5"/>
      <c r="O1659" s="5"/>
      <c r="P1659" s="5"/>
      <c r="Q1659" s="5"/>
      <c r="R1659" s="5"/>
    </row>
    <row r="1661" spans="2:18" x14ac:dyDescent="0.2">
      <c r="B1661" s="2"/>
      <c r="C1661" s="11"/>
      <c r="D1661" s="1"/>
      <c r="E1661" s="5"/>
      <c r="F1661" s="5"/>
      <c r="G1661" s="5"/>
      <c r="H1661" s="5"/>
      <c r="I1661" s="5"/>
      <c r="J1661" s="5"/>
      <c r="K1661" s="5"/>
      <c r="L1661" s="5"/>
      <c r="M1661" s="5"/>
      <c r="N1661" s="5"/>
      <c r="O1661" s="5"/>
      <c r="P1661" s="5"/>
      <c r="Q1661" s="5"/>
      <c r="R1661" s="5"/>
    </row>
    <row r="1663" spans="2:18" x14ac:dyDescent="0.2">
      <c r="B1663" s="2"/>
      <c r="C1663" s="11"/>
      <c r="D1663" s="1"/>
      <c r="E1663" s="5"/>
      <c r="F1663" s="5"/>
      <c r="G1663" s="5"/>
      <c r="H1663" s="5"/>
      <c r="I1663" s="5"/>
      <c r="J1663" s="5"/>
      <c r="K1663" s="5"/>
      <c r="L1663" s="5"/>
      <c r="M1663" s="5"/>
      <c r="N1663" s="5"/>
      <c r="O1663" s="5"/>
      <c r="P1663" s="5"/>
      <c r="Q1663" s="5"/>
      <c r="R1663" s="5"/>
    </row>
    <row r="1668" spans="2:18" x14ac:dyDescent="0.2">
      <c r="B1668" s="2"/>
      <c r="C1668" s="11"/>
      <c r="D1668" s="1"/>
      <c r="E1668" s="5"/>
      <c r="F1668" s="5"/>
      <c r="G1668" s="5"/>
      <c r="H1668" s="5"/>
      <c r="I1668" s="5"/>
      <c r="J1668" s="5"/>
      <c r="K1668" s="5"/>
      <c r="L1668" s="5"/>
      <c r="M1668" s="5"/>
      <c r="N1668" s="5"/>
      <c r="O1668" s="5"/>
      <c r="P1668" s="5"/>
      <c r="Q1668" s="5"/>
      <c r="R1668" s="5"/>
    </row>
    <row r="1670" spans="2:18" x14ac:dyDescent="0.2">
      <c r="B1670" s="2"/>
      <c r="C1670" s="11"/>
      <c r="D1670" s="1"/>
      <c r="E1670" s="5"/>
      <c r="F1670" s="5"/>
      <c r="G1670" s="5"/>
      <c r="H1670" s="5"/>
      <c r="I1670" s="5"/>
      <c r="J1670" s="5"/>
      <c r="K1670" s="5"/>
      <c r="L1670" s="5"/>
      <c r="M1670" s="5"/>
      <c r="N1670" s="5"/>
      <c r="O1670" s="5"/>
      <c r="P1670" s="5"/>
      <c r="Q1670" s="5"/>
      <c r="R1670" s="5"/>
    </row>
    <row r="1678" spans="2:18" x14ac:dyDescent="0.2">
      <c r="B1678" s="2"/>
      <c r="C1678" s="11"/>
      <c r="D1678" s="1"/>
      <c r="E1678" s="5"/>
      <c r="F1678" s="5"/>
      <c r="G1678" s="5"/>
      <c r="H1678" s="5"/>
      <c r="I1678" s="5"/>
      <c r="J1678" s="5"/>
      <c r="K1678" s="5"/>
      <c r="L1678" s="5"/>
      <c r="M1678" s="5"/>
      <c r="N1678" s="5"/>
      <c r="O1678" s="5"/>
      <c r="P1678" s="5"/>
      <c r="Q1678" s="5"/>
      <c r="R1678" s="5"/>
    </row>
    <row r="1681" spans="2:18" x14ac:dyDescent="0.2">
      <c r="C1681" s="11"/>
      <c r="D1681" s="1"/>
      <c r="E1681" s="5"/>
      <c r="F1681" s="5"/>
      <c r="G1681" s="5"/>
      <c r="H1681" s="5"/>
      <c r="I1681" s="5"/>
      <c r="J1681" s="5"/>
      <c r="K1681" s="5"/>
      <c r="L1681" s="5"/>
      <c r="M1681" s="5"/>
      <c r="N1681" s="5"/>
      <c r="O1681" s="5"/>
      <c r="P1681" s="5"/>
      <c r="Q1681" s="5"/>
      <c r="R1681" s="5"/>
    </row>
    <row r="1684" spans="2:18" x14ac:dyDescent="0.2">
      <c r="C1684" s="11"/>
      <c r="D1684" s="1"/>
      <c r="E1684" s="5"/>
      <c r="F1684" s="5"/>
      <c r="G1684" s="5"/>
      <c r="H1684" s="5"/>
      <c r="I1684" s="5"/>
      <c r="J1684" s="5"/>
      <c r="K1684" s="5"/>
      <c r="L1684" s="5"/>
      <c r="M1684" s="5"/>
      <c r="N1684" s="5"/>
      <c r="O1684" s="5"/>
      <c r="P1684" s="5"/>
      <c r="Q1684" s="5"/>
      <c r="R1684" s="5"/>
    </row>
    <row r="1687" spans="2:18" x14ac:dyDescent="0.2">
      <c r="C1687" s="11"/>
      <c r="D1687" s="1"/>
      <c r="E1687" s="5"/>
      <c r="F1687" s="5"/>
      <c r="G1687" s="5"/>
      <c r="H1687" s="5"/>
      <c r="I1687" s="5"/>
      <c r="J1687" s="5"/>
      <c r="K1687" s="5"/>
      <c r="L1687" s="5"/>
      <c r="M1687" s="5"/>
      <c r="N1687" s="5"/>
      <c r="O1687" s="5"/>
      <c r="P1687" s="5"/>
      <c r="Q1687" s="5"/>
      <c r="R1687" s="5"/>
    </row>
    <row r="1693" spans="2:18" x14ac:dyDescent="0.2">
      <c r="B1693" s="2"/>
      <c r="C1693" s="11"/>
      <c r="D1693" s="1"/>
      <c r="E1693" s="5"/>
      <c r="F1693" s="5"/>
      <c r="G1693" s="5"/>
      <c r="H1693" s="5"/>
      <c r="I1693" s="5"/>
      <c r="J1693" s="5"/>
      <c r="K1693" s="5"/>
      <c r="L1693" s="5"/>
      <c r="M1693" s="5"/>
      <c r="N1693" s="5"/>
      <c r="O1693" s="5"/>
      <c r="P1693" s="5"/>
      <c r="Q1693" s="5"/>
      <c r="R1693" s="5"/>
    </row>
    <row r="1696" spans="2:18" x14ac:dyDescent="0.2">
      <c r="C1696" s="11"/>
      <c r="D1696" s="1"/>
      <c r="E1696" s="5"/>
      <c r="F1696" s="5"/>
      <c r="G1696" s="5"/>
      <c r="H1696" s="5"/>
      <c r="I1696" s="5"/>
      <c r="J1696" s="5"/>
      <c r="K1696" s="5"/>
      <c r="L1696" s="5"/>
      <c r="M1696" s="5"/>
      <c r="N1696" s="5"/>
      <c r="O1696" s="5"/>
      <c r="P1696" s="5"/>
      <c r="Q1696" s="5"/>
      <c r="R1696" s="5"/>
    </row>
    <row r="1698" spans="2:18" x14ac:dyDescent="0.2">
      <c r="B1698" s="2"/>
      <c r="C1698" s="11"/>
      <c r="D1698" s="1"/>
      <c r="E1698" s="5"/>
      <c r="F1698" s="5"/>
      <c r="G1698" s="5"/>
      <c r="H1698" s="5"/>
      <c r="I1698" s="5"/>
      <c r="J1698" s="5"/>
      <c r="K1698" s="5"/>
      <c r="L1698" s="5"/>
      <c r="M1698" s="5"/>
      <c r="N1698" s="5"/>
      <c r="O1698" s="5"/>
      <c r="P1698" s="5"/>
      <c r="Q1698" s="5"/>
      <c r="R1698" s="5"/>
    </row>
    <row r="1703" spans="2:18" x14ac:dyDescent="0.2">
      <c r="B1703" s="2"/>
      <c r="C1703" s="11"/>
      <c r="D1703" s="1"/>
      <c r="E1703" s="5"/>
      <c r="F1703" s="5"/>
      <c r="G1703" s="5"/>
      <c r="H1703" s="5"/>
      <c r="I1703" s="5"/>
      <c r="J1703" s="5"/>
      <c r="K1703" s="5"/>
      <c r="L1703" s="5"/>
      <c r="M1703" s="5"/>
      <c r="N1703" s="5"/>
      <c r="O1703" s="5"/>
      <c r="P1703" s="5"/>
      <c r="Q1703" s="5"/>
      <c r="R1703" s="5"/>
    </row>
    <row r="1708" spans="2:18" x14ac:dyDescent="0.2">
      <c r="B1708" s="2"/>
      <c r="C1708" s="11"/>
      <c r="D1708" s="1"/>
      <c r="E1708" s="5"/>
      <c r="F1708" s="5"/>
      <c r="G1708" s="5"/>
      <c r="H1708" s="5"/>
      <c r="I1708" s="5"/>
      <c r="J1708" s="5"/>
      <c r="K1708" s="5"/>
      <c r="L1708" s="5"/>
      <c r="M1708" s="5"/>
      <c r="N1708" s="5"/>
      <c r="O1708" s="5"/>
      <c r="P1708" s="5"/>
      <c r="Q1708" s="5"/>
      <c r="R1708" s="5"/>
    </row>
    <row r="1713" spans="2:18" x14ac:dyDescent="0.2">
      <c r="B1713" s="2"/>
      <c r="C1713" s="11"/>
      <c r="D1713" s="1"/>
      <c r="E1713" s="5"/>
      <c r="F1713" s="5"/>
      <c r="G1713" s="5"/>
      <c r="H1713" s="5"/>
      <c r="I1713" s="5"/>
      <c r="J1713" s="5"/>
      <c r="K1713" s="5"/>
      <c r="L1713" s="5"/>
      <c r="M1713" s="5"/>
      <c r="N1713" s="5"/>
      <c r="O1713" s="5"/>
      <c r="P1713" s="5"/>
      <c r="Q1713" s="5"/>
      <c r="R1713" s="5"/>
    </row>
    <row r="1714" spans="2:18" x14ac:dyDescent="0.2">
      <c r="B1714" s="2"/>
      <c r="C1714" s="11"/>
      <c r="D1714" s="1"/>
      <c r="E1714" s="5"/>
      <c r="F1714" s="5"/>
      <c r="G1714" s="5"/>
      <c r="H1714" s="5"/>
      <c r="I1714" s="5"/>
      <c r="J1714" s="5"/>
      <c r="K1714" s="5"/>
      <c r="L1714" s="5"/>
      <c r="M1714" s="5"/>
      <c r="N1714" s="5"/>
      <c r="O1714" s="5"/>
      <c r="P1714" s="5"/>
      <c r="Q1714" s="5"/>
      <c r="R1714" s="5"/>
    </row>
    <row r="1715" spans="2:18" x14ac:dyDescent="0.2">
      <c r="C1715" s="11"/>
      <c r="D1715" s="1"/>
      <c r="E1715" s="5"/>
      <c r="F1715" s="5"/>
      <c r="G1715" s="5"/>
      <c r="H1715" s="5"/>
      <c r="I1715" s="5"/>
      <c r="J1715" s="5"/>
      <c r="K1715" s="5"/>
      <c r="L1715" s="5"/>
      <c r="M1715" s="5"/>
      <c r="N1715" s="5"/>
      <c r="O1715" s="5"/>
      <c r="P1715" s="5"/>
      <c r="Q1715" s="5"/>
      <c r="R1715" s="5"/>
    </row>
    <row r="1718" spans="2:18" x14ac:dyDescent="0.2">
      <c r="B1718" s="2"/>
      <c r="C1718" s="11"/>
      <c r="D1718" s="1"/>
      <c r="E1718" s="5"/>
      <c r="F1718" s="5"/>
      <c r="G1718" s="5"/>
      <c r="H1718" s="5"/>
      <c r="I1718" s="5"/>
      <c r="J1718" s="5"/>
      <c r="K1718" s="5"/>
      <c r="L1718" s="5"/>
      <c r="M1718" s="5"/>
      <c r="N1718" s="5"/>
      <c r="O1718" s="5"/>
      <c r="P1718" s="5"/>
      <c r="Q1718" s="5"/>
      <c r="R1718" s="5"/>
    </row>
    <row r="1723" spans="2:18" x14ac:dyDescent="0.2">
      <c r="B1723" s="2"/>
      <c r="C1723" s="11"/>
      <c r="D1723" s="1"/>
      <c r="E1723" s="5"/>
      <c r="F1723" s="5"/>
      <c r="G1723" s="5"/>
      <c r="H1723" s="5"/>
      <c r="I1723" s="5"/>
      <c r="J1723" s="5"/>
      <c r="K1723" s="5"/>
      <c r="L1723" s="5"/>
      <c r="M1723" s="5"/>
      <c r="N1723" s="5"/>
      <c r="O1723" s="5"/>
      <c r="P1723" s="5"/>
      <c r="Q1723" s="5"/>
      <c r="R1723" s="5"/>
    </row>
    <row r="1727" spans="2:18" x14ac:dyDescent="0.2">
      <c r="C1727" s="11"/>
      <c r="D1727" s="1"/>
      <c r="E1727" s="5"/>
      <c r="F1727" s="5"/>
      <c r="G1727" s="5"/>
      <c r="H1727" s="5"/>
      <c r="I1727" s="5"/>
      <c r="J1727" s="5"/>
      <c r="K1727" s="5"/>
      <c r="L1727" s="5"/>
      <c r="M1727" s="5"/>
      <c r="N1727" s="5"/>
      <c r="O1727" s="5"/>
      <c r="P1727" s="5"/>
      <c r="Q1727" s="5"/>
      <c r="R1727" s="5"/>
    </row>
    <row r="1729" spans="2:18" x14ac:dyDescent="0.2">
      <c r="C1729" s="11"/>
      <c r="D1729" s="1"/>
      <c r="E1729" s="5"/>
      <c r="F1729" s="5"/>
      <c r="G1729" s="5"/>
      <c r="H1729" s="5"/>
      <c r="I1729" s="5"/>
      <c r="J1729" s="5"/>
      <c r="K1729" s="5"/>
      <c r="L1729" s="5"/>
      <c r="M1729" s="5"/>
      <c r="N1729" s="5"/>
      <c r="O1729" s="5"/>
      <c r="P1729" s="5"/>
      <c r="Q1729" s="5"/>
      <c r="R1729" s="5"/>
    </row>
    <row r="1731" spans="2:18" x14ac:dyDescent="0.2">
      <c r="B1731" s="2"/>
      <c r="C1731" s="11"/>
      <c r="D1731" s="1"/>
      <c r="E1731" s="5"/>
      <c r="F1731" s="5"/>
      <c r="G1731" s="5"/>
      <c r="H1731" s="5"/>
      <c r="I1731" s="5"/>
      <c r="J1731" s="5"/>
      <c r="K1731" s="5"/>
      <c r="L1731" s="5"/>
      <c r="M1731" s="5"/>
      <c r="N1731" s="5"/>
      <c r="O1731" s="5"/>
      <c r="P1731" s="5"/>
      <c r="Q1731" s="5"/>
      <c r="R1731" s="5"/>
    </row>
    <row r="1733" spans="2:18" x14ac:dyDescent="0.2">
      <c r="B1733" s="2"/>
      <c r="C1733" s="11"/>
      <c r="D1733" s="1"/>
      <c r="E1733" s="5"/>
      <c r="F1733" s="5"/>
      <c r="G1733" s="5"/>
      <c r="H1733" s="5"/>
      <c r="I1733" s="5"/>
      <c r="J1733" s="5"/>
      <c r="K1733" s="5"/>
      <c r="L1733" s="5"/>
      <c r="M1733" s="5"/>
      <c r="N1733" s="5"/>
      <c r="O1733" s="5"/>
      <c r="P1733" s="5"/>
      <c r="Q1733" s="5"/>
      <c r="R1733" s="5"/>
    </row>
    <row r="1735" spans="2:18" x14ac:dyDescent="0.2">
      <c r="B1735" s="2"/>
      <c r="C1735" s="11"/>
      <c r="D1735" s="1"/>
      <c r="E1735" s="5"/>
      <c r="F1735" s="5"/>
      <c r="G1735" s="5"/>
      <c r="H1735" s="5"/>
      <c r="I1735" s="5"/>
      <c r="J1735" s="5"/>
      <c r="K1735" s="5"/>
      <c r="L1735" s="5"/>
      <c r="M1735" s="5"/>
      <c r="N1735" s="5"/>
      <c r="O1735" s="5"/>
      <c r="P1735" s="5"/>
      <c r="Q1735" s="5"/>
      <c r="R1735" s="5"/>
    </row>
    <row r="1737" spans="2:18" x14ac:dyDescent="0.2">
      <c r="B1737" s="2"/>
      <c r="C1737" s="11"/>
      <c r="D1737" s="1"/>
      <c r="E1737" s="5"/>
      <c r="F1737" s="5"/>
      <c r="G1737" s="5"/>
      <c r="H1737" s="5"/>
      <c r="I1737" s="5"/>
      <c r="J1737" s="5"/>
      <c r="K1737" s="5"/>
      <c r="L1737" s="5"/>
      <c r="M1737" s="5"/>
      <c r="N1737" s="5"/>
      <c r="O1737" s="5"/>
      <c r="P1737" s="5"/>
      <c r="Q1737" s="5"/>
      <c r="R1737" s="5"/>
    </row>
    <row r="1740" spans="2:18" x14ac:dyDescent="0.2">
      <c r="B1740" s="2"/>
      <c r="C1740" s="11"/>
      <c r="D1740" s="1"/>
      <c r="E1740" s="5"/>
      <c r="F1740" s="5"/>
      <c r="G1740" s="5"/>
      <c r="H1740" s="5"/>
      <c r="I1740" s="5"/>
      <c r="J1740" s="5"/>
      <c r="K1740" s="5"/>
      <c r="L1740" s="5"/>
      <c r="M1740" s="5"/>
      <c r="N1740" s="5"/>
      <c r="O1740" s="5"/>
      <c r="P1740" s="5"/>
      <c r="Q1740" s="5"/>
      <c r="R1740" s="5"/>
    </row>
    <row r="1743" spans="2:18" x14ac:dyDescent="0.2">
      <c r="B1743" s="2"/>
      <c r="C1743" s="11"/>
      <c r="D1743" s="1"/>
      <c r="E1743" s="5"/>
      <c r="F1743" s="5"/>
      <c r="G1743" s="5"/>
      <c r="H1743" s="5"/>
      <c r="I1743" s="5"/>
      <c r="J1743" s="5"/>
      <c r="K1743" s="5"/>
      <c r="L1743" s="5"/>
      <c r="M1743" s="5"/>
      <c r="N1743" s="5"/>
      <c r="O1743" s="5"/>
      <c r="P1743" s="5"/>
      <c r="Q1743" s="5"/>
      <c r="R1743" s="5"/>
    </row>
    <row r="1744" spans="2:18" x14ac:dyDescent="0.2">
      <c r="B1744" s="2"/>
      <c r="C1744" s="11"/>
      <c r="D1744" s="1"/>
      <c r="E1744" s="5"/>
      <c r="F1744" s="5"/>
      <c r="G1744" s="5"/>
      <c r="H1744" s="5"/>
      <c r="I1744" s="5"/>
      <c r="J1744" s="5"/>
      <c r="K1744" s="5"/>
      <c r="L1744" s="5"/>
      <c r="M1744" s="5"/>
      <c r="N1744" s="5"/>
      <c r="O1744" s="5"/>
      <c r="P1744" s="5"/>
      <c r="Q1744" s="5"/>
      <c r="R1744" s="5"/>
    </row>
    <row r="1747" spans="2:18" x14ac:dyDescent="0.2">
      <c r="B1747" s="2"/>
      <c r="C1747" s="11"/>
      <c r="D1747" s="1"/>
      <c r="E1747" s="5"/>
      <c r="F1747" s="5"/>
      <c r="G1747" s="5"/>
      <c r="H1747" s="5"/>
      <c r="I1747" s="5"/>
      <c r="J1747" s="5"/>
      <c r="K1747" s="5"/>
      <c r="L1747" s="5"/>
      <c r="M1747" s="5"/>
      <c r="N1747" s="5"/>
      <c r="O1747" s="5"/>
      <c r="P1747" s="5"/>
      <c r="Q1747" s="5"/>
      <c r="R1747" s="5"/>
    </row>
    <row r="1749" spans="2:18" x14ac:dyDescent="0.2">
      <c r="B1749" s="2"/>
      <c r="C1749" s="11"/>
      <c r="D1749" s="1"/>
      <c r="E1749" s="5"/>
      <c r="F1749" s="5"/>
      <c r="G1749" s="5"/>
      <c r="H1749" s="5"/>
      <c r="I1749" s="5"/>
      <c r="J1749" s="5"/>
      <c r="K1749" s="5"/>
      <c r="L1749" s="5"/>
      <c r="M1749" s="5"/>
      <c r="N1749" s="5"/>
      <c r="O1749" s="5"/>
      <c r="P1749" s="5"/>
      <c r="Q1749" s="5"/>
      <c r="R1749" s="5"/>
    </row>
    <row r="1751" spans="2:18" x14ac:dyDescent="0.2">
      <c r="B1751" s="2"/>
      <c r="C1751" s="11"/>
      <c r="D1751" s="1"/>
      <c r="E1751" s="5"/>
      <c r="F1751" s="5"/>
      <c r="G1751" s="5"/>
      <c r="H1751" s="5"/>
      <c r="I1751" s="5"/>
      <c r="J1751" s="5"/>
      <c r="K1751" s="5"/>
      <c r="L1751" s="5"/>
      <c r="M1751" s="5"/>
      <c r="N1751" s="5"/>
      <c r="O1751" s="5"/>
      <c r="P1751" s="5"/>
      <c r="Q1751" s="5"/>
      <c r="R1751" s="5"/>
    </row>
    <row r="1758" spans="2:18" x14ac:dyDescent="0.2">
      <c r="B1758" s="2"/>
      <c r="C1758" s="11"/>
      <c r="D1758" s="1"/>
      <c r="E1758" s="5"/>
      <c r="F1758" s="5"/>
      <c r="G1758" s="5"/>
      <c r="H1758" s="5"/>
      <c r="I1758" s="5"/>
      <c r="J1758" s="5"/>
      <c r="K1758" s="5"/>
      <c r="L1758" s="5"/>
      <c r="M1758" s="5"/>
      <c r="N1758" s="5"/>
      <c r="O1758" s="5"/>
      <c r="P1758" s="5"/>
      <c r="Q1758" s="5"/>
      <c r="R1758" s="5"/>
    </row>
    <row r="1760" spans="2:18" x14ac:dyDescent="0.2">
      <c r="B1760" s="2"/>
      <c r="C1760" s="11"/>
      <c r="D1760" s="1"/>
      <c r="E1760" s="5"/>
      <c r="F1760" s="5"/>
      <c r="G1760" s="5"/>
      <c r="H1760" s="5"/>
      <c r="I1760" s="5"/>
      <c r="J1760" s="5"/>
      <c r="K1760" s="5"/>
      <c r="L1760" s="5"/>
      <c r="M1760" s="5"/>
      <c r="N1760" s="5"/>
      <c r="O1760" s="5"/>
      <c r="P1760" s="5"/>
      <c r="Q1760" s="5"/>
      <c r="R1760" s="5"/>
    </row>
    <row r="1762" spans="2:18" x14ac:dyDescent="0.2">
      <c r="B1762" s="2"/>
      <c r="C1762" s="11"/>
      <c r="D1762" s="1"/>
      <c r="E1762" s="5"/>
      <c r="F1762" s="5"/>
      <c r="G1762" s="5"/>
      <c r="H1762" s="5"/>
      <c r="I1762" s="5"/>
      <c r="J1762" s="5"/>
      <c r="K1762" s="5"/>
      <c r="L1762" s="5"/>
      <c r="M1762" s="5"/>
      <c r="N1762" s="5"/>
      <c r="O1762" s="5"/>
      <c r="P1762" s="5"/>
      <c r="Q1762" s="5"/>
      <c r="R1762" s="5"/>
    </row>
    <row r="1765" spans="2:18" x14ac:dyDescent="0.2">
      <c r="B1765" s="2"/>
      <c r="C1765" s="11"/>
      <c r="D1765" s="1"/>
      <c r="E1765" s="5"/>
      <c r="F1765" s="5"/>
      <c r="G1765" s="5"/>
      <c r="H1765" s="5"/>
      <c r="I1765" s="5"/>
      <c r="J1765" s="5"/>
      <c r="K1765" s="5"/>
      <c r="L1765" s="5"/>
      <c r="M1765" s="5"/>
      <c r="N1765" s="5"/>
      <c r="O1765" s="5"/>
      <c r="P1765" s="5"/>
      <c r="Q1765" s="5"/>
      <c r="R1765" s="5"/>
    </row>
    <row r="1768" spans="2:18" x14ac:dyDescent="0.2">
      <c r="B1768" s="2"/>
      <c r="C1768" s="11"/>
      <c r="D1768" s="1"/>
      <c r="E1768" s="5"/>
      <c r="F1768" s="5"/>
      <c r="G1768" s="5"/>
      <c r="H1768" s="5"/>
      <c r="I1768" s="5"/>
      <c r="J1768" s="5"/>
      <c r="K1768" s="5"/>
      <c r="L1768" s="5"/>
      <c r="M1768" s="5"/>
      <c r="N1768" s="5"/>
      <c r="O1768" s="5"/>
      <c r="P1768" s="5"/>
      <c r="Q1768" s="5"/>
      <c r="R1768" s="5"/>
    </row>
    <row r="1785" spans="2:18" x14ac:dyDescent="0.2">
      <c r="B1785" s="2"/>
      <c r="C1785" s="11"/>
      <c r="D1785" s="1"/>
      <c r="E1785" s="5"/>
      <c r="F1785" s="5"/>
      <c r="G1785" s="5"/>
      <c r="H1785" s="5"/>
      <c r="I1785" s="5"/>
      <c r="J1785" s="5"/>
      <c r="K1785" s="5"/>
      <c r="L1785" s="5"/>
      <c r="M1785" s="5"/>
      <c r="N1785" s="5"/>
      <c r="O1785" s="5"/>
      <c r="P1785" s="5"/>
      <c r="Q1785" s="5"/>
      <c r="R1785" s="5"/>
    </row>
    <row r="1786" spans="2:18" x14ac:dyDescent="0.2">
      <c r="B1786" s="2"/>
      <c r="C1786" s="11"/>
      <c r="D1786" s="1"/>
      <c r="E1786" s="5"/>
      <c r="F1786" s="5"/>
      <c r="G1786" s="5"/>
      <c r="H1786" s="5"/>
      <c r="I1786" s="5"/>
      <c r="J1786" s="5"/>
      <c r="K1786" s="5"/>
      <c r="L1786" s="5"/>
      <c r="M1786" s="5"/>
      <c r="N1786" s="5"/>
      <c r="O1786" s="5"/>
      <c r="P1786" s="5"/>
      <c r="Q1786" s="5"/>
      <c r="R1786" s="5"/>
    </row>
    <row r="1789" spans="2:18" x14ac:dyDescent="0.2">
      <c r="B1789" s="2"/>
      <c r="C1789" s="11"/>
      <c r="D1789" s="1"/>
      <c r="E1789" s="5"/>
      <c r="F1789" s="5"/>
      <c r="G1789" s="5"/>
      <c r="H1789" s="5"/>
      <c r="I1789" s="5"/>
      <c r="J1789" s="5"/>
      <c r="K1789" s="5"/>
      <c r="L1789" s="5"/>
      <c r="M1789" s="5"/>
      <c r="N1789" s="5"/>
      <c r="O1789" s="5"/>
      <c r="P1789" s="5"/>
      <c r="Q1789" s="5"/>
      <c r="R1789" s="5"/>
    </row>
    <row r="1793" spans="2:18" x14ac:dyDescent="0.2">
      <c r="B1793" s="2"/>
      <c r="C1793" s="11"/>
      <c r="D1793" s="1"/>
      <c r="E1793" s="5"/>
      <c r="F1793" s="5"/>
      <c r="G1793" s="5"/>
      <c r="H1793" s="5"/>
      <c r="I1793" s="5"/>
      <c r="J1793" s="5"/>
      <c r="K1793" s="5"/>
      <c r="L1793" s="5"/>
      <c r="M1793" s="5"/>
      <c r="N1793" s="5"/>
      <c r="O1793" s="5"/>
      <c r="P1793" s="5"/>
      <c r="Q1793" s="5"/>
      <c r="R1793" s="5"/>
    </row>
    <row r="1795" spans="2:18" x14ac:dyDescent="0.2">
      <c r="B1795" s="2"/>
      <c r="C1795" s="11"/>
      <c r="D1795" s="1"/>
      <c r="E1795" s="5"/>
      <c r="F1795" s="5"/>
      <c r="G1795" s="5"/>
      <c r="H1795" s="5"/>
      <c r="I1795" s="5"/>
      <c r="J1795" s="5"/>
      <c r="K1795" s="5"/>
      <c r="L1795" s="5"/>
      <c r="M1795" s="5"/>
      <c r="N1795" s="5"/>
      <c r="O1795" s="5"/>
      <c r="P1795" s="5"/>
      <c r="Q1795" s="5"/>
      <c r="R1795" s="5"/>
    </row>
    <row r="1797" spans="2:18" x14ac:dyDescent="0.2">
      <c r="B1797" s="2"/>
      <c r="C1797" s="11"/>
      <c r="D1797" s="1"/>
      <c r="E1797" s="5"/>
      <c r="F1797" s="5"/>
      <c r="G1797" s="5"/>
      <c r="H1797" s="5"/>
      <c r="I1797" s="5"/>
      <c r="J1797" s="5"/>
      <c r="K1797" s="5"/>
      <c r="L1797" s="5"/>
      <c r="M1797" s="5"/>
      <c r="N1797" s="5"/>
      <c r="O1797" s="5"/>
      <c r="P1797" s="5"/>
      <c r="Q1797" s="5"/>
      <c r="R1797" s="5"/>
    </row>
    <row r="1799" spans="2:18" x14ac:dyDescent="0.2">
      <c r="C1799" s="11"/>
      <c r="D1799" s="1"/>
      <c r="E1799" s="5"/>
      <c r="F1799" s="5"/>
      <c r="G1799" s="5"/>
      <c r="H1799" s="5"/>
      <c r="I1799" s="5"/>
      <c r="J1799" s="5"/>
      <c r="K1799" s="5"/>
      <c r="L1799" s="5"/>
      <c r="M1799" s="5"/>
      <c r="N1799" s="5"/>
      <c r="O1799" s="5"/>
      <c r="P1799" s="5"/>
      <c r="Q1799" s="5"/>
      <c r="R1799" s="5"/>
    </row>
    <row r="1807" spans="2:18" x14ac:dyDescent="0.2">
      <c r="B1807" s="2"/>
      <c r="C1807" s="11"/>
      <c r="D1807" s="1"/>
      <c r="E1807" s="5"/>
      <c r="F1807" s="5"/>
      <c r="G1807" s="5"/>
      <c r="H1807" s="5"/>
      <c r="I1807" s="5"/>
      <c r="J1807" s="5"/>
      <c r="K1807" s="5"/>
      <c r="L1807" s="5"/>
      <c r="M1807" s="5"/>
      <c r="N1807" s="5"/>
      <c r="O1807" s="5"/>
      <c r="P1807" s="5"/>
      <c r="Q1807" s="5"/>
      <c r="R1807" s="5"/>
    </row>
    <row r="1809" spans="2:18" x14ac:dyDescent="0.2">
      <c r="B1809" s="2"/>
      <c r="C1809" s="11"/>
      <c r="D1809" s="1"/>
      <c r="E1809" s="5"/>
      <c r="F1809" s="5"/>
      <c r="G1809" s="5"/>
      <c r="H1809" s="5"/>
      <c r="I1809" s="5"/>
      <c r="J1809" s="5"/>
      <c r="K1809" s="5"/>
      <c r="L1809" s="5"/>
      <c r="M1809" s="5"/>
      <c r="N1809" s="5"/>
      <c r="O1809" s="5"/>
      <c r="P1809" s="5"/>
      <c r="Q1809" s="5"/>
      <c r="R1809" s="5"/>
    </row>
    <row r="1811" spans="2:18" x14ac:dyDescent="0.2">
      <c r="B1811" s="2"/>
      <c r="C1811" s="11"/>
      <c r="D1811" s="1"/>
      <c r="E1811" s="5"/>
      <c r="F1811" s="5"/>
      <c r="G1811" s="5"/>
      <c r="H1811" s="5"/>
      <c r="I1811" s="5"/>
      <c r="J1811" s="5"/>
      <c r="K1811" s="5"/>
      <c r="L1811" s="5"/>
      <c r="M1811" s="5"/>
      <c r="N1811" s="5"/>
      <c r="O1811" s="5"/>
      <c r="P1811" s="5"/>
      <c r="Q1811" s="5"/>
      <c r="R1811" s="5"/>
    </row>
    <row r="1813" spans="2:18" x14ac:dyDescent="0.2">
      <c r="B1813" s="2"/>
      <c r="C1813" s="11"/>
      <c r="D1813" s="1"/>
      <c r="E1813" s="5"/>
      <c r="F1813" s="5"/>
      <c r="G1813" s="5"/>
      <c r="H1813" s="5"/>
      <c r="I1813" s="5"/>
      <c r="J1813" s="5"/>
      <c r="K1813" s="5"/>
      <c r="L1813" s="5"/>
      <c r="M1813" s="5"/>
      <c r="N1813" s="5"/>
      <c r="O1813" s="5"/>
      <c r="P1813" s="5"/>
      <c r="Q1813" s="5"/>
      <c r="R1813" s="5"/>
    </row>
    <row r="1816" spans="2:18" x14ac:dyDescent="0.2">
      <c r="B1816" s="2"/>
      <c r="C1816" s="11"/>
      <c r="D1816" s="1"/>
      <c r="E1816" s="5"/>
      <c r="F1816" s="5"/>
      <c r="G1816" s="5"/>
      <c r="H1816" s="5"/>
      <c r="I1816" s="5"/>
      <c r="J1816" s="5"/>
      <c r="K1816" s="5"/>
      <c r="L1816" s="5"/>
      <c r="M1816" s="5"/>
      <c r="N1816" s="5"/>
      <c r="O1816" s="5"/>
      <c r="P1816" s="5"/>
      <c r="Q1816" s="5"/>
      <c r="R1816" s="5"/>
    </row>
    <row r="1819" spans="2:18" x14ac:dyDescent="0.2">
      <c r="B1819" s="2"/>
      <c r="C1819" s="11"/>
      <c r="D1819" s="1"/>
      <c r="E1819" s="5"/>
      <c r="F1819" s="5"/>
      <c r="G1819" s="5"/>
      <c r="H1819" s="5"/>
      <c r="I1819" s="5"/>
      <c r="J1819" s="5"/>
      <c r="K1819" s="5"/>
      <c r="L1819" s="5"/>
      <c r="M1819" s="5"/>
      <c r="N1819" s="5"/>
      <c r="O1819" s="5"/>
      <c r="P1819" s="5"/>
      <c r="Q1819" s="5"/>
      <c r="R1819" s="5"/>
    </row>
    <row r="1821" spans="2:18" x14ac:dyDescent="0.2">
      <c r="B1821" s="2"/>
      <c r="C1821" s="11"/>
      <c r="D1821" s="1"/>
      <c r="E1821" s="5"/>
      <c r="F1821" s="5"/>
      <c r="G1821" s="5"/>
      <c r="H1821" s="5"/>
      <c r="I1821" s="5"/>
      <c r="J1821" s="5"/>
      <c r="K1821" s="5"/>
      <c r="L1821" s="5"/>
      <c r="M1821" s="5"/>
      <c r="N1821" s="5"/>
      <c r="O1821" s="5"/>
      <c r="P1821" s="5"/>
      <c r="Q1821" s="5"/>
      <c r="R1821" s="5"/>
    </row>
    <row r="1823" spans="2:18" x14ac:dyDescent="0.2">
      <c r="B1823" s="2"/>
      <c r="C1823" s="11"/>
      <c r="D1823" s="1"/>
      <c r="E1823" s="5"/>
      <c r="F1823" s="5"/>
      <c r="G1823" s="5"/>
      <c r="H1823" s="5"/>
      <c r="I1823" s="5"/>
      <c r="J1823" s="5"/>
      <c r="K1823" s="5"/>
      <c r="L1823" s="5"/>
      <c r="M1823" s="5"/>
      <c r="N1823" s="5"/>
      <c r="O1823" s="5"/>
      <c r="P1823" s="5"/>
      <c r="Q1823" s="5"/>
      <c r="R1823" s="5"/>
    </row>
    <row r="1825" spans="2:18" x14ac:dyDescent="0.2">
      <c r="B1825" s="2"/>
      <c r="C1825" s="11"/>
      <c r="D1825" s="1"/>
      <c r="E1825" s="5"/>
      <c r="F1825" s="5"/>
      <c r="G1825" s="5"/>
      <c r="H1825" s="5"/>
      <c r="I1825" s="5"/>
      <c r="J1825" s="5"/>
      <c r="K1825" s="5"/>
      <c r="L1825" s="5"/>
      <c r="M1825" s="5"/>
      <c r="N1825" s="5"/>
      <c r="O1825" s="5"/>
      <c r="P1825" s="5"/>
      <c r="Q1825" s="5"/>
      <c r="R1825" s="5"/>
    </row>
    <row r="1827" spans="2:18" x14ac:dyDescent="0.2">
      <c r="B1827" s="2"/>
      <c r="C1827" s="11"/>
      <c r="D1827" s="1"/>
      <c r="E1827" s="5"/>
      <c r="F1827" s="5"/>
      <c r="G1827" s="5"/>
      <c r="H1827" s="5"/>
      <c r="I1827" s="5"/>
      <c r="J1827" s="5"/>
      <c r="K1827" s="5"/>
      <c r="L1827" s="5"/>
      <c r="M1827" s="5"/>
      <c r="N1827" s="5"/>
      <c r="O1827" s="5"/>
      <c r="P1827" s="5"/>
      <c r="Q1827" s="5"/>
      <c r="R1827" s="5"/>
    </row>
    <row r="1829" spans="2:18" x14ac:dyDescent="0.2">
      <c r="B1829" s="2"/>
      <c r="C1829" s="11"/>
      <c r="D1829" s="1"/>
      <c r="E1829" s="5"/>
      <c r="F1829" s="5"/>
      <c r="G1829" s="5"/>
      <c r="H1829" s="5"/>
      <c r="I1829" s="5"/>
      <c r="J1829" s="5"/>
      <c r="K1829" s="5"/>
      <c r="L1829" s="5"/>
      <c r="M1829" s="5"/>
      <c r="N1829" s="5"/>
      <c r="O1829" s="5"/>
      <c r="P1829" s="5"/>
      <c r="Q1829" s="5"/>
      <c r="R1829" s="5"/>
    </row>
    <row r="1831" spans="2:18" x14ac:dyDescent="0.2">
      <c r="B1831" s="2"/>
      <c r="C1831" s="11"/>
      <c r="D1831" s="1"/>
      <c r="E1831" s="5"/>
      <c r="F1831" s="5"/>
      <c r="G1831" s="5"/>
      <c r="H1831" s="5"/>
      <c r="I1831" s="5"/>
      <c r="J1831" s="5"/>
      <c r="K1831" s="5"/>
      <c r="L1831" s="5"/>
      <c r="M1831" s="5"/>
      <c r="N1831" s="5"/>
      <c r="O1831" s="5"/>
      <c r="P1831" s="5"/>
      <c r="Q1831" s="5"/>
      <c r="R1831" s="5"/>
    </row>
    <row r="1835" spans="2:18" x14ac:dyDescent="0.2">
      <c r="B1835" s="2"/>
      <c r="C1835" s="11"/>
      <c r="D1835" s="1"/>
      <c r="E1835" s="5"/>
      <c r="F1835" s="5"/>
      <c r="G1835" s="5"/>
      <c r="H1835" s="5"/>
      <c r="I1835" s="5"/>
      <c r="J1835" s="5"/>
      <c r="K1835" s="5"/>
      <c r="L1835" s="5"/>
      <c r="M1835" s="5"/>
      <c r="N1835" s="5"/>
      <c r="O1835" s="5"/>
      <c r="P1835" s="5"/>
      <c r="Q1835" s="5"/>
      <c r="R1835" s="5"/>
    </row>
    <row r="1839" spans="2:18" x14ac:dyDescent="0.2">
      <c r="B1839" s="2"/>
      <c r="C1839" s="11"/>
      <c r="D1839" s="1"/>
      <c r="E1839" s="5"/>
      <c r="F1839" s="5"/>
      <c r="G1839" s="5"/>
      <c r="H1839" s="5"/>
      <c r="I1839" s="5"/>
      <c r="J1839" s="5"/>
      <c r="K1839" s="5"/>
      <c r="L1839" s="5"/>
      <c r="M1839" s="5"/>
      <c r="N1839" s="5"/>
      <c r="O1839" s="5"/>
      <c r="P1839" s="5"/>
      <c r="Q1839" s="5"/>
      <c r="R1839" s="5"/>
    </row>
    <row r="1843" spans="2:18" x14ac:dyDescent="0.2">
      <c r="B1843" s="2"/>
      <c r="C1843" s="11"/>
      <c r="D1843" s="1"/>
      <c r="E1843" s="5"/>
      <c r="F1843" s="5"/>
      <c r="G1843" s="5"/>
      <c r="H1843" s="5"/>
      <c r="I1843" s="5"/>
      <c r="J1843" s="5"/>
      <c r="K1843" s="5"/>
      <c r="L1843" s="5"/>
      <c r="M1843" s="5"/>
      <c r="N1843" s="5"/>
      <c r="O1843" s="5"/>
      <c r="P1843" s="5"/>
      <c r="Q1843" s="5"/>
      <c r="R1843" s="5"/>
    </row>
    <row r="1845" spans="2:18" x14ac:dyDescent="0.2">
      <c r="B1845" s="2"/>
      <c r="C1845" s="11"/>
      <c r="D1845" s="1"/>
      <c r="E1845" s="5"/>
      <c r="F1845" s="5"/>
      <c r="G1845" s="5"/>
      <c r="H1845" s="5"/>
      <c r="I1845" s="5"/>
      <c r="J1845" s="5"/>
      <c r="K1845" s="5"/>
      <c r="L1845" s="5"/>
      <c r="M1845" s="5"/>
      <c r="N1845" s="5"/>
      <c r="O1845" s="5"/>
      <c r="P1845" s="5"/>
      <c r="Q1845" s="5"/>
      <c r="R1845" s="5"/>
    </row>
    <row r="1848" spans="2:18" x14ac:dyDescent="0.2">
      <c r="B1848" s="2"/>
      <c r="C1848" s="11"/>
      <c r="D1848" s="1"/>
      <c r="E1848" s="5"/>
      <c r="F1848" s="5"/>
      <c r="G1848" s="5"/>
      <c r="H1848" s="5"/>
      <c r="I1848" s="5"/>
      <c r="J1848" s="5"/>
      <c r="K1848" s="5"/>
      <c r="L1848" s="5"/>
      <c r="M1848" s="5"/>
      <c r="N1848" s="5"/>
      <c r="O1848" s="5"/>
      <c r="P1848" s="5"/>
      <c r="Q1848" s="5"/>
      <c r="R1848" s="5"/>
    </row>
    <row r="1850" spans="2:18" x14ac:dyDescent="0.2">
      <c r="B1850" s="2"/>
      <c r="C1850" s="11"/>
      <c r="D1850" s="1"/>
      <c r="E1850" s="5"/>
      <c r="F1850" s="5"/>
      <c r="G1850" s="5"/>
      <c r="H1850" s="5"/>
      <c r="I1850" s="5"/>
      <c r="J1850" s="5"/>
      <c r="K1850" s="5"/>
      <c r="L1850" s="5"/>
      <c r="M1850" s="5"/>
      <c r="N1850" s="5"/>
      <c r="O1850" s="5"/>
      <c r="P1850" s="5"/>
      <c r="Q1850" s="5"/>
      <c r="R1850" s="5"/>
    </row>
    <row r="1852" spans="2:18" x14ac:dyDescent="0.2">
      <c r="B1852" s="2"/>
      <c r="C1852" s="11"/>
      <c r="D1852" s="1"/>
      <c r="E1852" s="5"/>
      <c r="F1852" s="5"/>
      <c r="G1852" s="5"/>
      <c r="H1852" s="5"/>
      <c r="I1852" s="5"/>
      <c r="J1852" s="5"/>
      <c r="K1852" s="5"/>
      <c r="L1852" s="5"/>
      <c r="M1852" s="5"/>
      <c r="N1852" s="5"/>
      <c r="O1852" s="5"/>
      <c r="P1852" s="5"/>
      <c r="Q1852" s="5"/>
      <c r="R1852" s="5"/>
    </row>
    <row r="1854" spans="2:18" x14ac:dyDescent="0.2">
      <c r="B1854" s="2"/>
      <c r="C1854" s="11"/>
      <c r="D1854" s="1"/>
      <c r="E1854" s="5"/>
      <c r="F1854" s="5"/>
      <c r="G1854" s="5"/>
      <c r="H1854" s="5"/>
      <c r="I1854" s="5"/>
      <c r="J1854" s="5"/>
      <c r="K1854" s="5"/>
      <c r="L1854" s="5"/>
      <c r="M1854" s="5"/>
      <c r="N1854" s="5"/>
      <c r="O1854" s="5"/>
      <c r="P1854" s="5"/>
      <c r="Q1854" s="5"/>
      <c r="R1854" s="5"/>
    </row>
    <row r="1855" spans="2:18" x14ac:dyDescent="0.2">
      <c r="B1855" s="2"/>
      <c r="C1855" s="11"/>
      <c r="D1855" s="1"/>
      <c r="E1855" s="5"/>
      <c r="F1855" s="5"/>
      <c r="G1855" s="5"/>
      <c r="H1855" s="5"/>
      <c r="I1855" s="5"/>
      <c r="J1855" s="5"/>
      <c r="K1855" s="5"/>
      <c r="L1855" s="5"/>
      <c r="M1855" s="5"/>
      <c r="N1855" s="5"/>
      <c r="O1855" s="5"/>
      <c r="P1855" s="5"/>
      <c r="Q1855" s="5"/>
      <c r="R1855" s="5"/>
    </row>
    <row r="1856" spans="2:18" x14ac:dyDescent="0.2">
      <c r="B1856" s="2"/>
      <c r="C1856" s="11"/>
      <c r="D1856" s="1"/>
      <c r="E1856" s="5"/>
      <c r="F1856" s="5"/>
      <c r="G1856" s="5"/>
      <c r="H1856" s="5"/>
      <c r="I1856" s="5"/>
      <c r="J1856" s="5"/>
      <c r="K1856" s="5"/>
      <c r="L1856" s="5"/>
      <c r="M1856" s="5"/>
      <c r="N1856" s="5"/>
      <c r="O1856" s="5"/>
      <c r="P1856" s="5"/>
      <c r="Q1856" s="5"/>
      <c r="R1856" s="5"/>
    </row>
    <row r="1859" spans="2:18" x14ac:dyDescent="0.2">
      <c r="B1859" s="2"/>
      <c r="C1859" s="11"/>
      <c r="D1859" s="1"/>
      <c r="E1859" s="5"/>
      <c r="F1859" s="5"/>
      <c r="G1859" s="5"/>
      <c r="H1859" s="5"/>
      <c r="I1859" s="5"/>
      <c r="J1859" s="5"/>
      <c r="K1859" s="5"/>
      <c r="L1859" s="5"/>
      <c r="M1859" s="5"/>
      <c r="N1859" s="5"/>
      <c r="O1859" s="5"/>
      <c r="P1859" s="5"/>
      <c r="Q1859" s="5"/>
      <c r="R1859" s="5"/>
    </row>
    <row r="1861" spans="2:18" x14ac:dyDescent="0.2">
      <c r="B1861" s="2"/>
      <c r="C1861" s="11"/>
      <c r="D1861" s="1"/>
      <c r="E1861" s="5"/>
      <c r="F1861" s="5"/>
      <c r="G1861" s="5"/>
      <c r="H1861" s="5"/>
      <c r="I1861" s="5"/>
      <c r="J1861" s="5"/>
      <c r="K1861" s="5"/>
      <c r="L1861" s="5"/>
      <c r="M1861" s="5"/>
      <c r="N1861" s="5"/>
      <c r="O1861" s="5"/>
      <c r="P1861" s="5"/>
      <c r="Q1861" s="5"/>
      <c r="R1861" s="5"/>
    </row>
    <row r="1863" spans="2:18" x14ac:dyDescent="0.2">
      <c r="B1863" s="2"/>
      <c r="C1863" s="11"/>
      <c r="D1863" s="1"/>
      <c r="E1863" s="5"/>
      <c r="F1863" s="5"/>
      <c r="G1863" s="5"/>
      <c r="H1863" s="5"/>
      <c r="I1863" s="5"/>
      <c r="J1863" s="5"/>
      <c r="K1863" s="5"/>
      <c r="L1863" s="5"/>
      <c r="M1863" s="5"/>
      <c r="N1863" s="5"/>
      <c r="O1863" s="5"/>
      <c r="P1863" s="5"/>
      <c r="Q1863" s="5"/>
      <c r="R1863" s="5"/>
    </row>
    <row r="1865" spans="2:18" x14ac:dyDescent="0.2">
      <c r="B1865" s="2"/>
      <c r="C1865" s="11"/>
      <c r="D1865" s="1"/>
      <c r="E1865" s="5"/>
      <c r="F1865" s="5"/>
      <c r="G1865" s="5"/>
      <c r="H1865" s="5"/>
      <c r="I1865" s="5"/>
      <c r="J1865" s="5"/>
      <c r="K1865" s="5"/>
      <c r="L1865" s="5"/>
      <c r="M1865" s="5"/>
      <c r="N1865" s="5"/>
      <c r="O1865" s="5"/>
      <c r="P1865" s="5"/>
      <c r="Q1865" s="5"/>
      <c r="R1865" s="5"/>
    </row>
    <row r="1869" spans="2:18" x14ac:dyDescent="0.2">
      <c r="B1869" s="2"/>
      <c r="C1869" s="11"/>
      <c r="D1869" s="1"/>
      <c r="E1869" s="5"/>
      <c r="F1869" s="5"/>
      <c r="G1869" s="5"/>
      <c r="H1869" s="5"/>
      <c r="I1869" s="5"/>
      <c r="J1869" s="5"/>
      <c r="K1869" s="5"/>
      <c r="L1869" s="5"/>
      <c r="M1869" s="5"/>
      <c r="N1869" s="5"/>
      <c r="O1869" s="5"/>
      <c r="P1869" s="5"/>
      <c r="Q1869" s="5"/>
      <c r="R1869" s="5"/>
    </row>
    <row r="1871" spans="2:18" x14ac:dyDescent="0.2">
      <c r="B1871" s="2"/>
      <c r="C1871" s="11"/>
      <c r="D1871" s="1"/>
      <c r="E1871" s="5"/>
      <c r="F1871" s="5"/>
      <c r="G1871" s="5"/>
      <c r="H1871" s="5"/>
      <c r="I1871" s="5"/>
      <c r="J1871" s="5"/>
      <c r="K1871" s="5"/>
      <c r="L1871" s="5"/>
      <c r="M1871" s="5"/>
      <c r="N1871" s="5"/>
      <c r="O1871" s="5"/>
      <c r="P1871" s="5"/>
      <c r="Q1871" s="5"/>
      <c r="R1871" s="5"/>
    </row>
    <row r="1873" spans="2:18" x14ac:dyDescent="0.2">
      <c r="B1873" s="2"/>
      <c r="C1873" s="11"/>
      <c r="D1873" s="1"/>
      <c r="E1873" s="5"/>
      <c r="F1873" s="5"/>
      <c r="G1873" s="5"/>
      <c r="H1873" s="5"/>
      <c r="I1873" s="5"/>
      <c r="J1873" s="5"/>
      <c r="K1873" s="5"/>
      <c r="L1873" s="5"/>
      <c r="M1873" s="5"/>
      <c r="N1873" s="5"/>
      <c r="O1873" s="5"/>
      <c r="P1873" s="5"/>
      <c r="Q1873" s="5"/>
      <c r="R1873" s="5"/>
    </row>
    <row r="1875" spans="2:18" x14ac:dyDescent="0.2">
      <c r="B1875" s="2"/>
      <c r="C1875" s="11"/>
      <c r="D1875" s="1"/>
      <c r="E1875" s="5"/>
      <c r="F1875" s="5"/>
      <c r="G1875" s="5"/>
      <c r="H1875" s="5"/>
      <c r="I1875" s="5"/>
      <c r="J1875" s="5"/>
      <c r="K1875" s="5"/>
      <c r="L1875" s="5"/>
      <c r="M1875" s="5"/>
      <c r="N1875" s="5"/>
      <c r="O1875" s="5"/>
      <c r="P1875" s="5"/>
      <c r="Q1875" s="5"/>
      <c r="R1875" s="5"/>
    </row>
    <row r="1877" spans="2:18" x14ac:dyDescent="0.2">
      <c r="B1877" s="2"/>
      <c r="C1877" s="11"/>
      <c r="D1877" s="1"/>
      <c r="E1877" s="5"/>
      <c r="F1877" s="5"/>
      <c r="G1877" s="5"/>
      <c r="H1877" s="5"/>
      <c r="I1877" s="5"/>
      <c r="J1877" s="5"/>
      <c r="K1877" s="5"/>
      <c r="L1877" s="5"/>
      <c r="M1877" s="5"/>
      <c r="N1877" s="5"/>
      <c r="O1877" s="5"/>
      <c r="P1877" s="5"/>
      <c r="Q1877" s="5"/>
      <c r="R1877" s="5"/>
    </row>
    <row r="1879" spans="2:18" x14ac:dyDescent="0.2">
      <c r="B1879" s="2"/>
      <c r="C1879" s="11"/>
      <c r="D1879" s="1"/>
      <c r="E1879" s="5"/>
      <c r="F1879" s="5"/>
      <c r="G1879" s="5"/>
      <c r="H1879" s="5"/>
      <c r="I1879" s="5"/>
      <c r="J1879" s="5"/>
      <c r="K1879" s="5"/>
      <c r="L1879" s="5"/>
      <c r="M1879" s="5"/>
      <c r="N1879" s="5"/>
      <c r="O1879" s="5"/>
      <c r="P1879" s="5"/>
      <c r="Q1879" s="5"/>
      <c r="R1879" s="5"/>
    </row>
    <row r="1882" spans="2:18" x14ac:dyDescent="0.2">
      <c r="B1882" s="2"/>
      <c r="C1882" s="11"/>
      <c r="D1882" s="1"/>
      <c r="E1882" s="5"/>
      <c r="F1882" s="5"/>
      <c r="G1882" s="5"/>
      <c r="H1882" s="5"/>
      <c r="I1882" s="5"/>
      <c r="J1882" s="5"/>
      <c r="K1882" s="5"/>
      <c r="L1882" s="5"/>
      <c r="M1882" s="5"/>
      <c r="N1882" s="5"/>
      <c r="O1882" s="5"/>
      <c r="P1882" s="5"/>
      <c r="Q1882" s="5"/>
      <c r="R1882" s="5"/>
    </row>
    <row r="1884" spans="2:18" x14ac:dyDescent="0.2">
      <c r="B1884" s="2"/>
      <c r="C1884" s="11"/>
      <c r="D1884" s="1"/>
      <c r="E1884" s="5"/>
      <c r="F1884" s="5"/>
      <c r="G1884" s="5"/>
      <c r="H1884" s="5"/>
      <c r="I1884" s="5"/>
      <c r="J1884" s="5"/>
      <c r="K1884" s="5"/>
      <c r="L1884" s="5"/>
      <c r="M1884" s="5"/>
      <c r="N1884" s="5"/>
      <c r="O1884" s="5"/>
      <c r="P1884" s="5"/>
      <c r="Q1884" s="5"/>
      <c r="R1884" s="5"/>
    </row>
    <row r="1887" spans="2:18" x14ac:dyDescent="0.2">
      <c r="B1887" s="2"/>
      <c r="C1887" s="11"/>
      <c r="D1887" s="1"/>
      <c r="E1887" s="5"/>
      <c r="F1887" s="5"/>
      <c r="G1887" s="5"/>
      <c r="H1887" s="5"/>
      <c r="I1887" s="5"/>
      <c r="J1887" s="5"/>
      <c r="K1887" s="5"/>
      <c r="L1887" s="5"/>
      <c r="M1887" s="5"/>
      <c r="N1887" s="5"/>
      <c r="O1887" s="5"/>
      <c r="P1887" s="5"/>
      <c r="Q1887" s="5"/>
      <c r="R1887" s="5"/>
    </row>
    <row r="1889" spans="2:18" x14ac:dyDescent="0.2">
      <c r="B1889" s="2"/>
      <c r="C1889" s="11"/>
      <c r="D1889" s="1"/>
      <c r="E1889" s="5"/>
      <c r="F1889" s="5"/>
      <c r="G1889" s="5"/>
      <c r="H1889" s="5"/>
      <c r="I1889" s="5"/>
      <c r="J1889" s="5"/>
      <c r="K1889" s="5"/>
      <c r="L1889" s="5"/>
      <c r="M1889" s="5"/>
      <c r="N1889" s="5"/>
      <c r="O1889" s="5"/>
      <c r="P1889" s="5"/>
      <c r="Q1889" s="5"/>
      <c r="R1889" s="5"/>
    </row>
    <row r="1891" spans="2:18" x14ac:dyDescent="0.2">
      <c r="B1891" s="2"/>
      <c r="C1891" s="11"/>
      <c r="D1891" s="1"/>
      <c r="E1891" s="5"/>
      <c r="F1891" s="5"/>
      <c r="G1891" s="5"/>
      <c r="H1891" s="5"/>
      <c r="I1891" s="5"/>
      <c r="J1891" s="5"/>
      <c r="K1891" s="5"/>
      <c r="L1891" s="5"/>
      <c r="M1891" s="5"/>
      <c r="N1891" s="5"/>
      <c r="O1891" s="5"/>
      <c r="P1891" s="5"/>
      <c r="Q1891" s="5"/>
      <c r="R1891" s="5"/>
    </row>
    <row r="1893" spans="2:18" x14ac:dyDescent="0.2">
      <c r="B1893" s="2"/>
      <c r="C1893" s="11"/>
      <c r="D1893" s="1"/>
      <c r="E1893" s="5"/>
      <c r="F1893" s="5"/>
      <c r="G1893" s="5"/>
      <c r="H1893" s="5"/>
      <c r="I1893" s="5"/>
      <c r="J1893" s="5"/>
      <c r="K1893" s="5"/>
      <c r="L1893" s="5"/>
      <c r="M1893" s="5"/>
      <c r="N1893" s="5"/>
      <c r="O1893" s="5"/>
      <c r="P1893" s="5"/>
      <c r="Q1893" s="5"/>
      <c r="R1893" s="5"/>
    </row>
    <row r="1895" spans="2:18" x14ac:dyDescent="0.2">
      <c r="B1895" s="2"/>
      <c r="C1895" s="11"/>
      <c r="D1895" s="1"/>
      <c r="E1895" s="5"/>
      <c r="F1895" s="5"/>
      <c r="G1895" s="5"/>
      <c r="H1895" s="5"/>
      <c r="I1895" s="5"/>
      <c r="J1895" s="5"/>
      <c r="K1895" s="5"/>
      <c r="L1895" s="5"/>
      <c r="M1895" s="5"/>
      <c r="N1895" s="5"/>
      <c r="O1895" s="5"/>
      <c r="P1895" s="5"/>
      <c r="Q1895" s="5"/>
      <c r="R1895" s="5"/>
    </row>
    <row r="1897" spans="2:18" x14ac:dyDescent="0.2">
      <c r="B1897" s="2"/>
      <c r="C1897" s="11"/>
      <c r="D1897" s="1"/>
      <c r="E1897" s="5"/>
      <c r="F1897" s="5"/>
      <c r="G1897" s="5"/>
      <c r="H1897" s="5"/>
      <c r="I1897" s="5"/>
      <c r="J1897" s="5"/>
      <c r="K1897" s="5"/>
      <c r="L1897" s="5"/>
      <c r="M1897" s="5"/>
      <c r="N1897" s="5"/>
      <c r="O1897" s="5"/>
      <c r="P1897" s="5"/>
      <c r="Q1897" s="5"/>
      <c r="R1897" s="5"/>
    </row>
    <row r="1899" spans="2:18" x14ac:dyDescent="0.2">
      <c r="B1899" s="2"/>
      <c r="C1899" s="11"/>
      <c r="D1899" s="1"/>
      <c r="E1899" s="5"/>
      <c r="F1899" s="5"/>
      <c r="G1899" s="5"/>
      <c r="H1899" s="5"/>
      <c r="I1899" s="5"/>
      <c r="J1899" s="5"/>
      <c r="K1899" s="5"/>
      <c r="L1899" s="5"/>
      <c r="M1899" s="5"/>
      <c r="N1899" s="5"/>
      <c r="O1899" s="5"/>
      <c r="P1899" s="5"/>
      <c r="Q1899" s="5"/>
      <c r="R1899" s="5"/>
    </row>
    <row r="1901" spans="2:18" x14ac:dyDescent="0.2">
      <c r="B1901" s="2"/>
      <c r="C1901" s="11"/>
      <c r="D1901" s="1"/>
      <c r="E1901" s="5"/>
      <c r="F1901" s="5"/>
      <c r="G1901" s="5"/>
      <c r="H1901" s="5"/>
      <c r="I1901" s="5"/>
      <c r="J1901" s="5"/>
      <c r="K1901" s="5"/>
      <c r="L1901" s="5"/>
      <c r="M1901" s="5"/>
      <c r="N1901" s="5"/>
      <c r="O1901" s="5"/>
      <c r="P1901" s="5"/>
      <c r="Q1901" s="5"/>
      <c r="R1901" s="5"/>
    </row>
    <row r="1903" spans="2:18" x14ac:dyDescent="0.2">
      <c r="B1903" s="2"/>
      <c r="C1903" s="11"/>
      <c r="D1903" s="1"/>
      <c r="E1903" s="5"/>
      <c r="F1903" s="5"/>
      <c r="G1903" s="5"/>
      <c r="H1903" s="5"/>
      <c r="I1903" s="5"/>
      <c r="J1903" s="5"/>
      <c r="K1903" s="5"/>
      <c r="L1903" s="5"/>
      <c r="M1903" s="5"/>
      <c r="N1903" s="5"/>
      <c r="O1903" s="5"/>
      <c r="P1903" s="5"/>
      <c r="Q1903" s="5"/>
      <c r="R1903" s="5"/>
    </row>
    <row r="1905" spans="2:18" x14ac:dyDescent="0.2">
      <c r="B1905" s="2"/>
      <c r="C1905" s="11"/>
      <c r="D1905" s="1"/>
      <c r="E1905" s="5"/>
      <c r="F1905" s="5"/>
      <c r="G1905" s="5"/>
      <c r="H1905" s="5"/>
      <c r="I1905" s="5"/>
      <c r="J1905" s="5"/>
      <c r="K1905" s="5"/>
      <c r="L1905" s="5"/>
      <c r="M1905" s="5"/>
      <c r="N1905" s="5"/>
      <c r="O1905" s="5"/>
      <c r="P1905" s="5"/>
      <c r="Q1905" s="5"/>
      <c r="R1905" s="5"/>
    </row>
    <row r="1907" spans="2:18" x14ac:dyDescent="0.2">
      <c r="B1907" s="2"/>
      <c r="C1907" s="11"/>
      <c r="D1907" s="1"/>
      <c r="E1907" s="5"/>
      <c r="F1907" s="5"/>
      <c r="G1907" s="5"/>
      <c r="H1907" s="5"/>
      <c r="I1907" s="5"/>
      <c r="J1907" s="5"/>
      <c r="K1907" s="5"/>
      <c r="L1907" s="5"/>
      <c r="M1907" s="5"/>
      <c r="N1907" s="5"/>
      <c r="O1907" s="5"/>
      <c r="P1907" s="5"/>
      <c r="Q1907" s="5"/>
      <c r="R1907" s="5"/>
    </row>
    <row r="1909" spans="2:18" x14ac:dyDescent="0.2">
      <c r="B1909" s="2"/>
      <c r="C1909" s="11"/>
      <c r="D1909" s="1"/>
      <c r="E1909" s="5"/>
      <c r="F1909" s="5"/>
      <c r="G1909" s="5"/>
      <c r="H1909" s="5"/>
      <c r="I1909" s="5"/>
      <c r="J1909" s="5"/>
      <c r="K1909" s="5"/>
      <c r="L1909" s="5"/>
      <c r="M1909" s="5"/>
      <c r="N1909" s="5"/>
      <c r="O1909" s="5"/>
      <c r="P1909" s="5"/>
      <c r="Q1909" s="5"/>
      <c r="R1909" s="5"/>
    </row>
    <row r="1911" spans="2:18" x14ac:dyDescent="0.2">
      <c r="B1911" s="2"/>
      <c r="C1911" s="11"/>
      <c r="D1911" s="1"/>
      <c r="E1911" s="5"/>
      <c r="F1911" s="5"/>
      <c r="G1911" s="5"/>
      <c r="H1911" s="5"/>
      <c r="I1911" s="5"/>
      <c r="J1911" s="5"/>
      <c r="K1911" s="5"/>
      <c r="L1911" s="5"/>
      <c r="M1911" s="5"/>
      <c r="N1911" s="5"/>
      <c r="O1911" s="5"/>
      <c r="P1911" s="5"/>
      <c r="Q1911" s="5"/>
      <c r="R1911" s="5"/>
    </row>
    <row r="1913" spans="2:18" x14ac:dyDescent="0.2">
      <c r="B1913" s="2"/>
      <c r="C1913" s="11"/>
      <c r="D1913" s="1"/>
      <c r="E1913" s="5"/>
      <c r="F1913" s="5"/>
      <c r="G1913" s="5"/>
      <c r="H1913" s="5"/>
      <c r="I1913" s="5"/>
      <c r="J1913" s="5"/>
      <c r="K1913" s="5"/>
      <c r="L1913" s="5"/>
      <c r="M1913" s="5"/>
      <c r="N1913" s="5"/>
      <c r="O1913" s="5"/>
      <c r="P1913" s="5"/>
      <c r="Q1913" s="5"/>
      <c r="R1913" s="5"/>
    </row>
    <row r="1915" spans="2:18" x14ac:dyDescent="0.2">
      <c r="B1915" s="2"/>
      <c r="C1915" s="11"/>
      <c r="D1915" s="1"/>
      <c r="E1915" s="5"/>
      <c r="F1915" s="5"/>
      <c r="G1915" s="5"/>
      <c r="H1915" s="5"/>
      <c r="I1915" s="5"/>
      <c r="J1915" s="5"/>
      <c r="K1915" s="5"/>
      <c r="L1915" s="5"/>
      <c r="M1915" s="5"/>
      <c r="N1915" s="5"/>
      <c r="O1915" s="5"/>
      <c r="P1915" s="5"/>
      <c r="Q1915" s="5"/>
      <c r="R1915" s="5"/>
    </row>
    <row r="1920" spans="2:18" x14ac:dyDescent="0.2">
      <c r="B1920" s="2"/>
      <c r="C1920" s="11"/>
      <c r="D1920" s="1"/>
      <c r="E1920" s="5"/>
      <c r="F1920" s="5"/>
      <c r="G1920" s="5"/>
      <c r="H1920" s="5"/>
      <c r="I1920" s="5"/>
      <c r="J1920" s="5"/>
      <c r="K1920" s="5"/>
      <c r="L1920" s="5"/>
      <c r="M1920" s="5"/>
      <c r="N1920" s="5"/>
      <c r="O1920" s="5"/>
      <c r="P1920" s="5"/>
      <c r="Q1920" s="5"/>
      <c r="R1920" s="5"/>
    </row>
    <row r="1922" spans="2:18" x14ac:dyDescent="0.2">
      <c r="C1922" s="11"/>
      <c r="D1922" s="1"/>
      <c r="E1922" s="5"/>
      <c r="F1922" s="5"/>
      <c r="G1922" s="5"/>
      <c r="H1922" s="5"/>
      <c r="I1922" s="5"/>
      <c r="J1922" s="5"/>
      <c r="K1922" s="5"/>
      <c r="L1922" s="5"/>
      <c r="M1922" s="5"/>
      <c r="N1922" s="5"/>
      <c r="O1922" s="5"/>
      <c r="P1922" s="5"/>
      <c r="Q1922" s="5"/>
      <c r="R1922" s="5"/>
    </row>
    <row r="1924" spans="2:18" x14ac:dyDescent="0.2">
      <c r="B1924" s="2"/>
      <c r="C1924" s="11"/>
      <c r="D1924" s="1"/>
      <c r="E1924" s="5"/>
      <c r="F1924" s="5"/>
      <c r="G1924" s="5"/>
      <c r="H1924" s="5"/>
      <c r="I1924" s="5"/>
      <c r="J1924" s="5"/>
      <c r="K1924" s="5"/>
      <c r="L1924" s="5"/>
      <c r="M1924" s="5"/>
      <c r="N1924" s="5"/>
      <c r="O1924" s="5"/>
      <c r="P1924" s="5"/>
      <c r="Q1924" s="5"/>
      <c r="R1924" s="5"/>
    </row>
    <row r="1926" spans="2:18" x14ac:dyDescent="0.2">
      <c r="B1926" s="2"/>
      <c r="C1926" s="11"/>
      <c r="D1926" s="1"/>
      <c r="E1926" s="5"/>
      <c r="F1926" s="5"/>
      <c r="G1926" s="5"/>
      <c r="H1926" s="5"/>
      <c r="I1926" s="5"/>
      <c r="J1926" s="5"/>
      <c r="K1926" s="5"/>
      <c r="L1926" s="5"/>
      <c r="M1926" s="5"/>
      <c r="N1926" s="5"/>
      <c r="O1926" s="5"/>
      <c r="P1926" s="5"/>
      <c r="Q1926" s="5"/>
      <c r="R1926" s="5"/>
    </row>
    <row r="1930" spans="2:18" x14ac:dyDescent="0.2">
      <c r="B1930" s="2"/>
      <c r="C1930" s="11"/>
      <c r="D1930" s="1"/>
      <c r="E1930" s="5"/>
      <c r="F1930" s="5"/>
      <c r="G1930" s="5"/>
      <c r="H1930" s="5"/>
      <c r="I1930" s="5"/>
      <c r="J1930" s="5"/>
      <c r="K1930" s="5"/>
      <c r="L1930" s="5"/>
      <c r="M1930" s="5"/>
      <c r="N1930" s="5"/>
      <c r="O1930" s="5"/>
      <c r="P1930" s="5"/>
      <c r="Q1930" s="5"/>
      <c r="R1930" s="5"/>
    </row>
    <row r="1934" spans="2:18" x14ac:dyDescent="0.2">
      <c r="B1934" s="2"/>
      <c r="C1934" s="11"/>
      <c r="D1934" s="1"/>
      <c r="E1934" s="5"/>
      <c r="F1934" s="5"/>
      <c r="G1934" s="5"/>
      <c r="H1934" s="5"/>
      <c r="I1934" s="5"/>
      <c r="J1934" s="5"/>
      <c r="K1934" s="5"/>
      <c r="L1934" s="5"/>
      <c r="M1934" s="5"/>
      <c r="N1934" s="5"/>
      <c r="O1934" s="5"/>
      <c r="P1934" s="5"/>
      <c r="Q1934" s="5"/>
      <c r="R1934" s="5"/>
    </row>
    <row r="1936" spans="2:18" x14ac:dyDescent="0.2">
      <c r="B1936" s="2"/>
      <c r="C1936" s="11"/>
      <c r="D1936" s="1"/>
      <c r="E1936" s="5"/>
      <c r="F1936" s="5"/>
      <c r="G1936" s="5"/>
      <c r="H1936" s="5"/>
      <c r="I1936" s="5"/>
      <c r="J1936" s="5"/>
      <c r="K1936" s="5"/>
      <c r="L1936" s="5"/>
      <c r="M1936" s="5"/>
      <c r="N1936" s="5"/>
      <c r="O1936" s="5"/>
      <c r="P1936" s="5"/>
      <c r="Q1936" s="5"/>
      <c r="R1936" s="5"/>
    </row>
    <row r="1938" spans="2:18" x14ac:dyDescent="0.2">
      <c r="B1938" s="2"/>
      <c r="C1938" s="11"/>
      <c r="D1938" s="1"/>
      <c r="E1938" s="5"/>
      <c r="F1938" s="5"/>
      <c r="G1938" s="5"/>
      <c r="H1938" s="5"/>
      <c r="I1938" s="5"/>
      <c r="J1938" s="5"/>
      <c r="K1938" s="5"/>
      <c r="L1938" s="5"/>
      <c r="M1938" s="5"/>
      <c r="N1938" s="5"/>
      <c r="O1938" s="5"/>
      <c r="P1938" s="5"/>
      <c r="Q1938" s="5"/>
      <c r="R1938" s="5"/>
    </row>
    <row r="1940" spans="2:18" x14ac:dyDescent="0.2">
      <c r="B1940" s="2"/>
      <c r="C1940" s="11"/>
      <c r="D1940" s="1"/>
      <c r="E1940" s="5"/>
      <c r="F1940" s="5"/>
      <c r="G1940" s="5"/>
      <c r="H1940" s="5"/>
      <c r="I1940" s="5"/>
      <c r="J1940" s="5"/>
      <c r="K1940" s="5"/>
      <c r="L1940" s="5"/>
      <c r="M1940" s="5"/>
      <c r="N1940" s="5"/>
      <c r="O1940" s="5"/>
      <c r="P1940" s="5"/>
      <c r="Q1940" s="5"/>
      <c r="R1940" s="5"/>
    </row>
    <row r="1942" spans="2:18" x14ac:dyDescent="0.2">
      <c r="B1942" s="2"/>
      <c r="C1942" s="11"/>
      <c r="D1942" s="1"/>
      <c r="E1942" s="5"/>
      <c r="F1942" s="5"/>
      <c r="G1942" s="5"/>
      <c r="H1942" s="5"/>
      <c r="I1942" s="5"/>
      <c r="J1942" s="5"/>
      <c r="K1942" s="5"/>
      <c r="L1942" s="5"/>
      <c r="M1942" s="5"/>
      <c r="N1942" s="5"/>
      <c r="O1942" s="5"/>
      <c r="P1942" s="5"/>
      <c r="Q1942" s="5"/>
      <c r="R1942" s="5"/>
    </row>
    <row r="1945" spans="2:18" x14ac:dyDescent="0.2">
      <c r="B1945" s="2"/>
      <c r="C1945" s="11"/>
      <c r="D1945" s="1"/>
      <c r="E1945" s="5"/>
      <c r="F1945" s="5"/>
      <c r="G1945" s="5"/>
      <c r="H1945" s="5"/>
      <c r="I1945" s="5"/>
      <c r="J1945" s="5"/>
      <c r="K1945" s="5"/>
      <c r="L1945" s="5"/>
      <c r="M1945" s="5"/>
      <c r="N1945" s="5"/>
      <c r="O1945" s="5"/>
      <c r="P1945" s="5"/>
      <c r="Q1945" s="5"/>
      <c r="R1945" s="5"/>
    </row>
    <row r="1947" spans="2:18" x14ac:dyDescent="0.2">
      <c r="B1947" s="2"/>
      <c r="C1947" s="11"/>
      <c r="D1947" s="1"/>
      <c r="E1947" s="5"/>
      <c r="F1947" s="5"/>
      <c r="G1947" s="5"/>
      <c r="H1947" s="5"/>
      <c r="I1947" s="5"/>
      <c r="J1947" s="5"/>
      <c r="K1947" s="5"/>
      <c r="L1947" s="5"/>
      <c r="M1947" s="5"/>
      <c r="N1947" s="5"/>
      <c r="O1947" s="5"/>
      <c r="P1947" s="5"/>
      <c r="Q1947" s="5"/>
      <c r="R1947" s="5"/>
    </row>
    <row r="1949" spans="2:18" x14ac:dyDescent="0.2">
      <c r="B1949" s="2"/>
      <c r="C1949" s="11"/>
      <c r="D1949" s="1"/>
      <c r="E1949" s="5"/>
      <c r="F1949" s="5"/>
      <c r="G1949" s="5"/>
      <c r="H1949" s="5"/>
      <c r="I1949" s="5"/>
      <c r="J1949" s="5"/>
      <c r="K1949" s="5"/>
      <c r="L1949" s="5"/>
      <c r="M1949" s="5"/>
      <c r="N1949" s="5"/>
      <c r="O1949" s="5"/>
      <c r="P1949" s="5"/>
      <c r="Q1949" s="5"/>
      <c r="R1949" s="5"/>
    </row>
    <row r="1950" spans="2:18" x14ac:dyDescent="0.2">
      <c r="B1950" s="2"/>
      <c r="C1950" s="11"/>
      <c r="D1950" s="1"/>
      <c r="E1950" s="5"/>
      <c r="F1950" s="5"/>
      <c r="G1950" s="5"/>
      <c r="H1950" s="5"/>
      <c r="I1950" s="5"/>
      <c r="J1950" s="5"/>
      <c r="K1950" s="5"/>
      <c r="L1950" s="5"/>
      <c r="M1950" s="5"/>
      <c r="N1950" s="5"/>
      <c r="O1950" s="5"/>
      <c r="P1950" s="5"/>
      <c r="Q1950" s="5"/>
      <c r="R1950" s="5"/>
    </row>
    <row r="1951" spans="2:18" x14ac:dyDescent="0.2">
      <c r="B1951" s="2"/>
      <c r="C1951" s="11"/>
      <c r="D1951" s="1"/>
      <c r="E1951" s="5"/>
      <c r="F1951" s="5"/>
      <c r="G1951" s="5"/>
      <c r="H1951" s="5"/>
      <c r="I1951" s="5"/>
      <c r="J1951" s="5"/>
      <c r="K1951" s="5"/>
      <c r="L1951" s="5"/>
      <c r="M1951" s="5"/>
      <c r="N1951" s="5"/>
      <c r="O1951" s="5"/>
      <c r="P1951" s="5"/>
      <c r="Q1951" s="5"/>
      <c r="R1951" s="5"/>
    </row>
    <row r="1953" spans="2:18" x14ac:dyDescent="0.2">
      <c r="B1953" s="2"/>
      <c r="C1953" s="11"/>
      <c r="D1953" s="1"/>
      <c r="E1953" s="5"/>
      <c r="F1953" s="5"/>
      <c r="G1953" s="5"/>
      <c r="H1953" s="5"/>
      <c r="I1953" s="5"/>
      <c r="J1953" s="5"/>
      <c r="K1953" s="5"/>
      <c r="L1953" s="5"/>
      <c r="M1953" s="5"/>
      <c r="N1953" s="5"/>
      <c r="O1953" s="5"/>
      <c r="P1953" s="5"/>
      <c r="Q1953" s="5"/>
      <c r="R1953" s="5"/>
    </row>
    <row r="1955" spans="2:18" x14ac:dyDescent="0.2">
      <c r="B1955" s="2"/>
      <c r="C1955" s="11"/>
      <c r="D1955" s="1"/>
      <c r="E1955" s="5"/>
      <c r="F1955" s="5"/>
      <c r="G1955" s="5"/>
      <c r="H1955" s="5"/>
      <c r="I1955" s="5"/>
      <c r="J1955" s="5"/>
      <c r="K1955" s="5"/>
      <c r="L1955" s="5"/>
      <c r="M1955" s="5"/>
      <c r="N1955" s="5"/>
      <c r="O1955" s="5"/>
      <c r="P1955" s="5"/>
      <c r="Q1955" s="5"/>
      <c r="R1955" s="5"/>
    </row>
    <row r="1957" spans="2:18" x14ac:dyDescent="0.2">
      <c r="B1957" s="2"/>
      <c r="C1957" s="11"/>
      <c r="D1957" s="1"/>
      <c r="E1957" s="5"/>
      <c r="F1957" s="5"/>
      <c r="G1957" s="5"/>
      <c r="H1957" s="5"/>
      <c r="I1957" s="5"/>
      <c r="J1957" s="5"/>
      <c r="K1957" s="5"/>
      <c r="L1957" s="5"/>
      <c r="M1957" s="5"/>
      <c r="N1957" s="5"/>
      <c r="O1957" s="5"/>
      <c r="P1957" s="5"/>
      <c r="Q1957" s="5"/>
      <c r="R1957" s="5"/>
    </row>
    <row r="1959" spans="2:18" x14ac:dyDescent="0.2">
      <c r="B1959" s="2"/>
      <c r="C1959" s="11"/>
      <c r="D1959" s="1"/>
      <c r="E1959" s="5"/>
      <c r="F1959" s="5"/>
      <c r="G1959" s="5"/>
      <c r="H1959" s="5"/>
      <c r="I1959" s="5"/>
      <c r="J1959" s="5"/>
      <c r="K1959" s="5"/>
      <c r="L1959" s="5"/>
      <c r="M1959" s="5"/>
      <c r="N1959" s="5"/>
      <c r="O1959" s="5"/>
      <c r="P1959" s="5"/>
      <c r="Q1959" s="5"/>
      <c r="R1959" s="5"/>
    </row>
    <row r="1969" spans="2:18" x14ac:dyDescent="0.2">
      <c r="B1969" s="2"/>
      <c r="C1969" s="11"/>
      <c r="D1969" s="1"/>
      <c r="E1969" s="5"/>
      <c r="F1969" s="5"/>
      <c r="G1969" s="5"/>
      <c r="H1969" s="5"/>
      <c r="I1969" s="5"/>
      <c r="J1969" s="5"/>
      <c r="K1969" s="5"/>
      <c r="L1969" s="5"/>
      <c r="M1969" s="5"/>
      <c r="N1969" s="5"/>
      <c r="O1969" s="5"/>
      <c r="P1969" s="5"/>
      <c r="Q1969" s="5"/>
      <c r="R1969" s="5"/>
    </row>
    <row r="1971" spans="2:18" x14ac:dyDescent="0.2">
      <c r="B1971" s="2"/>
      <c r="C1971" s="11"/>
      <c r="D1971" s="1"/>
      <c r="E1971" s="5"/>
      <c r="F1971" s="5"/>
      <c r="G1971" s="5"/>
      <c r="H1971" s="5"/>
      <c r="I1971" s="5"/>
      <c r="J1971" s="5"/>
      <c r="K1971" s="5"/>
      <c r="L1971" s="5"/>
      <c r="M1971" s="5"/>
      <c r="N1971" s="5"/>
      <c r="O1971" s="5"/>
      <c r="P1971" s="5"/>
      <c r="Q1971" s="5"/>
      <c r="R1971" s="5"/>
    </row>
    <row r="1973" spans="2:18" x14ac:dyDescent="0.2">
      <c r="B1973" s="2"/>
      <c r="C1973" s="11"/>
      <c r="D1973" s="1"/>
      <c r="E1973" s="5"/>
      <c r="F1973" s="5"/>
      <c r="G1973" s="5"/>
      <c r="H1973" s="5"/>
      <c r="I1973" s="5"/>
      <c r="J1973" s="5"/>
      <c r="K1973" s="5"/>
      <c r="L1973" s="5"/>
      <c r="M1973" s="5"/>
      <c r="N1973" s="5"/>
      <c r="O1973" s="5"/>
      <c r="P1973" s="5"/>
      <c r="Q1973" s="5"/>
      <c r="R1973" s="5"/>
    </row>
    <row r="1975" spans="2:18" x14ac:dyDescent="0.2">
      <c r="B1975" s="2"/>
      <c r="C1975" s="11"/>
      <c r="D1975" s="1"/>
      <c r="E1975" s="5"/>
      <c r="F1975" s="5"/>
      <c r="G1975" s="5"/>
      <c r="H1975" s="5"/>
      <c r="I1975" s="5"/>
      <c r="J1975" s="5"/>
      <c r="K1975" s="5"/>
      <c r="L1975" s="5"/>
      <c r="M1975" s="5"/>
      <c r="N1975" s="5"/>
      <c r="O1975" s="5"/>
      <c r="P1975" s="5"/>
      <c r="Q1975" s="5"/>
      <c r="R1975" s="5"/>
    </row>
    <row r="1977" spans="2:18" x14ac:dyDescent="0.2">
      <c r="B1977" s="2"/>
      <c r="C1977" s="11"/>
      <c r="D1977" s="1"/>
      <c r="E1977" s="5"/>
      <c r="F1977" s="5"/>
      <c r="G1977" s="5"/>
      <c r="H1977" s="5"/>
      <c r="I1977" s="5"/>
      <c r="J1977" s="5"/>
      <c r="K1977" s="5"/>
      <c r="L1977" s="5"/>
      <c r="M1977" s="5"/>
      <c r="N1977" s="5"/>
      <c r="O1977" s="5"/>
      <c r="P1977" s="5"/>
      <c r="Q1977" s="5"/>
      <c r="R1977" s="5"/>
    </row>
    <row r="1979" spans="2:18" x14ac:dyDescent="0.2">
      <c r="B1979" s="2"/>
      <c r="C1979" s="11"/>
      <c r="D1979" s="1"/>
      <c r="E1979" s="5"/>
      <c r="F1979" s="5"/>
      <c r="G1979" s="5"/>
      <c r="H1979" s="5"/>
      <c r="I1979" s="5"/>
      <c r="J1979" s="5"/>
      <c r="K1979" s="5"/>
      <c r="L1979" s="5"/>
      <c r="M1979" s="5"/>
      <c r="N1979" s="5"/>
      <c r="O1979" s="5"/>
      <c r="P1979" s="5"/>
      <c r="Q1979" s="5"/>
      <c r="R1979" s="5"/>
    </row>
    <row r="1980" spans="2:18" x14ac:dyDescent="0.2">
      <c r="B1980" s="2"/>
      <c r="C1980" s="11"/>
      <c r="D1980" s="1"/>
      <c r="E1980" s="5"/>
      <c r="F1980" s="5"/>
      <c r="G1980" s="5"/>
      <c r="H1980" s="5"/>
      <c r="I1980" s="5"/>
      <c r="J1980" s="5"/>
      <c r="K1980" s="5"/>
      <c r="L1980" s="5"/>
      <c r="M1980" s="5"/>
      <c r="N1980" s="5"/>
      <c r="O1980" s="5"/>
      <c r="P1980" s="5"/>
      <c r="Q1980" s="5"/>
      <c r="R1980" s="5"/>
    </row>
    <row r="1983" spans="2:18" x14ac:dyDescent="0.2">
      <c r="B1983" s="2"/>
      <c r="C1983" s="11"/>
      <c r="D1983" s="1"/>
      <c r="E1983" s="5"/>
      <c r="F1983" s="5"/>
      <c r="G1983" s="5"/>
      <c r="H1983" s="5"/>
      <c r="I1983" s="5"/>
      <c r="J1983" s="5"/>
      <c r="K1983" s="5"/>
      <c r="L1983" s="5"/>
      <c r="M1983" s="5"/>
      <c r="N1983" s="5"/>
      <c r="O1983" s="5"/>
      <c r="P1983" s="5"/>
      <c r="Q1983" s="5"/>
      <c r="R1983" s="5"/>
    </row>
    <row r="1985" spans="2:18" x14ac:dyDescent="0.2">
      <c r="B1985" s="2"/>
      <c r="C1985" s="11"/>
      <c r="D1985" s="1"/>
      <c r="E1985" s="5"/>
      <c r="F1985" s="5"/>
      <c r="G1985" s="5"/>
      <c r="H1985" s="5"/>
      <c r="I1985" s="5"/>
      <c r="J1985" s="5"/>
      <c r="K1985" s="5"/>
      <c r="L1985" s="5"/>
      <c r="M1985" s="5"/>
      <c r="N1985" s="5"/>
      <c r="O1985" s="5"/>
      <c r="P1985" s="5"/>
      <c r="Q1985" s="5"/>
      <c r="R1985" s="5"/>
    </row>
    <row r="1987" spans="2:18" x14ac:dyDescent="0.2">
      <c r="B1987" s="2"/>
      <c r="C1987" s="11"/>
      <c r="D1987" s="1"/>
      <c r="E1987" s="5"/>
      <c r="F1987" s="5"/>
      <c r="G1987" s="5"/>
      <c r="H1987" s="5"/>
      <c r="I1987" s="5"/>
      <c r="J1987" s="5"/>
      <c r="K1987" s="5"/>
      <c r="L1987" s="5"/>
      <c r="M1987" s="5"/>
      <c r="N1987" s="5"/>
      <c r="O1987" s="5"/>
      <c r="P1987" s="5"/>
      <c r="Q1987" s="5"/>
      <c r="R1987" s="5"/>
    </row>
    <row r="1990" spans="2:18" x14ac:dyDescent="0.2">
      <c r="B1990" s="2"/>
      <c r="C1990" s="11"/>
      <c r="D1990" s="1"/>
      <c r="E1990" s="5"/>
      <c r="F1990" s="5"/>
      <c r="G1990" s="5"/>
      <c r="H1990" s="5"/>
      <c r="I1990" s="5"/>
      <c r="J1990" s="5"/>
      <c r="K1990" s="5"/>
      <c r="L1990" s="5"/>
      <c r="M1990" s="5"/>
      <c r="N1990" s="5"/>
      <c r="O1990" s="5"/>
      <c r="P1990" s="5"/>
      <c r="Q1990" s="5"/>
      <c r="R1990" s="5"/>
    </row>
    <row r="1992" spans="2:18" x14ac:dyDescent="0.2">
      <c r="B1992" s="2"/>
      <c r="C1992" s="11"/>
      <c r="D1992" s="1"/>
      <c r="E1992" s="5"/>
      <c r="F1992" s="5"/>
      <c r="G1992" s="5"/>
      <c r="H1992" s="5"/>
      <c r="I1992" s="5"/>
      <c r="J1992" s="5"/>
      <c r="K1992" s="5"/>
      <c r="L1992" s="5"/>
      <c r="M1992" s="5"/>
      <c r="N1992" s="5"/>
      <c r="O1992" s="5"/>
      <c r="P1992" s="5"/>
      <c r="Q1992" s="5"/>
      <c r="R1992" s="5"/>
    </row>
    <row r="1994" spans="2:18" x14ac:dyDescent="0.2">
      <c r="B1994" s="2"/>
      <c r="C1994" s="11"/>
      <c r="D1994" s="1"/>
      <c r="E1994" s="5"/>
      <c r="F1994" s="5"/>
      <c r="G1994" s="5"/>
      <c r="H1994" s="5"/>
      <c r="I1994" s="5"/>
      <c r="J1994" s="5"/>
      <c r="K1994" s="5"/>
      <c r="L1994" s="5"/>
      <c r="M1994" s="5"/>
      <c r="N1994" s="5"/>
      <c r="O1994" s="5"/>
      <c r="P1994" s="5"/>
      <c r="Q1994" s="5"/>
      <c r="R1994" s="5"/>
    </row>
    <row r="1997" spans="2:18" x14ac:dyDescent="0.2">
      <c r="B1997" s="2"/>
      <c r="C1997" s="11"/>
      <c r="D1997" s="1"/>
      <c r="E1997" s="5"/>
      <c r="F1997" s="5"/>
      <c r="G1997" s="5"/>
      <c r="H1997" s="5"/>
      <c r="I1997" s="5"/>
      <c r="J1997" s="5"/>
      <c r="K1997" s="5"/>
      <c r="L1997" s="5"/>
      <c r="M1997" s="5"/>
      <c r="N1997" s="5"/>
      <c r="O1997" s="5"/>
      <c r="P1997" s="5"/>
      <c r="Q1997" s="5"/>
      <c r="R1997" s="5"/>
    </row>
    <row r="2000" spans="2:18" x14ac:dyDescent="0.2">
      <c r="B2000" s="2"/>
      <c r="C2000" s="11"/>
      <c r="D2000" s="1"/>
      <c r="E2000" s="5"/>
      <c r="F2000" s="5"/>
      <c r="G2000" s="5"/>
      <c r="H2000" s="5"/>
      <c r="I2000" s="5"/>
      <c r="J2000" s="5"/>
      <c r="K2000" s="5"/>
      <c r="L2000" s="5"/>
      <c r="M2000" s="5"/>
      <c r="N2000" s="5"/>
      <c r="O2000" s="5"/>
      <c r="P2000" s="5"/>
      <c r="Q2000" s="5"/>
      <c r="R2000" s="5"/>
    </row>
    <row r="2002" spans="2:18" x14ac:dyDescent="0.2">
      <c r="B2002" s="2"/>
      <c r="C2002" s="11"/>
      <c r="D2002" s="1"/>
      <c r="E2002" s="5"/>
      <c r="F2002" s="5"/>
      <c r="G2002" s="5"/>
      <c r="H2002" s="5"/>
      <c r="I2002" s="5"/>
      <c r="J2002" s="5"/>
      <c r="K2002" s="5"/>
      <c r="L2002" s="5"/>
      <c r="M2002" s="5"/>
      <c r="N2002" s="5"/>
      <c r="O2002" s="5"/>
      <c r="P2002" s="5"/>
      <c r="Q2002" s="5"/>
      <c r="R2002" s="5"/>
    </row>
    <row r="2004" spans="2:18" x14ac:dyDescent="0.2">
      <c r="B2004" s="2"/>
      <c r="C2004" s="11"/>
      <c r="D2004" s="1"/>
      <c r="E2004" s="5"/>
      <c r="F2004" s="5"/>
      <c r="G2004" s="5"/>
      <c r="H2004" s="5"/>
      <c r="I2004" s="5"/>
      <c r="J2004" s="5"/>
      <c r="K2004" s="5"/>
      <c r="L2004" s="5"/>
      <c r="M2004" s="5"/>
      <c r="N2004" s="5"/>
      <c r="O2004" s="5"/>
      <c r="P2004" s="5"/>
      <c r="Q2004" s="5"/>
      <c r="R2004" s="5"/>
    </row>
    <row r="2006" spans="2:18" x14ac:dyDescent="0.2">
      <c r="B2006" s="2"/>
      <c r="C2006" s="11"/>
      <c r="D2006" s="1"/>
      <c r="E2006" s="5"/>
      <c r="F2006" s="5"/>
      <c r="G2006" s="5"/>
      <c r="H2006" s="5"/>
      <c r="I2006" s="5"/>
      <c r="J2006" s="5"/>
      <c r="K2006" s="5"/>
      <c r="L2006" s="5"/>
      <c r="M2006" s="5"/>
      <c r="N2006" s="5"/>
      <c r="O2006" s="5"/>
      <c r="P2006" s="5"/>
      <c r="Q2006" s="5"/>
      <c r="R2006" s="5"/>
    </row>
    <row r="2420" spans="2:18" x14ac:dyDescent="0.2">
      <c r="B2420" s="2"/>
      <c r="C2420" s="11"/>
      <c r="D2420" s="1"/>
      <c r="E2420" s="5"/>
      <c r="F2420" s="5"/>
      <c r="G2420" s="5"/>
      <c r="H2420" s="5"/>
      <c r="I2420" s="5"/>
      <c r="J2420" s="5"/>
      <c r="K2420" s="5"/>
      <c r="L2420" s="5"/>
      <c r="M2420" s="5"/>
      <c r="N2420" s="5"/>
      <c r="O2420" s="5"/>
      <c r="P2420" s="5"/>
      <c r="Q2420" s="5"/>
      <c r="R2420" s="5"/>
    </row>
    <row r="2422" spans="2:18" x14ac:dyDescent="0.2">
      <c r="B2422" s="2"/>
      <c r="C2422" s="11"/>
      <c r="D2422" s="1"/>
      <c r="E2422" s="5"/>
      <c r="F2422" s="5"/>
      <c r="G2422" s="5"/>
      <c r="H2422" s="5"/>
      <c r="I2422" s="5"/>
      <c r="J2422" s="5"/>
      <c r="K2422" s="5"/>
      <c r="L2422" s="5"/>
      <c r="M2422" s="5"/>
      <c r="N2422" s="5"/>
      <c r="O2422" s="5"/>
      <c r="P2422" s="5"/>
      <c r="Q2422" s="5"/>
      <c r="R2422" s="5"/>
    </row>
    <row r="2425" spans="2:18" x14ac:dyDescent="0.2">
      <c r="B2425" s="2"/>
      <c r="C2425" s="11"/>
      <c r="D2425" s="1"/>
      <c r="E2425" s="5"/>
      <c r="F2425" s="5"/>
      <c r="G2425" s="5"/>
      <c r="H2425" s="5"/>
      <c r="I2425" s="5"/>
      <c r="J2425" s="5"/>
      <c r="K2425" s="5"/>
      <c r="L2425" s="5"/>
      <c r="M2425" s="5"/>
      <c r="N2425" s="5"/>
      <c r="O2425" s="5"/>
      <c r="P2425" s="5"/>
      <c r="Q2425" s="5"/>
      <c r="R2425" s="5"/>
    </row>
    <row r="2427" spans="2:18" x14ac:dyDescent="0.2">
      <c r="B2427" s="2"/>
      <c r="C2427" s="11"/>
      <c r="D2427" s="1"/>
      <c r="E2427" s="5"/>
      <c r="F2427" s="5"/>
      <c r="G2427" s="5"/>
      <c r="H2427" s="5"/>
      <c r="I2427" s="5"/>
      <c r="J2427" s="5"/>
      <c r="K2427" s="5"/>
      <c r="L2427" s="5"/>
      <c r="M2427" s="5"/>
      <c r="N2427" s="5"/>
      <c r="O2427" s="5"/>
      <c r="P2427" s="5"/>
      <c r="Q2427" s="5"/>
      <c r="R2427" s="5"/>
    </row>
    <row r="2430" spans="2:18" x14ac:dyDescent="0.2">
      <c r="B2430" s="2"/>
      <c r="C2430" s="11"/>
      <c r="D2430" s="1"/>
      <c r="E2430" s="5"/>
      <c r="F2430" s="5"/>
      <c r="G2430" s="5"/>
      <c r="H2430" s="5"/>
      <c r="I2430" s="5"/>
      <c r="J2430" s="5"/>
      <c r="K2430" s="5"/>
      <c r="L2430" s="5"/>
      <c r="M2430" s="5"/>
      <c r="N2430" s="5"/>
      <c r="O2430" s="5"/>
      <c r="P2430" s="5"/>
      <c r="Q2430" s="5"/>
      <c r="R2430" s="5"/>
    </row>
    <row r="2432" spans="2:18" x14ac:dyDescent="0.2">
      <c r="B2432" s="2"/>
      <c r="C2432" s="11"/>
      <c r="D2432" s="1"/>
      <c r="E2432" s="5"/>
      <c r="F2432" s="5"/>
      <c r="G2432" s="5"/>
      <c r="H2432" s="5"/>
      <c r="I2432" s="5"/>
      <c r="J2432" s="5"/>
      <c r="K2432" s="5"/>
      <c r="L2432" s="5"/>
      <c r="M2432" s="5"/>
      <c r="N2432" s="5"/>
      <c r="O2432" s="5"/>
      <c r="P2432" s="5"/>
      <c r="Q2432" s="5"/>
      <c r="R2432" s="5"/>
    </row>
    <row r="2433" spans="2:18" x14ac:dyDescent="0.2">
      <c r="B2433" s="2"/>
      <c r="C2433" s="11"/>
      <c r="D2433" s="1"/>
      <c r="E2433" s="5"/>
      <c r="F2433" s="5"/>
      <c r="G2433" s="5"/>
      <c r="H2433" s="5"/>
      <c r="I2433" s="5"/>
      <c r="J2433" s="5"/>
      <c r="K2433" s="5"/>
      <c r="L2433" s="5"/>
      <c r="M2433" s="5"/>
      <c r="N2433" s="5"/>
      <c r="O2433" s="5"/>
      <c r="P2433" s="5"/>
      <c r="Q2433" s="5"/>
      <c r="R2433" s="5"/>
    </row>
    <row r="2434" spans="2:18" x14ac:dyDescent="0.2">
      <c r="B2434" s="2"/>
      <c r="C2434" s="11"/>
      <c r="D2434" s="1"/>
      <c r="E2434" s="5"/>
      <c r="F2434" s="5"/>
      <c r="G2434" s="5"/>
      <c r="H2434" s="5"/>
      <c r="I2434" s="5"/>
      <c r="J2434" s="5"/>
      <c r="K2434" s="5"/>
      <c r="L2434" s="5"/>
      <c r="M2434" s="5"/>
      <c r="N2434" s="5"/>
      <c r="O2434" s="5"/>
      <c r="P2434" s="5"/>
      <c r="Q2434" s="5"/>
      <c r="R2434" s="5"/>
    </row>
    <row r="2435" spans="2:18" x14ac:dyDescent="0.2">
      <c r="B2435" s="2"/>
      <c r="C2435" s="11"/>
      <c r="D2435" s="1"/>
      <c r="E2435" s="5"/>
      <c r="F2435" s="5"/>
      <c r="G2435" s="5"/>
      <c r="H2435" s="5"/>
      <c r="I2435" s="5"/>
      <c r="J2435" s="5"/>
      <c r="K2435" s="5"/>
      <c r="L2435" s="5"/>
      <c r="M2435" s="5"/>
      <c r="N2435" s="5"/>
      <c r="O2435" s="5"/>
      <c r="P2435" s="5"/>
      <c r="Q2435" s="5"/>
      <c r="R2435" s="5"/>
    </row>
    <row r="2437" spans="2:18" x14ac:dyDescent="0.2">
      <c r="B2437" s="2"/>
      <c r="C2437" s="11"/>
      <c r="D2437" s="1"/>
      <c r="E2437" s="5"/>
      <c r="F2437" s="5"/>
      <c r="G2437" s="5"/>
      <c r="H2437" s="5"/>
      <c r="I2437" s="5"/>
      <c r="J2437" s="5"/>
      <c r="K2437" s="5"/>
      <c r="L2437" s="5"/>
      <c r="M2437" s="5"/>
      <c r="N2437" s="5"/>
      <c r="O2437" s="5"/>
      <c r="P2437" s="5"/>
      <c r="Q2437" s="5"/>
      <c r="R2437" s="5"/>
    </row>
    <row r="2439" spans="2:18" x14ac:dyDescent="0.2">
      <c r="B2439" s="2"/>
      <c r="C2439" s="11"/>
      <c r="D2439" s="1"/>
      <c r="E2439" s="5"/>
      <c r="F2439" s="5"/>
      <c r="G2439" s="5"/>
      <c r="H2439" s="5"/>
      <c r="I2439" s="5"/>
      <c r="J2439" s="5"/>
      <c r="K2439" s="5"/>
      <c r="L2439" s="5"/>
      <c r="M2439" s="5"/>
      <c r="N2439" s="5"/>
      <c r="O2439" s="5"/>
      <c r="P2439" s="5"/>
      <c r="Q2439" s="5"/>
      <c r="R2439" s="5"/>
    </row>
    <row r="2464" spans="2:18" x14ac:dyDescent="0.2">
      <c r="B2464" s="2"/>
      <c r="C2464" s="11"/>
      <c r="D2464" s="1"/>
      <c r="E2464" s="5"/>
      <c r="F2464" s="5"/>
      <c r="G2464" s="5"/>
      <c r="H2464" s="5"/>
      <c r="I2464" s="5"/>
      <c r="J2464" s="5"/>
      <c r="K2464" s="5"/>
      <c r="L2464" s="5"/>
      <c r="M2464" s="5"/>
      <c r="N2464" s="5"/>
      <c r="O2464" s="5"/>
      <c r="P2464" s="5"/>
      <c r="Q2464" s="5"/>
      <c r="R2464" s="5"/>
    </row>
    <row r="2468" spans="2:18" x14ac:dyDescent="0.2">
      <c r="B2468" s="2"/>
      <c r="C2468" s="11"/>
      <c r="D2468" s="1"/>
      <c r="E2468" s="5"/>
      <c r="F2468" s="5"/>
      <c r="G2468" s="5"/>
      <c r="H2468" s="5"/>
      <c r="I2468" s="5"/>
      <c r="J2468" s="5"/>
      <c r="K2468" s="5"/>
      <c r="L2468" s="5"/>
      <c r="M2468" s="5"/>
      <c r="N2468" s="5"/>
      <c r="O2468" s="5"/>
      <c r="P2468" s="5"/>
      <c r="Q2468" s="5"/>
      <c r="R2468" s="5"/>
    </row>
    <row r="2470" spans="2:18" x14ac:dyDescent="0.2">
      <c r="B2470" s="2"/>
      <c r="C2470" s="11"/>
      <c r="D2470" s="1"/>
      <c r="E2470" s="5"/>
      <c r="F2470" s="5"/>
      <c r="G2470" s="5"/>
      <c r="H2470" s="5"/>
      <c r="I2470" s="5"/>
      <c r="J2470" s="5"/>
      <c r="K2470" s="5"/>
      <c r="L2470" s="5"/>
      <c r="M2470" s="5"/>
      <c r="N2470" s="5"/>
      <c r="O2470" s="5"/>
      <c r="P2470" s="5"/>
      <c r="Q2470" s="5"/>
      <c r="R2470" s="5"/>
    </row>
    <row r="2472" spans="2:18" x14ac:dyDescent="0.2">
      <c r="B2472" s="2"/>
      <c r="C2472" s="11"/>
      <c r="D2472" s="1"/>
      <c r="E2472" s="5"/>
      <c r="F2472" s="5"/>
      <c r="G2472" s="5"/>
      <c r="H2472" s="5"/>
      <c r="I2472" s="5"/>
      <c r="J2472" s="5"/>
      <c r="K2472" s="5"/>
      <c r="L2472" s="5"/>
      <c r="M2472" s="5"/>
      <c r="N2472" s="5"/>
      <c r="O2472" s="5"/>
      <c r="P2472" s="5"/>
      <c r="Q2472" s="5"/>
      <c r="R2472" s="5"/>
    </row>
    <row r="2474" spans="2:18" x14ac:dyDescent="0.2">
      <c r="B2474" s="2"/>
      <c r="C2474" s="11"/>
      <c r="D2474" s="1"/>
      <c r="E2474" s="5"/>
      <c r="F2474" s="5"/>
      <c r="G2474" s="5"/>
      <c r="H2474" s="5"/>
      <c r="I2474" s="5"/>
      <c r="J2474" s="5"/>
      <c r="K2474" s="5"/>
      <c r="L2474" s="5"/>
      <c r="M2474" s="5"/>
      <c r="N2474" s="5"/>
      <c r="O2474" s="5"/>
      <c r="P2474" s="5"/>
      <c r="Q2474" s="5"/>
      <c r="R2474" s="5"/>
    </row>
    <row r="2476" spans="2:18" x14ac:dyDescent="0.2">
      <c r="B2476" s="2"/>
      <c r="C2476" s="11"/>
      <c r="D2476" s="1"/>
      <c r="E2476" s="5"/>
      <c r="F2476" s="5"/>
      <c r="G2476" s="5"/>
      <c r="H2476" s="5"/>
      <c r="I2476" s="5"/>
      <c r="J2476" s="5"/>
      <c r="K2476" s="5"/>
      <c r="L2476" s="5"/>
      <c r="M2476" s="5"/>
      <c r="N2476" s="5"/>
      <c r="O2476" s="5"/>
      <c r="P2476" s="5"/>
      <c r="Q2476" s="5"/>
      <c r="R2476" s="5"/>
    </row>
    <row r="2478" spans="2:18" x14ac:dyDescent="0.2">
      <c r="B2478" s="2"/>
      <c r="C2478" s="11"/>
      <c r="D2478" s="1"/>
      <c r="E2478" s="5"/>
      <c r="F2478" s="5"/>
      <c r="G2478" s="5"/>
      <c r="H2478" s="5"/>
      <c r="I2478" s="5"/>
      <c r="J2478" s="5"/>
      <c r="K2478" s="5"/>
      <c r="L2478" s="5"/>
      <c r="M2478" s="5"/>
      <c r="N2478" s="5"/>
      <c r="O2478" s="5"/>
      <c r="P2478" s="5"/>
      <c r="Q2478" s="5"/>
      <c r="R2478" s="5"/>
    </row>
    <row r="2482" spans="2:18" x14ac:dyDescent="0.2">
      <c r="B2482" s="2"/>
      <c r="C2482" s="11"/>
      <c r="D2482" s="1"/>
      <c r="E2482" s="5"/>
      <c r="F2482" s="5"/>
      <c r="G2482" s="5"/>
      <c r="H2482" s="5"/>
      <c r="I2482" s="5"/>
      <c r="J2482" s="5"/>
      <c r="K2482" s="5"/>
      <c r="L2482" s="5"/>
      <c r="M2482" s="5"/>
      <c r="N2482" s="5"/>
      <c r="O2482" s="5"/>
      <c r="P2482" s="5"/>
      <c r="Q2482" s="5"/>
      <c r="R2482" s="5"/>
    </row>
    <row r="2484" spans="2:18" x14ac:dyDescent="0.2">
      <c r="B2484" s="2"/>
      <c r="C2484" s="11"/>
      <c r="D2484" s="1"/>
      <c r="E2484" s="5"/>
      <c r="F2484" s="5"/>
      <c r="G2484" s="5"/>
      <c r="H2484" s="5"/>
      <c r="I2484" s="5"/>
      <c r="J2484" s="5"/>
      <c r="K2484" s="5"/>
      <c r="L2484" s="5"/>
      <c r="M2484" s="5"/>
      <c r="N2484" s="5"/>
      <c r="O2484" s="5"/>
      <c r="P2484" s="5"/>
      <c r="Q2484" s="5"/>
      <c r="R2484" s="5"/>
    </row>
    <row r="2487" spans="2:18" x14ac:dyDescent="0.2">
      <c r="B2487" s="2"/>
      <c r="C2487" s="11"/>
      <c r="D2487" s="1"/>
      <c r="E2487" s="5"/>
      <c r="F2487" s="5"/>
      <c r="G2487" s="5"/>
      <c r="H2487" s="5"/>
      <c r="I2487" s="5"/>
      <c r="J2487" s="5"/>
      <c r="K2487" s="5"/>
      <c r="L2487" s="5"/>
      <c r="M2487" s="5"/>
      <c r="N2487" s="5"/>
      <c r="O2487" s="5"/>
      <c r="P2487" s="5"/>
      <c r="Q2487" s="5"/>
      <c r="R2487" s="5"/>
    </row>
    <row r="2490" spans="2:18" x14ac:dyDescent="0.2">
      <c r="B2490" s="2"/>
      <c r="C2490" s="11"/>
      <c r="D2490" s="1"/>
      <c r="E2490" s="5"/>
      <c r="F2490" s="5"/>
      <c r="G2490" s="5"/>
      <c r="H2490" s="5"/>
      <c r="I2490" s="5"/>
      <c r="J2490" s="5"/>
      <c r="K2490" s="5"/>
      <c r="L2490" s="5"/>
      <c r="M2490" s="5"/>
      <c r="N2490" s="5"/>
      <c r="O2490" s="5"/>
      <c r="P2490" s="5"/>
      <c r="Q2490" s="5"/>
      <c r="R2490" s="5"/>
    </row>
    <row r="2492" spans="2:18" x14ac:dyDescent="0.2">
      <c r="B2492" s="2"/>
      <c r="C2492" s="11"/>
      <c r="D2492" s="1"/>
      <c r="E2492" s="5"/>
      <c r="F2492" s="5"/>
      <c r="G2492" s="5"/>
      <c r="H2492" s="5"/>
      <c r="I2492" s="5"/>
      <c r="J2492" s="5"/>
      <c r="K2492" s="5"/>
      <c r="L2492" s="5"/>
      <c r="M2492" s="5"/>
      <c r="N2492" s="5"/>
      <c r="O2492" s="5"/>
      <c r="P2492" s="5"/>
      <c r="Q2492" s="5"/>
      <c r="R2492" s="5"/>
    </row>
    <row r="2494" spans="2:18" x14ac:dyDescent="0.2">
      <c r="B2494" s="2"/>
      <c r="C2494" s="11"/>
      <c r="D2494" s="1"/>
      <c r="E2494" s="5"/>
      <c r="F2494" s="5"/>
      <c r="G2494" s="5"/>
      <c r="H2494" s="5"/>
      <c r="I2494" s="5"/>
      <c r="J2494" s="5"/>
      <c r="K2494" s="5"/>
      <c r="L2494" s="5"/>
      <c r="M2494" s="5"/>
      <c r="N2494" s="5"/>
      <c r="O2494" s="5"/>
      <c r="P2494" s="5"/>
      <c r="Q2494" s="5"/>
      <c r="R2494" s="5"/>
    </row>
    <row r="2496" spans="2:18" x14ac:dyDescent="0.2">
      <c r="B2496" s="2"/>
      <c r="C2496" s="11"/>
      <c r="D2496" s="1"/>
      <c r="E2496" s="5"/>
      <c r="F2496" s="5"/>
      <c r="G2496" s="5"/>
      <c r="H2496" s="5"/>
      <c r="I2496" s="5"/>
      <c r="J2496" s="5"/>
      <c r="K2496" s="5"/>
      <c r="L2496" s="5"/>
      <c r="M2496" s="5"/>
      <c r="N2496" s="5"/>
      <c r="O2496" s="5"/>
      <c r="P2496" s="5"/>
      <c r="Q2496" s="5"/>
      <c r="R2496" s="5"/>
    </row>
    <row r="2498" spans="2:18" x14ac:dyDescent="0.2">
      <c r="B2498" s="2"/>
      <c r="C2498" s="11"/>
      <c r="D2498" s="1"/>
      <c r="E2498" s="5"/>
      <c r="F2498" s="5"/>
      <c r="G2498" s="5"/>
      <c r="H2498" s="5"/>
      <c r="I2498" s="5"/>
      <c r="J2498" s="5"/>
      <c r="K2498" s="5"/>
      <c r="L2498" s="5"/>
      <c r="M2498" s="5"/>
      <c r="N2498" s="5"/>
      <c r="O2498" s="5"/>
      <c r="P2498" s="5"/>
      <c r="Q2498" s="5"/>
      <c r="R2498" s="5"/>
    </row>
    <row r="2499" spans="2:18" x14ac:dyDescent="0.2">
      <c r="B2499" s="2"/>
      <c r="C2499" s="11"/>
      <c r="D2499" s="1"/>
      <c r="E2499" s="5"/>
      <c r="F2499" s="5"/>
      <c r="G2499" s="5"/>
      <c r="H2499" s="5"/>
      <c r="I2499" s="5"/>
      <c r="J2499" s="5"/>
      <c r="K2499" s="5"/>
      <c r="L2499" s="5"/>
      <c r="M2499" s="5"/>
      <c r="N2499" s="5"/>
      <c r="O2499" s="5"/>
      <c r="P2499" s="5"/>
      <c r="Q2499" s="5"/>
      <c r="R2499" s="5"/>
    </row>
    <row r="2500" spans="2:18" x14ac:dyDescent="0.2">
      <c r="B2500" s="2"/>
      <c r="C2500" s="11"/>
      <c r="D2500" s="1"/>
      <c r="E2500" s="5"/>
      <c r="F2500" s="5"/>
      <c r="G2500" s="5"/>
      <c r="H2500" s="5"/>
      <c r="I2500" s="5"/>
      <c r="J2500" s="5"/>
      <c r="K2500" s="5"/>
      <c r="L2500" s="5"/>
      <c r="M2500" s="5"/>
      <c r="N2500" s="5"/>
      <c r="O2500" s="5"/>
      <c r="P2500" s="5"/>
      <c r="Q2500" s="5"/>
      <c r="R2500" s="5"/>
    </row>
    <row r="2504" spans="2:18" x14ac:dyDescent="0.2">
      <c r="B2504" s="2"/>
      <c r="C2504" s="11"/>
      <c r="D2504" s="1"/>
      <c r="E2504" s="5"/>
      <c r="F2504" s="5"/>
      <c r="G2504" s="5"/>
      <c r="H2504" s="5"/>
      <c r="I2504" s="5"/>
      <c r="J2504" s="5"/>
      <c r="K2504" s="5"/>
      <c r="L2504" s="5"/>
      <c r="M2504" s="5"/>
      <c r="N2504" s="5"/>
      <c r="O2504" s="5"/>
      <c r="P2504" s="5"/>
      <c r="Q2504" s="5"/>
      <c r="R2504" s="5"/>
    </row>
    <row r="2507" spans="2:18" x14ac:dyDescent="0.2">
      <c r="C2507" s="11"/>
      <c r="D2507" s="1"/>
      <c r="E2507" s="5"/>
      <c r="F2507" s="5"/>
      <c r="G2507" s="5"/>
      <c r="H2507" s="5"/>
      <c r="I2507" s="5"/>
      <c r="J2507" s="5"/>
      <c r="K2507" s="5"/>
      <c r="L2507" s="5"/>
      <c r="M2507" s="5"/>
      <c r="N2507" s="5"/>
      <c r="O2507" s="5"/>
      <c r="P2507" s="5"/>
      <c r="Q2507" s="5"/>
      <c r="R2507" s="5"/>
    </row>
    <row r="2511" spans="2:18" x14ac:dyDescent="0.2">
      <c r="C2511" s="11"/>
      <c r="D2511" s="1"/>
      <c r="E2511" s="5"/>
      <c r="F2511" s="5"/>
      <c r="G2511" s="5"/>
      <c r="H2511" s="5"/>
      <c r="I2511" s="5"/>
      <c r="J2511" s="5"/>
      <c r="K2511" s="5"/>
      <c r="L2511" s="5"/>
      <c r="M2511" s="5"/>
      <c r="N2511" s="5"/>
      <c r="O2511" s="5"/>
      <c r="P2511" s="5"/>
      <c r="Q2511" s="5"/>
      <c r="R2511" s="5"/>
    </row>
    <row r="2515" spans="2:18" x14ac:dyDescent="0.2">
      <c r="B2515" s="2"/>
      <c r="C2515" s="11"/>
      <c r="D2515" s="1"/>
      <c r="E2515" s="5"/>
      <c r="F2515" s="5"/>
      <c r="G2515" s="5"/>
      <c r="H2515" s="5"/>
      <c r="I2515" s="5"/>
      <c r="J2515" s="5"/>
      <c r="K2515" s="5"/>
      <c r="L2515" s="5"/>
      <c r="M2515" s="5"/>
      <c r="N2515" s="5"/>
      <c r="O2515" s="5"/>
      <c r="P2515" s="5"/>
      <c r="Q2515" s="5"/>
      <c r="R2515" s="5"/>
    </row>
    <row r="2517" spans="2:18" x14ac:dyDescent="0.2">
      <c r="B2517" s="2"/>
      <c r="C2517" s="11"/>
      <c r="D2517" s="1"/>
      <c r="E2517" s="5"/>
      <c r="F2517" s="5"/>
      <c r="G2517" s="5"/>
      <c r="H2517" s="5"/>
      <c r="I2517" s="5"/>
      <c r="J2517" s="5"/>
      <c r="K2517" s="5"/>
      <c r="L2517" s="5"/>
      <c r="M2517" s="5"/>
      <c r="N2517" s="5"/>
      <c r="O2517" s="5"/>
      <c r="P2517" s="5"/>
      <c r="Q2517" s="5"/>
      <c r="R2517" s="5"/>
    </row>
    <row r="2520" spans="2:18" x14ac:dyDescent="0.2">
      <c r="B2520" s="2"/>
      <c r="C2520" s="11"/>
      <c r="D2520" s="1"/>
      <c r="E2520" s="5"/>
      <c r="F2520" s="5"/>
      <c r="G2520" s="5"/>
      <c r="H2520" s="5"/>
      <c r="I2520" s="5"/>
      <c r="J2520" s="5"/>
      <c r="K2520" s="5"/>
      <c r="L2520" s="5"/>
      <c r="M2520" s="5"/>
      <c r="N2520" s="5"/>
      <c r="O2520" s="5"/>
      <c r="P2520" s="5"/>
      <c r="Q2520" s="5"/>
      <c r="R2520" s="5"/>
    </row>
    <row r="2523" spans="2:18" x14ac:dyDescent="0.2">
      <c r="B2523" s="2"/>
      <c r="C2523" s="11"/>
      <c r="D2523" s="1"/>
      <c r="E2523" s="5"/>
      <c r="F2523" s="5"/>
      <c r="G2523" s="5"/>
      <c r="H2523" s="5"/>
      <c r="I2523" s="5"/>
      <c r="J2523" s="5"/>
      <c r="K2523" s="5"/>
      <c r="L2523" s="5"/>
      <c r="M2523" s="5"/>
      <c r="N2523" s="5"/>
      <c r="O2523" s="5"/>
      <c r="P2523" s="5"/>
      <c r="Q2523" s="5"/>
      <c r="R2523" s="5"/>
    </row>
    <row r="2527" spans="2:18" x14ac:dyDescent="0.2">
      <c r="B2527" s="2"/>
      <c r="C2527" s="11"/>
      <c r="D2527" s="1"/>
      <c r="E2527" s="5"/>
      <c r="F2527" s="5"/>
      <c r="G2527" s="5"/>
      <c r="H2527" s="5"/>
      <c r="I2527" s="5"/>
      <c r="J2527" s="5"/>
      <c r="K2527" s="5"/>
      <c r="L2527" s="5"/>
      <c r="M2527" s="5"/>
      <c r="N2527" s="5"/>
      <c r="O2527" s="5"/>
      <c r="P2527" s="5"/>
      <c r="Q2527" s="5"/>
      <c r="R2527" s="5"/>
    </row>
    <row r="2529" spans="3:18" x14ac:dyDescent="0.2">
      <c r="C2529" s="11"/>
      <c r="D2529" s="1"/>
      <c r="E2529" s="5"/>
      <c r="F2529" s="5"/>
      <c r="G2529" s="5"/>
      <c r="H2529" s="5"/>
      <c r="I2529" s="5"/>
      <c r="J2529" s="5"/>
      <c r="K2529" s="5"/>
      <c r="L2529" s="5"/>
      <c r="M2529" s="5"/>
      <c r="N2529" s="5"/>
      <c r="O2529" s="5"/>
      <c r="P2529" s="5"/>
      <c r="Q2529" s="5"/>
      <c r="R2529" s="5"/>
    </row>
    <row r="2533" spans="3:18" x14ac:dyDescent="0.2">
      <c r="C2533" s="11"/>
      <c r="D2533" s="1"/>
      <c r="E2533" s="5"/>
      <c r="F2533" s="5"/>
      <c r="G2533" s="5"/>
      <c r="H2533" s="5"/>
      <c r="I2533" s="5"/>
      <c r="J2533" s="5"/>
      <c r="K2533" s="5"/>
      <c r="L2533" s="5"/>
      <c r="M2533" s="5"/>
      <c r="N2533" s="5"/>
      <c r="O2533" s="5"/>
      <c r="P2533" s="5"/>
      <c r="Q2533" s="5"/>
      <c r="R2533" s="5"/>
    </row>
    <row r="2537" spans="3:18" x14ac:dyDescent="0.2">
      <c r="C2537" s="11"/>
      <c r="D2537" s="1"/>
      <c r="E2537" s="5"/>
      <c r="F2537" s="5"/>
      <c r="G2537" s="5"/>
      <c r="H2537" s="5"/>
      <c r="I2537" s="5"/>
      <c r="J2537" s="5"/>
      <c r="K2537" s="5"/>
      <c r="L2537" s="5"/>
      <c r="M2537" s="5"/>
      <c r="N2537" s="5"/>
      <c r="O2537" s="5"/>
      <c r="P2537" s="5"/>
      <c r="Q2537" s="5"/>
      <c r="R2537" s="5"/>
    </row>
    <row r="2539" spans="3:18" x14ac:dyDescent="0.2">
      <c r="C2539" s="11"/>
      <c r="D2539" s="1"/>
      <c r="E2539" s="5"/>
      <c r="F2539" s="5"/>
      <c r="G2539" s="5"/>
      <c r="H2539" s="5"/>
      <c r="I2539" s="5"/>
      <c r="J2539" s="5"/>
      <c r="K2539" s="5"/>
      <c r="L2539" s="5"/>
      <c r="M2539" s="5"/>
      <c r="N2539" s="5"/>
      <c r="O2539" s="5"/>
      <c r="P2539" s="5"/>
      <c r="Q2539" s="5"/>
      <c r="R2539" s="5"/>
    </row>
    <row r="2540" spans="3:18" x14ac:dyDescent="0.2">
      <c r="C2540" s="11"/>
      <c r="D2540" s="1"/>
      <c r="E2540" s="5"/>
      <c r="F2540" s="5"/>
      <c r="G2540" s="5"/>
      <c r="H2540" s="5"/>
      <c r="I2540" s="5"/>
      <c r="J2540" s="5"/>
      <c r="K2540" s="5"/>
      <c r="L2540" s="5"/>
      <c r="M2540" s="5"/>
      <c r="N2540" s="5"/>
      <c r="O2540" s="5"/>
      <c r="P2540" s="5"/>
      <c r="Q2540" s="5"/>
      <c r="R2540" s="5"/>
    </row>
    <row r="2543" spans="3:18" x14ac:dyDescent="0.2">
      <c r="C2543" s="11"/>
      <c r="D2543" s="6"/>
      <c r="E2543" s="6"/>
      <c r="F2543" s="6"/>
      <c r="G2543" s="6"/>
      <c r="H2543" s="6"/>
      <c r="I2543" s="6"/>
      <c r="J2543" s="6"/>
      <c r="K2543" s="6"/>
      <c r="L2543" s="6"/>
      <c r="M2543" s="6"/>
      <c r="N2543" s="6"/>
      <c r="O2543" s="6"/>
      <c r="P2543" s="6"/>
      <c r="Q2543" s="6"/>
      <c r="R2543" s="6"/>
    </row>
    <row r="2545" spans="2:18" x14ac:dyDescent="0.2">
      <c r="C2545" s="11"/>
      <c r="D2545" s="1"/>
      <c r="E2545" s="5"/>
      <c r="F2545" s="5"/>
      <c r="G2545" s="5"/>
      <c r="H2545" s="5"/>
      <c r="I2545" s="5"/>
      <c r="J2545" s="5"/>
      <c r="K2545" s="5"/>
      <c r="L2545" s="5"/>
      <c r="M2545" s="5"/>
      <c r="N2545" s="5"/>
      <c r="O2545" s="5"/>
      <c r="P2545" s="5"/>
      <c r="Q2545" s="5"/>
      <c r="R2545" s="5"/>
    </row>
    <row r="2546" spans="2:18" x14ac:dyDescent="0.2">
      <c r="C2546" s="11"/>
      <c r="D2546" s="1"/>
      <c r="E2546" s="5"/>
      <c r="F2546" s="5"/>
      <c r="G2546" s="5"/>
      <c r="H2546" s="5"/>
      <c r="I2546" s="5"/>
      <c r="J2546" s="5"/>
      <c r="K2546" s="5"/>
      <c r="L2546" s="5"/>
      <c r="M2546" s="5"/>
      <c r="N2546" s="5"/>
      <c r="O2546" s="5"/>
      <c r="P2546" s="5"/>
      <c r="Q2546" s="5"/>
      <c r="R2546" s="5"/>
    </row>
    <row r="2547" spans="2:18" x14ac:dyDescent="0.2">
      <c r="C2547" s="11"/>
      <c r="D2547" s="1"/>
      <c r="E2547" s="5"/>
      <c r="F2547" s="5"/>
      <c r="G2547" s="5"/>
      <c r="H2547" s="5"/>
      <c r="I2547" s="5"/>
      <c r="J2547" s="5"/>
      <c r="K2547" s="5"/>
      <c r="L2547" s="5"/>
      <c r="M2547" s="5"/>
      <c r="N2547" s="5"/>
      <c r="O2547" s="5"/>
      <c r="P2547" s="5"/>
      <c r="Q2547" s="5"/>
      <c r="R2547" s="5"/>
    </row>
    <row r="2550" spans="2:18" x14ac:dyDescent="0.2">
      <c r="B2550" s="2"/>
      <c r="C2550" s="11"/>
      <c r="D2550" s="1"/>
      <c r="E2550" s="5"/>
      <c r="F2550" s="5"/>
      <c r="G2550" s="5"/>
      <c r="H2550" s="5"/>
      <c r="I2550" s="5"/>
      <c r="J2550" s="5"/>
      <c r="K2550" s="5"/>
      <c r="L2550" s="5"/>
      <c r="M2550" s="5"/>
      <c r="N2550" s="5"/>
      <c r="O2550" s="5"/>
      <c r="P2550" s="5"/>
      <c r="Q2550" s="5"/>
      <c r="R2550" s="5"/>
    </row>
    <row r="2552" spans="2:18" x14ac:dyDescent="0.2">
      <c r="B2552" s="2"/>
      <c r="C2552" s="11"/>
      <c r="D2552" s="1"/>
      <c r="E2552" s="5"/>
      <c r="F2552" s="5"/>
      <c r="G2552" s="5"/>
      <c r="H2552" s="5"/>
      <c r="I2552" s="5"/>
      <c r="J2552" s="5"/>
      <c r="K2552" s="5"/>
      <c r="L2552" s="5"/>
      <c r="M2552" s="5"/>
      <c r="N2552" s="5"/>
      <c r="O2552" s="5"/>
      <c r="P2552" s="5"/>
      <c r="Q2552" s="5"/>
      <c r="R2552" s="5"/>
    </row>
    <row r="2554" spans="2:18" x14ac:dyDescent="0.2">
      <c r="B2554" s="2"/>
      <c r="C2554" s="11"/>
      <c r="D2554" s="1"/>
      <c r="E2554" s="5"/>
      <c r="F2554" s="5"/>
      <c r="G2554" s="5"/>
      <c r="H2554" s="5"/>
      <c r="I2554" s="5"/>
      <c r="J2554" s="5"/>
      <c r="K2554" s="5"/>
      <c r="L2554" s="5"/>
      <c r="M2554" s="5"/>
      <c r="N2554" s="5"/>
      <c r="O2554" s="5"/>
      <c r="P2554" s="5"/>
      <c r="Q2554" s="5"/>
      <c r="R2554" s="5"/>
    </row>
    <row r="2557" spans="2:18" x14ac:dyDescent="0.2">
      <c r="B2557" s="2"/>
      <c r="C2557" s="11"/>
      <c r="D2557" s="1"/>
      <c r="E2557" s="5"/>
      <c r="F2557" s="5"/>
      <c r="G2557" s="5"/>
      <c r="H2557" s="5"/>
      <c r="I2557" s="5"/>
      <c r="J2557" s="5"/>
      <c r="K2557" s="5"/>
      <c r="L2557" s="5"/>
      <c r="M2557" s="5"/>
      <c r="N2557" s="5"/>
      <c r="O2557" s="5"/>
      <c r="P2557" s="5"/>
      <c r="Q2557" s="5"/>
      <c r="R2557" s="5"/>
    </row>
    <row r="2559" spans="2:18" x14ac:dyDescent="0.2">
      <c r="B2559" s="2"/>
      <c r="C2559" s="11"/>
      <c r="D2559" s="1"/>
      <c r="E2559" s="5"/>
      <c r="F2559" s="5"/>
      <c r="G2559" s="5"/>
      <c r="H2559" s="5"/>
      <c r="I2559" s="5"/>
      <c r="J2559" s="5"/>
      <c r="K2559" s="5"/>
      <c r="L2559" s="5"/>
      <c r="M2559" s="5"/>
      <c r="N2559" s="5"/>
      <c r="O2559" s="5"/>
      <c r="P2559" s="5"/>
      <c r="Q2559" s="5"/>
      <c r="R2559" s="5"/>
    </row>
    <row r="2561" spans="2:18" x14ac:dyDescent="0.2">
      <c r="B2561" s="2"/>
      <c r="C2561" s="11"/>
      <c r="D2561" s="1"/>
      <c r="E2561" s="5"/>
      <c r="F2561" s="5"/>
      <c r="G2561" s="5"/>
      <c r="H2561" s="5"/>
      <c r="I2561" s="5"/>
      <c r="J2561" s="5"/>
      <c r="K2561" s="5"/>
      <c r="L2561" s="5"/>
      <c r="M2561" s="5"/>
      <c r="N2561" s="5"/>
      <c r="O2561" s="5"/>
      <c r="P2561" s="5"/>
      <c r="Q2561" s="5"/>
      <c r="R2561" s="5"/>
    </row>
    <row r="2563" spans="2:18" x14ac:dyDescent="0.2">
      <c r="B2563" s="2"/>
      <c r="C2563" s="11"/>
      <c r="D2563" s="1"/>
      <c r="E2563" s="5"/>
      <c r="F2563" s="5"/>
      <c r="G2563" s="5"/>
      <c r="H2563" s="5"/>
      <c r="I2563" s="5"/>
      <c r="J2563" s="5"/>
      <c r="K2563" s="5"/>
      <c r="L2563" s="5"/>
      <c r="M2563" s="5"/>
      <c r="N2563" s="5"/>
      <c r="O2563" s="5"/>
      <c r="P2563" s="5"/>
      <c r="Q2563" s="5"/>
      <c r="R2563" s="5"/>
    </row>
    <row r="2565" spans="2:18" x14ac:dyDescent="0.2">
      <c r="B2565" s="2"/>
      <c r="C2565" s="11"/>
      <c r="D2565" s="1"/>
      <c r="E2565" s="5"/>
      <c r="F2565" s="5"/>
      <c r="G2565" s="5"/>
      <c r="H2565" s="5"/>
      <c r="I2565" s="5"/>
      <c r="J2565" s="5"/>
      <c r="K2565" s="5"/>
      <c r="L2565" s="5"/>
      <c r="M2565" s="5"/>
      <c r="N2565" s="5"/>
      <c r="O2565" s="5"/>
      <c r="P2565" s="5"/>
      <c r="Q2565" s="5"/>
      <c r="R2565" s="5"/>
    </row>
    <row r="2567" spans="2:18" x14ac:dyDescent="0.2">
      <c r="C2567" s="11"/>
      <c r="D2567" s="1"/>
      <c r="E2567" s="5"/>
      <c r="F2567" s="5"/>
      <c r="G2567" s="5"/>
      <c r="H2567" s="5"/>
      <c r="I2567" s="5"/>
      <c r="J2567" s="5"/>
      <c r="K2567" s="5"/>
      <c r="L2567" s="5"/>
      <c r="M2567" s="5"/>
      <c r="N2567" s="5"/>
      <c r="O2567" s="5"/>
      <c r="P2567" s="5"/>
      <c r="Q2567" s="5"/>
      <c r="R2567" s="5"/>
    </row>
    <row r="2569" spans="2:18" x14ac:dyDescent="0.2">
      <c r="B2569" s="2"/>
      <c r="C2569" s="11"/>
      <c r="D2569" s="1"/>
      <c r="E2569" s="5"/>
      <c r="F2569" s="5"/>
      <c r="G2569" s="5"/>
      <c r="H2569" s="5"/>
      <c r="I2569" s="5"/>
      <c r="J2569" s="5"/>
      <c r="K2569" s="5"/>
      <c r="L2569" s="5"/>
      <c r="M2569" s="5"/>
      <c r="N2569" s="5"/>
      <c r="O2569" s="5"/>
      <c r="P2569" s="5"/>
      <c r="Q2569" s="5"/>
      <c r="R2569" s="5"/>
    </row>
    <row r="2572" spans="2:18" x14ac:dyDescent="0.2">
      <c r="B2572" s="2"/>
      <c r="C2572" s="11"/>
      <c r="D2572" s="1"/>
      <c r="E2572" s="5"/>
      <c r="F2572" s="5"/>
      <c r="G2572" s="5"/>
      <c r="H2572" s="5"/>
      <c r="I2572" s="5"/>
      <c r="J2572" s="5"/>
      <c r="K2572" s="5"/>
      <c r="L2572" s="5"/>
      <c r="M2572" s="5"/>
      <c r="N2572" s="5"/>
      <c r="O2572" s="5"/>
      <c r="P2572" s="5"/>
      <c r="Q2572" s="5"/>
      <c r="R2572" s="5"/>
    </row>
    <row r="2576" spans="2:18" x14ac:dyDescent="0.2">
      <c r="B2576" s="2"/>
      <c r="C2576" s="11"/>
      <c r="D2576" s="1"/>
      <c r="E2576" s="5"/>
      <c r="F2576" s="5"/>
      <c r="G2576" s="5"/>
      <c r="H2576" s="5"/>
      <c r="I2576" s="5"/>
      <c r="J2576" s="5"/>
      <c r="K2576" s="5"/>
      <c r="L2576" s="5"/>
      <c r="M2576" s="5"/>
      <c r="N2576" s="5"/>
      <c r="O2576" s="5"/>
      <c r="P2576" s="5"/>
      <c r="Q2576" s="5"/>
      <c r="R2576" s="5"/>
    </row>
    <row r="2578" spans="2:18" x14ac:dyDescent="0.2">
      <c r="B2578" s="2"/>
      <c r="C2578" s="11"/>
      <c r="D2578" s="1"/>
      <c r="E2578" s="5"/>
      <c r="F2578" s="5"/>
      <c r="G2578" s="5"/>
      <c r="H2578" s="5"/>
      <c r="I2578" s="5"/>
      <c r="J2578" s="5"/>
      <c r="K2578" s="5"/>
      <c r="L2578" s="5"/>
      <c r="M2578" s="5"/>
      <c r="N2578" s="5"/>
      <c r="O2578" s="5"/>
      <c r="P2578" s="5"/>
      <c r="Q2578" s="5"/>
      <c r="R2578" s="5"/>
    </row>
    <row r="2580" spans="2:18" x14ac:dyDescent="0.2">
      <c r="B2580" s="2"/>
      <c r="C2580" s="11"/>
      <c r="D2580" s="1"/>
      <c r="E2580" s="5"/>
      <c r="F2580" s="5"/>
      <c r="G2580" s="5"/>
      <c r="H2580" s="5"/>
      <c r="I2580" s="5"/>
      <c r="J2580" s="5"/>
      <c r="K2580" s="5"/>
      <c r="L2580" s="5"/>
      <c r="M2580" s="5"/>
      <c r="N2580" s="5"/>
      <c r="O2580" s="5"/>
      <c r="P2580" s="5"/>
      <c r="Q2580" s="5"/>
      <c r="R2580" s="5"/>
    </row>
    <row r="2582" spans="2:18" x14ac:dyDescent="0.2">
      <c r="C2582" s="11"/>
      <c r="D2582" s="1"/>
      <c r="E2582" s="5"/>
      <c r="F2582" s="5"/>
      <c r="G2582" s="5"/>
      <c r="H2582" s="5"/>
      <c r="I2582" s="5"/>
      <c r="J2582" s="5"/>
      <c r="K2582" s="5"/>
      <c r="L2582" s="5"/>
      <c r="M2582" s="5"/>
      <c r="N2582" s="5"/>
      <c r="O2582" s="5"/>
      <c r="P2582" s="5"/>
      <c r="Q2582" s="5"/>
      <c r="R2582" s="5"/>
    </row>
    <row r="2584" spans="2:18" x14ac:dyDescent="0.2">
      <c r="B2584" s="2"/>
      <c r="C2584" s="11"/>
      <c r="D2584" s="1"/>
      <c r="E2584" s="5"/>
      <c r="F2584" s="5"/>
      <c r="G2584" s="5"/>
      <c r="H2584" s="5"/>
      <c r="I2584" s="5"/>
      <c r="J2584" s="5"/>
      <c r="K2584" s="5"/>
      <c r="L2584" s="5"/>
      <c r="M2584" s="5"/>
      <c r="N2584" s="5"/>
      <c r="O2584" s="5"/>
      <c r="P2584" s="5"/>
      <c r="Q2584" s="5"/>
      <c r="R2584" s="5"/>
    </row>
    <row r="2587" spans="2:18" x14ac:dyDescent="0.2">
      <c r="B2587" s="2"/>
      <c r="C2587" s="11"/>
      <c r="D2587" s="1"/>
      <c r="E2587" s="5"/>
      <c r="F2587" s="5"/>
      <c r="G2587" s="5"/>
      <c r="H2587" s="5"/>
      <c r="I2587" s="5"/>
      <c r="J2587" s="5"/>
      <c r="K2587" s="5"/>
      <c r="L2587" s="5"/>
      <c r="M2587" s="5"/>
      <c r="N2587" s="5"/>
      <c r="O2587" s="5"/>
      <c r="P2587" s="5"/>
      <c r="Q2587" s="5"/>
      <c r="R2587" s="5"/>
    </row>
    <row r="2589" spans="2:18" x14ac:dyDescent="0.2">
      <c r="B2589" s="2"/>
      <c r="C2589" s="11"/>
      <c r="D2589" s="1"/>
      <c r="E2589" s="5"/>
      <c r="F2589" s="5"/>
      <c r="G2589" s="5"/>
      <c r="H2589" s="5"/>
      <c r="I2589" s="5"/>
      <c r="J2589" s="5"/>
      <c r="K2589" s="5"/>
      <c r="L2589" s="5"/>
      <c r="M2589" s="5"/>
      <c r="N2589" s="5"/>
      <c r="O2589" s="5"/>
      <c r="P2589" s="5"/>
      <c r="Q2589" s="5"/>
      <c r="R2589" s="5"/>
    </row>
    <row r="2591" spans="2:18" x14ac:dyDescent="0.2">
      <c r="B2591" s="2"/>
      <c r="C2591" s="11"/>
      <c r="D2591" s="1"/>
      <c r="E2591" s="5"/>
      <c r="F2591" s="5"/>
      <c r="G2591" s="5"/>
      <c r="H2591" s="5"/>
      <c r="I2591" s="5"/>
      <c r="J2591" s="5"/>
      <c r="K2591" s="5"/>
      <c r="L2591" s="5"/>
      <c r="M2591" s="5"/>
      <c r="N2591" s="5"/>
      <c r="O2591" s="5"/>
      <c r="P2591" s="5"/>
      <c r="Q2591" s="5"/>
      <c r="R2591" s="5"/>
    </row>
    <row r="2594" spans="2:18" x14ac:dyDescent="0.2">
      <c r="B2594" s="2"/>
      <c r="C2594" s="11"/>
      <c r="D2594" s="1"/>
      <c r="E2594" s="5"/>
      <c r="F2594" s="5"/>
      <c r="G2594" s="5"/>
      <c r="H2594" s="5"/>
      <c r="I2594" s="5"/>
      <c r="J2594" s="5"/>
      <c r="K2594" s="5"/>
      <c r="L2594" s="5"/>
      <c r="M2594" s="5"/>
      <c r="N2594" s="5"/>
      <c r="O2594" s="5"/>
      <c r="P2594" s="5"/>
      <c r="Q2594" s="5"/>
      <c r="R2594" s="5"/>
    </row>
    <row r="2596" spans="2:18" x14ac:dyDescent="0.2">
      <c r="B2596" s="2"/>
      <c r="C2596" s="11"/>
      <c r="D2596" s="1"/>
      <c r="E2596" s="5"/>
      <c r="F2596" s="5"/>
      <c r="G2596" s="5"/>
      <c r="H2596" s="5"/>
      <c r="I2596" s="5"/>
      <c r="J2596" s="5"/>
      <c r="K2596" s="5"/>
      <c r="L2596" s="5"/>
      <c r="M2596" s="5"/>
      <c r="N2596" s="5"/>
      <c r="O2596" s="5"/>
      <c r="P2596" s="5"/>
      <c r="Q2596" s="5"/>
      <c r="R2596" s="5"/>
    </row>
    <row r="2599" spans="2:18" x14ac:dyDescent="0.2">
      <c r="B2599" s="2"/>
      <c r="C2599" s="11"/>
      <c r="D2599" s="1"/>
      <c r="E2599" s="5"/>
      <c r="F2599" s="5"/>
      <c r="G2599" s="5"/>
      <c r="H2599" s="5"/>
      <c r="I2599" s="5"/>
      <c r="J2599" s="5"/>
      <c r="K2599" s="5"/>
      <c r="L2599" s="5"/>
      <c r="M2599" s="5"/>
      <c r="N2599" s="5"/>
      <c r="O2599" s="5"/>
      <c r="P2599" s="5"/>
      <c r="Q2599" s="5"/>
      <c r="R2599" s="5"/>
    </row>
    <row r="2625" spans="2:18" x14ac:dyDescent="0.2">
      <c r="C2625" s="11"/>
      <c r="D2625" s="1"/>
      <c r="E2625" s="5"/>
      <c r="F2625" s="5"/>
      <c r="G2625" s="5"/>
      <c r="H2625" s="5"/>
      <c r="I2625" s="5"/>
      <c r="J2625" s="5"/>
      <c r="K2625" s="5"/>
      <c r="L2625" s="5"/>
      <c r="M2625" s="5"/>
      <c r="N2625" s="5"/>
      <c r="O2625" s="5"/>
      <c r="P2625" s="5"/>
      <c r="Q2625" s="5"/>
      <c r="R2625" s="5"/>
    </row>
    <row r="2629" spans="2:18" x14ac:dyDescent="0.2">
      <c r="C2629" s="11"/>
      <c r="D2629" s="1"/>
      <c r="E2629" s="5"/>
      <c r="F2629" s="5"/>
      <c r="G2629" s="5"/>
      <c r="H2629" s="5"/>
      <c r="I2629" s="5"/>
      <c r="J2629" s="5"/>
      <c r="K2629" s="5"/>
      <c r="L2629" s="5"/>
      <c r="M2629" s="5"/>
      <c r="N2629" s="5"/>
      <c r="O2629" s="5"/>
      <c r="P2629" s="5"/>
      <c r="Q2629" s="5"/>
      <c r="R2629" s="5"/>
    </row>
    <row r="2633" spans="2:18" x14ac:dyDescent="0.2">
      <c r="B2633" s="2"/>
      <c r="C2633" s="11"/>
      <c r="D2633" s="1"/>
      <c r="E2633" s="5"/>
      <c r="F2633" s="5"/>
      <c r="G2633" s="5"/>
      <c r="H2633" s="5"/>
      <c r="I2633" s="5"/>
      <c r="J2633" s="5"/>
      <c r="K2633" s="5"/>
      <c r="L2633" s="5"/>
      <c r="M2633" s="5"/>
      <c r="N2633" s="5"/>
      <c r="O2633" s="5"/>
      <c r="P2633" s="5"/>
      <c r="Q2633" s="5"/>
      <c r="R2633" s="5"/>
    </row>
    <row r="2635" spans="2:18" x14ac:dyDescent="0.2">
      <c r="B2635" s="2"/>
      <c r="C2635" s="11"/>
      <c r="D2635" s="1"/>
      <c r="E2635" s="5"/>
      <c r="F2635" s="5"/>
      <c r="G2635" s="5"/>
      <c r="H2635" s="5"/>
      <c r="I2635" s="5"/>
      <c r="J2635" s="5"/>
      <c r="K2635" s="5"/>
      <c r="L2635" s="5"/>
      <c r="M2635" s="5"/>
      <c r="N2635" s="5"/>
      <c r="O2635" s="5"/>
      <c r="P2635" s="5"/>
      <c r="Q2635" s="5"/>
      <c r="R2635" s="5"/>
    </row>
    <row r="2642" spans="2:18" x14ac:dyDescent="0.2">
      <c r="B2642" s="2"/>
      <c r="C2642" s="11"/>
      <c r="D2642" s="1"/>
      <c r="E2642" s="5"/>
      <c r="F2642" s="5"/>
      <c r="G2642" s="5"/>
      <c r="H2642" s="5"/>
      <c r="I2642" s="5"/>
      <c r="J2642" s="5"/>
      <c r="K2642" s="5"/>
      <c r="L2642" s="5"/>
      <c r="M2642" s="5"/>
      <c r="N2642" s="5"/>
      <c r="O2642" s="5"/>
      <c r="P2642" s="5"/>
      <c r="Q2642" s="5"/>
      <c r="R2642" s="5"/>
    </row>
    <row r="2644" spans="2:18" x14ac:dyDescent="0.2">
      <c r="B2644" s="2"/>
      <c r="C2644" s="11"/>
      <c r="D2644" s="1"/>
      <c r="E2644" s="5"/>
      <c r="F2644" s="5"/>
      <c r="G2644" s="5"/>
      <c r="H2644" s="5"/>
      <c r="I2644" s="5"/>
      <c r="J2644" s="5"/>
      <c r="K2644" s="5"/>
      <c r="L2644" s="5"/>
      <c r="M2644" s="5"/>
      <c r="N2644" s="5"/>
      <c r="O2644" s="5"/>
      <c r="P2644" s="5"/>
      <c r="Q2644" s="5"/>
      <c r="R2644" s="5"/>
    </row>
    <row r="2646" spans="2:18" x14ac:dyDescent="0.2">
      <c r="B2646" s="2"/>
      <c r="C2646" s="11"/>
      <c r="D2646" s="1"/>
      <c r="E2646" s="5"/>
      <c r="F2646" s="5"/>
      <c r="G2646" s="5"/>
      <c r="H2646" s="5"/>
      <c r="I2646" s="5"/>
      <c r="J2646" s="5"/>
      <c r="K2646" s="5"/>
      <c r="L2646" s="5"/>
      <c r="M2646" s="5"/>
      <c r="N2646" s="5"/>
      <c r="O2646" s="5"/>
      <c r="P2646" s="5"/>
      <c r="Q2646" s="5"/>
      <c r="R2646" s="5"/>
    </row>
    <row r="2649" spans="2:18" x14ac:dyDescent="0.2">
      <c r="B2649" s="2"/>
      <c r="C2649" s="11"/>
      <c r="D2649" s="1"/>
      <c r="E2649" s="5"/>
      <c r="F2649" s="5"/>
      <c r="G2649" s="5"/>
      <c r="H2649" s="5"/>
      <c r="I2649" s="5"/>
      <c r="J2649" s="5"/>
      <c r="K2649" s="5"/>
      <c r="L2649" s="5"/>
      <c r="M2649" s="5"/>
      <c r="N2649" s="5"/>
      <c r="O2649" s="5"/>
      <c r="P2649" s="5"/>
      <c r="Q2649" s="5"/>
      <c r="R2649" s="5"/>
    </row>
    <row r="2651" spans="2:18" x14ac:dyDescent="0.2">
      <c r="B2651" s="2"/>
      <c r="C2651" s="11"/>
      <c r="D2651" s="1"/>
      <c r="E2651" s="5"/>
      <c r="F2651" s="5"/>
      <c r="G2651" s="5"/>
      <c r="H2651" s="5"/>
      <c r="I2651" s="5"/>
      <c r="J2651" s="5"/>
      <c r="K2651" s="5"/>
      <c r="L2651" s="5"/>
      <c r="M2651" s="5"/>
      <c r="N2651" s="5"/>
      <c r="O2651" s="5"/>
      <c r="P2651" s="5"/>
      <c r="Q2651" s="5"/>
      <c r="R2651" s="5"/>
    </row>
    <row r="2653" spans="2:18" x14ac:dyDescent="0.2">
      <c r="B2653" s="2"/>
      <c r="C2653" s="11"/>
      <c r="D2653" s="1"/>
      <c r="E2653" s="5"/>
      <c r="F2653" s="5"/>
      <c r="G2653" s="5"/>
      <c r="H2653" s="5"/>
      <c r="I2653" s="5"/>
      <c r="J2653" s="5"/>
      <c r="K2653" s="5"/>
      <c r="L2653" s="5"/>
      <c r="M2653" s="5"/>
      <c r="N2653" s="5"/>
      <c r="O2653" s="5"/>
      <c r="P2653" s="5"/>
      <c r="Q2653" s="5"/>
      <c r="R2653" s="5"/>
    </row>
    <row r="2655" spans="2:18" x14ac:dyDescent="0.2">
      <c r="B2655" s="2"/>
      <c r="C2655" s="11"/>
      <c r="D2655" s="1"/>
      <c r="E2655" s="5"/>
      <c r="F2655" s="5"/>
      <c r="G2655" s="5"/>
      <c r="H2655" s="5"/>
      <c r="I2655" s="5"/>
      <c r="J2655" s="5"/>
      <c r="K2655" s="5"/>
      <c r="L2655" s="5"/>
      <c r="M2655" s="5"/>
      <c r="N2655" s="5"/>
      <c r="O2655" s="5"/>
      <c r="P2655" s="5"/>
      <c r="Q2655" s="5"/>
      <c r="R2655" s="5"/>
    </row>
    <row r="2658" spans="2:18" x14ac:dyDescent="0.2">
      <c r="B2658" s="2"/>
      <c r="C2658" s="11"/>
      <c r="D2658" s="1"/>
      <c r="E2658" s="5"/>
      <c r="F2658" s="5"/>
      <c r="G2658" s="5"/>
      <c r="H2658" s="5"/>
      <c r="I2658" s="5"/>
      <c r="J2658" s="5"/>
      <c r="K2658" s="5"/>
      <c r="L2658" s="5"/>
      <c r="M2658" s="5"/>
      <c r="N2658" s="5"/>
      <c r="O2658" s="5"/>
      <c r="P2658" s="5"/>
      <c r="Q2658" s="5"/>
      <c r="R2658" s="5"/>
    </row>
    <row r="2660" spans="2:18" x14ac:dyDescent="0.2">
      <c r="B2660" s="2"/>
      <c r="C2660" s="11"/>
      <c r="D2660" s="1"/>
      <c r="E2660" s="5"/>
      <c r="F2660" s="5"/>
      <c r="G2660" s="5"/>
      <c r="H2660" s="5"/>
      <c r="I2660" s="5"/>
      <c r="J2660" s="5"/>
      <c r="K2660" s="5"/>
      <c r="L2660" s="5"/>
      <c r="M2660" s="5"/>
      <c r="N2660" s="5"/>
      <c r="O2660" s="5"/>
      <c r="P2660" s="5"/>
      <c r="Q2660" s="5"/>
      <c r="R2660" s="5"/>
    </row>
    <row r="2664" spans="2:18" x14ac:dyDescent="0.2">
      <c r="B2664" s="2"/>
      <c r="C2664" s="11"/>
      <c r="D2664" s="1"/>
      <c r="E2664" s="5"/>
      <c r="F2664" s="5"/>
      <c r="G2664" s="5"/>
      <c r="H2664" s="5"/>
      <c r="I2664" s="5"/>
      <c r="J2664" s="5"/>
      <c r="K2664" s="5"/>
      <c r="L2664" s="5"/>
      <c r="M2664" s="5"/>
      <c r="N2664" s="5"/>
      <c r="O2664" s="5"/>
      <c r="P2664" s="5"/>
      <c r="Q2664" s="5"/>
      <c r="R2664" s="5"/>
    </row>
    <row r="2666" spans="2:18" x14ac:dyDescent="0.2">
      <c r="B2666" s="2"/>
      <c r="C2666" s="11"/>
      <c r="D2666" s="6"/>
      <c r="E2666" s="6"/>
      <c r="F2666" s="6"/>
      <c r="G2666" s="6"/>
      <c r="H2666" s="6"/>
      <c r="I2666" s="6"/>
      <c r="J2666" s="6"/>
      <c r="K2666" s="6"/>
      <c r="L2666" s="6"/>
      <c r="M2666" s="6"/>
      <c r="N2666" s="6"/>
      <c r="O2666" s="6"/>
      <c r="P2666" s="6"/>
      <c r="Q2666" s="6"/>
      <c r="R2666" s="6"/>
    </row>
    <row r="2669" spans="2:18" x14ac:dyDescent="0.2">
      <c r="B2669" s="2"/>
      <c r="C2669" s="11"/>
      <c r="D2669" s="6"/>
      <c r="E2669" s="6"/>
      <c r="F2669" s="6"/>
      <c r="G2669" s="6"/>
      <c r="H2669" s="6"/>
      <c r="I2669" s="6"/>
      <c r="J2669" s="6"/>
      <c r="K2669" s="6"/>
      <c r="L2669" s="6"/>
      <c r="M2669" s="6"/>
      <c r="N2669" s="6"/>
      <c r="O2669" s="6"/>
      <c r="P2669" s="6"/>
      <c r="Q2669" s="6"/>
      <c r="R2669" s="6"/>
    </row>
    <row r="2671" spans="2:18" x14ac:dyDescent="0.2">
      <c r="B2671" s="2"/>
      <c r="C2671" s="11"/>
      <c r="D2671" s="6"/>
      <c r="E2671" s="6"/>
      <c r="F2671" s="6"/>
      <c r="G2671" s="6"/>
      <c r="H2671" s="6"/>
      <c r="I2671" s="6"/>
      <c r="J2671" s="6"/>
      <c r="K2671" s="6"/>
      <c r="L2671" s="6"/>
      <c r="M2671" s="6"/>
      <c r="N2671" s="6"/>
      <c r="O2671" s="6"/>
      <c r="P2671" s="6"/>
      <c r="Q2671" s="6"/>
      <c r="R2671" s="6"/>
    </row>
    <row r="2673" spans="2:18" x14ac:dyDescent="0.2">
      <c r="B2673" s="2"/>
      <c r="C2673" s="11"/>
      <c r="D2673" s="6"/>
      <c r="E2673" s="6"/>
      <c r="F2673" s="6"/>
      <c r="G2673" s="6"/>
      <c r="H2673" s="6"/>
      <c r="I2673" s="6"/>
      <c r="J2673" s="6"/>
      <c r="K2673" s="6"/>
      <c r="L2673" s="6"/>
      <c r="M2673" s="6"/>
      <c r="N2673" s="6"/>
      <c r="O2673" s="6"/>
      <c r="P2673" s="6"/>
      <c r="Q2673" s="6"/>
      <c r="R2673" s="6"/>
    </row>
    <row r="2677" spans="2:18" x14ac:dyDescent="0.2">
      <c r="B2677" s="2"/>
      <c r="C2677" s="11"/>
      <c r="D2677" s="6"/>
      <c r="E2677" s="6"/>
      <c r="F2677" s="6"/>
      <c r="G2677" s="6"/>
      <c r="H2677" s="6"/>
      <c r="I2677" s="6"/>
      <c r="J2677" s="6"/>
      <c r="K2677" s="6"/>
      <c r="L2677" s="6"/>
      <c r="M2677" s="6"/>
      <c r="N2677" s="6"/>
      <c r="O2677" s="6"/>
      <c r="P2677" s="6"/>
      <c r="Q2677" s="6"/>
      <c r="R2677" s="6"/>
    </row>
    <row r="2690" spans="2:18" x14ac:dyDescent="0.2">
      <c r="B2690" s="2"/>
      <c r="C2690" s="11"/>
      <c r="D2690" s="6"/>
      <c r="E2690" s="6"/>
      <c r="F2690" s="6"/>
      <c r="G2690" s="6"/>
      <c r="H2690" s="6"/>
      <c r="I2690" s="6"/>
      <c r="J2690" s="6"/>
      <c r="K2690" s="6"/>
      <c r="L2690" s="6"/>
      <c r="M2690" s="6"/>
      <c r="N2690" s="6"/>
      <c r="O2690" s="6"/>
      <c r="P2690" s="6"/>
      <c r="Q2690" s="6"/>
      <c r="R2690" s="6"/>
    </row>
    <row r="2692" spans="2:18" x14ac:dyDescent="0.2">
      <c r="B2692" s="2"/>
      <c r="C2692" s="11"/>
      <c r="D2692" s="6"/>
      <c r="E2692" s="6"/>
      <c r="F2692" s="6"/>
      <c r="G2692" s="6"/>
      <c r="H2692" s="6"/>
      <c r="I2692" s="6"/>
      <c r="J2692" s="6"/>
      <c r="K2692" s="6"/>
      <c r="L2692" s="6"/>
      <c r="M2692" s="6"/>
      <c r="N2692" s="6"/>
      <c r="O2692" s="6"/>
      <c r="P2692" s="6"/>
      <c r="Q2692" s="6"/>
      <c r="R2692" s="6"/>
    </row>
    <row r="2693" spans="2:18" x14ac:dyDescent="0.2">
      <c r="B2693" s="2"/>
      <c r="C2693" s="11"/>
      <c r="D2693" s="6"/>
      <c r="E2693" s="6"/>
      <c r="F2693" s="6"/>
      <c r="G2693" s="6"/>
      <c r="H2693" s="6"/>
      <c r="I2693" s="6"/>
      <c r="J2693" s="6"/>
      <c r="K2693" s="6"/>
      <c r="L2693" s="6"/>
      <c r="M2693" s="6"/>
      <c r="N2693" s="6"/>
      <c r="O2693" s="6"/>
      <c r="P2693" s="6"/>
      <c r="Q2693" s="6"/>
      <c r="R2693" s="6"/>
    </row>
    <row r="2695" spans="2:18" x14ac:dyDescent="0.2">
      <c r="B2695" s="2"/>
      <c r="C2695" s="11"/>
      <c r="D2695" s="6"/>
      <c r="E2695" s="6"/>
      <c r="F2695" s="6"/>
      <c r="G2695" s="6"/>
      <c r="H2695" s="6"/>
      <c r="I2695" s="6"/>
      <c r="J2695" s="6"/>
      <c r="K2695" s="6"/>
      <c r="L2695" s="6"/>
      <c r="M2695" s="6"/>
      <c r="N2695" s="6"/>
      <c r="O2695" s="6"/>
      <c r="P2695" s="6"/>
      <c r="Q2695" s="6"/>
      <c r="R2695" s="6"/>
    </row>
    <row r="2698" spans="2:18" x14ac:dyDescent="0.2">
      <c r="B2698" s="2"/>
      <c r="C2698" s="11"/>
      <c r="D2698" s="6"/>
      <c r="E2698" s="6"/>
      <c r="F2698" s="6"/>
      <c r="G2698" s="6"/>
      <c r="H2698" s="6"/>
      <c r="I2698" s="6"/>
      <c r="J2698" s="6"/>
      <c r="K2698" s="6"/>
      <c r="L2698" s="6"/>
      <c r="M2698" s="6"/>
      <c r="N2698" s="6"/>
      <c r="O2698" s="6"/>
      <c r="P2698" s="6"/>
      <c r="Q2698" s="6"/>
      <c r="R2698" s="6"/>
    </row>
    <row r="2700" spans="2:18" x14ac:dyDescent="0.2">
      <c r="B2700" s="2"/>
      <c r="C2700" s="11"/>
      <c r="D2700" s="6"/>
      <c r="E2700" s="6"/>
      <c r="F2700" s="6"/>
      <c r="G2700" s="6"/>
      <c r="H2700" s="6"/>
      <c r="I2700" s="6"/>
      <c r="J2700" s="6"/>
      <c r="K2700" s="6"/>
      <c r="L2700" s="6"/>
      <c r="M2700" s="6"/>
      <c r="N2700" s="6"/>
      <c r="O2700" s="6"/>
      <c r="P2700" s="6"/>
      <c r="Q2700" s="6"/>
      <c r="R2700" s="6"/>
    </row>
    <row r="2762" spans="2:18" x14ac:dyDescent="0.2">
      <c r="B2762" s="2"/>
      <c r="C2762" s="11"/>
      <c r="D2762" s="6"/>
      <c r="E2762" s="6"/>
      <c r="F2762" s="6"/>
      <c r="G2762" s="6"/>
      <c r="H2762" s="6"/>
      <c r="I2762" s="6"/>
      <c r="J2762" s="6"/>
      <c r="K2762" s="6"/>
      <c r="L2762" s="6"/>
      <c r="M2762" s="6"/>
      <c r="N2762" s="6"/>
      <c r="O2762" s="6"/>
      <c r="P2762" s="6"/>
      <c r="Q2762" s="6"/>
      <c r="R2762" s="6"/>
    </row>
    <row r="2763" spans="2:18" x14ac:dyDescent="0.2">
      <c r="B2763" s="2"/>
      <c r="C2763" s="11"/>
      <c r="D2763" s="6"/>
      <c r="E2763" s="6"/>
      <c r="F2763" s="6"/>
      <c r="G2763" s="6"/>
      <c r="H2763" s="6"/>
      <c r="I2763" s="6"/>
      <c r="J2763" s="6"/>
      <c r="K2763" s="6"/>
      <c r="L2763" s="6"/>
      <c r="M2763" s="6"/>
      <c r="N2763" s="6"/>
      <c r="O2763" s="6"/>
      <c r="P2763" s="6"/>
      <c r="Q2763" s="6"/>
      <c r="R2763" s="6"/>
    </row>
    <row r="2767" spans="2:18" x14ac:dyDescent="0.2">
      <c r="B2767" s="2"/>
      <c r="C2767" s="11"/>
      <c r="D2767" s="6"/>
      <c r="E2767" s="6"/>
      <c r="F2767" s="6"/>
      <c r="G2767" s="6"/>
      <c r="H2767" s="6"/>
      <c r="I2767" s="6"/>
      <c r="J2767" s="6"/>
      <c r="K2767" s="6"/>
      <c r="L2767" s="6"/>
      <c r="M2767" s="6"/>
      <c r="N2767" s="6"/>
      <c r="O2767" s="6"/>
      <c r="P2767" s="6"/>
      <c r="Q2767" s="6"/>
      <c r="R2767" s="6"/>
    </row>
    <row r="2770" spans="2:18" x14ac:dyDescent="0.2">
      <c r="B2770" s="2"/>
      <c r="C2770" s="11"/>
      <c r="D2770" s="6"/>
      <c r="E2770" s="6"/>
      <c r="F2770" s="6"/>
      <c r="G2770" s="6"/>
      <c r="H2770" s="6"/>
      <c r="I2770" s="6"/>
      <c r="J2770" s="6"/>
      <c r="K2770" s="6"/>
      <c r="L2770" s="6"/>
      <c r="M2770" s="6"/>
      <c r="N2770" s="6"/>
      <c r="O2770" s="6"/>
      <c r="P2770" s="6"/>
      <c r="Q2770" s="6"/>
      <c r="R2770" s="6"/>
    </row>
    <row r="2775" spans="2:18" x14ac:dyDescent="0.2">
      <c r="B2775" s="2"/>
      <c r="C2775" s="11"/>
      <c r="D2775" s="6"/>
      <c r="E2775" s="6"/>
      <c r="F2775" s="6"/>
      <c r="G2775" s="6"/>
      <c r="H2775" s="6"/>
      <c r="I2775" s="6"/>
      <c r="J2775" s="6"/>
      <c r="K2775" s="6"/>
      <c r="L2775" s="6"/>
      <c r="M2775" s="6"/>
      <c r="N2775" s="6"/>
      <c r="O2775" s="6"/>
      <c r="P2775" s="6"/>
      <c r="Q2775" s="6"/>
      <c r="R2775" s="6"/>
    </row>
    <row r="2777" spans="2:18" x14ac:dyDescent="0.2">
      <c r="B2777" s="2"/>
      <c r="C2777" s="11"/>
      <c r="D2777" s="6"/>
      <c r="E2777" s="6"/>
      <c r="F2777" s="6"/>
      <c r="G2777" s="6"/>
      <c r="H2777" s="6"/>
      <c r="I2777" s="6"/>
      <c r="J2777" s="6"/>
      <c r="K2777" s="6"/>
      <c r="L2777" s="6"/>
      <c r="M2777" s="6"/>
      <c r="N2777" s="6"/>
      <c r="O2777" s="6"/>
      <c r="P2777" s="6"/>
      <c r="Q2777" s="6"/>
      <c r="R2777" s="6"/>
    </row>
    <row r="2779" spans="2:18" x14ac:dyDescent="0.2">
      <c r="B2779" s="2"/>
      <c r="C2779" s="11"/>
      <c r="D2779" s="6"/>
      <c r="E2779" s="6"/>
      <c r="F2779" s="6"/>
      <c r="G2779" s="6"/>
      <c r="H2779" s="6"/>
      <c r="I2779" s="6"/>
      <c r="J2779" s="6"/>
      <c r="K2779" s="6"/>
      <c r="L2779" s="6"/>
      <c r="M2779" s="6"/>
      <c r="N2779" s="6"/>
      <c r="O2779" s="6"/>
      <c r="P2779" s="6"/>
      <c r="Q2779" s="6"/>
      <c r="R2779" s="6"/>
    </row>
  </sheetData>
  <autoFilter ref="A1:AA428" xr:uid="{9E39DB8D-58F6-42EF-9610-350FE7168230}"/>
  <phoneticPr fontId="6" type="noConversion"/>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 operator="equal" id="{309D7BB9-A75E-4BF7-8633-C399C0E6D648}">
            <xm:f>Sheet1!$A$1</xm:f>
            <x14:dxf>
              <font>
                <color theme="9" tint="-0.499984740745262"/>
              </font>
              <fill>
                <patternFill>
                  <bgColor theme="9" tint="0.39994506668294322"/>
                </patternFill>
              </fill>
            </x14:dxf>
          </x14:cfRule>
          <x14:cfRule type="cellIs" priority="4" operator="equal" id="{90362A68-B366-4763-8142-B88C9D223048}">
            <xm:f>Sheet1!$A$2</xm:f>
            <x14:dxf>
              <font>
                <color rgb="FF006100"/>
              </font>
              <fill>
                <patternFill>
                  <bgColor rgb="FFC6EFCE"/>
                </patternFill>
              </fill>
            </x14:dxf>
          </x14:cfRule>
          <x14:cfRule type="cellIs" priority="5" operator="equal" id="{D9B5C7AF-47A5-4FAD-BE84-C98AB1E5928A}">
            <xm:f>Sheet1!$A$3</xm:f>
            <x14:dxf>
              <font>
                <color rgb="FF9C0006"/>
              </font>
              <fill>
                <patternFill>
                  <bgColor rgb="FFFFC7CE"/>
                </patternFill>
              </fill>
            </x14:dxf>
          </x14:cfRule>
          <xm:sqref>S2:S428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48D83B84-52F8-4805-A087-D10645C5A452}">
          <x14:formula1>
            <xm:f>Sheet1!$A$1:$A$3</xm:f>
          </x14:formula1>
          <xm:sqref>S2:S428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EE02F-4A91-405A-A03D-B6BB9550B8EB}">
  <sheetPr filterMode="1"/>
  <dimension ref="A1:S2779"/>
  <sheetViews>
    <sheetView topLeftCell="E1" zoomScale="75" zoomScaleNormal="75" workbookViewId="0">
      <pane ySplit="1" topLeftCell="A3" activePane="bottomLeft" state="frozen"/>
      <selection pane="bottomLeft" activeCell="J7" sqref="J7"/>
    </sheetView>
  </sheetViews>
  <sheetFormatPr baseColWidth="10" defaultColWidth="9.125" defaultRowHeight="12.9" x14ac:dyDescent="0.2"/>
  <cols>
    <col min="1" max="1" width="20.25" style="12" hidden="1" customWidth="1"/>
    <col min="2" max="2" width="15.25" style="4" hidden="1" customWidth="1"/>
    <col min="3" max="3" width="21.375" style="7" hidden="1" customWidth="1"/>
    <col min="4" max="4" width="41.25" style="4" hidden="1" customWidth="1"/>
    <col min="5" max="5" width="32.375" style="4" bestFit="1" customWidth="1"/>
    <col min="6" max="6" width="20.125" style="4" customWidth="1"/>
    <col min="7" max="7" width="87.125" style="4" customWidth="1"/>
    <col min="8" max="8" width="83.875" style="4" customWidth="1"/>
    <col min="9" max="10" width="22.25" style="4" customWidth="1"/>
    <col min="11" max="11" width="20.875" style="4" customWidth="1"/>
    <col min="12" max="12" width="25.625" style="4" bestFit="1" customWidth="1"/>
    <col min="13" max="13" width="16.25" style="4" bestFit="1" customWidth="1"/>
    <col min="14" max="14" width="17.75" style="4" customWidth="1"/>
    <col min="15" max="16384" width="9.125" style="4"/>
  </cols>
  <sheetData>
    <row r="1" spans="1:19" s="9" customFormat="1" ht="40.75" x14ac:dyDescent="0.2">
      <c r="A1" s="14" t="s">
        <v>0</v>
      </c>
      <c r="B1" s="44" t="s">
        <v>1</v>
      </c>
      <c r="C1" s="44" t="s">
        <v>2</v>
      </c>
      <c r="D1" s="44" t="s">
        <v>3403</v>
      </c>
      <c r="E1" s="53" t="s">
        <v>3404</v>
      </c>
      <c r="F1" s="53" t="s">
        <v>3405</v>
      </c>
      <c r="G1" s="53" t="s">
        <v>3406</v>
      </c>
      <c r="H1" s="53" t="s">
        <v>3407</v>
      </c>
      <c r="I1" s="47" t="s">
        <v>3408</v>
      </c>
      <c r="J1" s="47" t="s">
        <v>2284</v>
      </c>
      <c r="K1" s="47" t="s">
        <v>3409</v>
      </c>
      <c r="L1" s="47" t="s">
        <v>2286</v>
      </c>
      <c r="M1" s="48" t="s">
        <v>3410</v>
      </c>
      <c r="N1" s="47" t="s">
        <v>3411</v>
      </c>
      <c r="S1"/>
    </row>
    <row r="2" spans="1:19" ht="25.85" hidden="1" x14ac:dyDescent="0.2">
      <c r="A2" s="12" t="s">
        <v>11</v>
      </c>
      <c r="B2" s="12" t="s">
        <v>12</v>
      </c>
      <c r="C2" s="37" t="s">
        <v>13</v>
      </c>
      <c r="D2" s="12" t="s">
        <v>14</v>
      </c>
      <c r="E2" s="12" t="s">
        <v>3412</v>
      </c>
      <c r="F2" s="12"/>
      <c r="G2" s="12"/>
      <c r="H2" s="12"/>
      <c r="I2" s="18"/>
      <c r="J2" s="18"/>
      <c r="K2" s="18"/>
      <c r="L2" s="18"/>
      <c r="M2" s="13"/>
      <c r="N2" s="19" t="s">
        <v>18</v>
      </c>
      <c r="O2" s="4" t="s">
        <v>2300</v>
      </c>
      <c r="S2"/>
    </row>
    <row r="3" spans="1:19" ht="51.65" x14ac:dyDescent="0.2">
      <c r="A3" s="12" t="s">
        <v>20</v>
      </c>
      <c r="B3" s="12" t="s">
        <v>21</v>
      </c>
      <c r="C3" s="51" t="s">
        <v>22</v>
      </c>
      <c r="D3" s="39" t="s">
        <v>3413</v>
      </c>
      <c r="E3" s="39" t="s">
        <v>3414</v>
      </c>
      <c r="F3" s="39" t="s">
        <v>3415</v>
      </c>
      <c r="G3" s="39" t="s">
        <v>3416</v>
      </c>
      <c r="H3" s="39" t="s">
        <v>3417</v>
      </c>
      <c r="I3" s="56"/>
      <c r="J3" s="56"/>
      <c r="K3" s="56"/>
      <c r="L3" s="56" t="s">
        <v>2303</v>
      </c>
      <c r="M3" s="57"/>
      <c r="N3" s="19" t="s">
        <v>18</v>
      </c>
      <c r="S3"/>
    </row>
    <row r="4" spans="1:19" ht="38.75" x14ac:dyDescent="0.2">
      <c r="A4" s="12" t="s">
        <v>27</v>
      </c>
      <c r="B4" s="12" t="s">
        <v>28</v>
      </c>
      <c r="C4" s="51" t="s">
        <v>29</v>
      </c>
      <c r="D4" s="39" t="s">
        <v>3418</v>
      </c>
      <c r="E4" s="39" t="s">
        <v>3414</v>
      </c>
      <c r="F4" s="39" t="s">
        <v>3419</v>
      </c>
      <c r="G4" s="39" t="s">
        <v>3420</v>
      </c>
      <c r="H4" s="39" t="s">
        <v>3421</v>
      </c>
      <c r="I4" s="56"/>
      <c r="J4" s="56"/>
      <c r="K4" s="56"/>
      <c r="L4" s="56"/>
      <c r="M4" s="57"/>
      <c r="N4" s="19" t="s">
        <v>18</v>
      </c>
      <c r="S4"/>
    </row>
    <row r="5" spans="1:19" ht="409.6" x14ac:dyDescent="0.2">
      <c r="A5" s="12" t="s">
        <v>27</v>
      </c>
      <c r="B5" s="12" t="s">
        <v>34</v>
      </c>
      <c r="C5" s="11" t="s">
        <v>35</v>
      </c>
      <c r="D5" s="1" t="s">
        <v>3422</v>
      </c>
      <c r="E5" s="1" t="s">
        <v>3414</v>
      </c>
      <c r="F5" s="39" t="s">
        <v>3423</v>
      </c>
      <c r="G5" s="1" t="s">
        <v>3729</v>
      </c>
      <c r="H5" s="1" t="s">
        <v>3424</v>
      </c>
      <c r="I5" s="56"/>
      <c r="J5" s="58"/>
      <c r="K5" s="56"/>
      <c r="L5" s="58"/>
      <c r="M5" s="57"/>
      <c r="N5" s="19" t="s">
        <v>18</v>
      </c>
      <c r="S5"/>
    </row>
    <row r="6" spans="1:19" ht="25.85" x14ac:dyDescent="0.2">
      <c r="A6" s="12" t="s">
        <v>27</v>
      </c>
      <c r="B6" s="12" t="s">
        <v>39</v>
      </c>
      <c r="C6" s="51" t="s">
        <v>40</v>
      </c>
      <c r="D6" s="39" t="s">
        <v>3425</v>
      </c>
      <c r="E6" s="39" t="s">
        <v>3414</v>
      </c>
      <c r="F6" s="39" t="s">
        <v>3426</v>
      </c>
      <c r="G6" s="39" t="s">
        <v>3713</v>
      </c>
      <c r="H6" s="39" t="s">
        <v>3427</v>
      </c>
      <c r="I6" s="56"/>
      <c r="J6" s="56"/>
      <c r="K6" s="56"/>
      <c r="L6" s="56"/>
      <c r="M6" s="57"/>
      <c r="N6" s="19" t="s">
        <v>18</v>
      </c>
      <c r="S6"/>
    </row>
    <row r="7" spans="1:19" ht="129.1" x14ac:dyDescent="0.2">
      <c r="A7" s="12" t="s">
        <v>27</v>
      </c>
      <c r="B7" s="4" t="s">
        <v>43</v>
      </c>
      <c r="C7" s="7" t="s">
        <v>44</v>
      </c>
      <c r="D7" s="4" t="s">
        <v>3428</v>
      </c>
      <c r="E7" s="4" t="s">
        <v>3414</v>
      </c>
      <c r="F7" s="39" t="s">
        <v>3429</v>
      </c>
      <c r="G7" s="4" t="s">
        <v>3430</v>
      </c>
      <c r="H7" s="4" t="s">
        <v>3431</v>
      </c>
      <c r="I7" s="59"/>
      <c r="J7" s="60"/>
      <c r="K7" s="59"/>
      <c r="L7" s="56" t="s">
        <v>2315</v>
      </c>
      <c r="M7" s="57"/>
      <c r="N7" s="19" t="s">
        <v>18</v>
      </c>
      <c r="S7"/>
    </row>
    <row r="8" spans="1:19" ht="38.75" x14ac:dyDescent="0.2">
      <c r="A8" s="12" t="s">
        <v>27</v>
      </c>
      <c r="B8" s="12" t="s">
        <v>47</v>
      </c>
      <c r="C8" s="37" t="s">
        <v>48</v>
      </c>
      <c r="D8" s="12" t="s">
        <v>3432</v>
      </c>
      <c r="E8" s="12" t="s">
        <v>3414</v>
      </c>
      <c r="F8" s="39" t="s">
        <v>3433</v>
      </c>
      <c r="G8" s="12" t="s">
        <v>3434</v>
      </c>
      <c r="H8" s="12" t="s">
        <v>3435</v>
      </c>
      <c r="I8" s="59"/>
      <c r="J8" s="59"/>
      <c r="K8" s="61"/>
      <c r="L8" s="59"/>
      <c r="M8" s="57"/>
      <c r="N8" s="19" t="s">
        <v>18</v>
      </c>
      <c r="O8" s="4" t="s">
        <v>2300</v>
      </c>
      <c r="S8"/>
    </row>
    <row r="9" spans="1:19" ht="167.8" x14ac:dyDescent="0.2">
      <c r="A9" s="12" t="s">
        <v>27</v>
      </c>
      <c r="B9" s="12" t="s">
        <v>51</v>
      </c>
      <c r="C9" s="37" t="s">
        <v>52</v>
      </c>
      <c r="D9" s="12" t="s">
        <v>3436</v>
      </c>
      <c r="E9" s="12" t="s">
        <v>3414</v>
      </c>
      <c r="F9" s="39" t="s">
        <v>3437</v>
      </c>
      <c r="G9" s="12" t="s">
        <v>3438</v>
      </c>
      <c r="H9" s="12" t="s">
        <v>3439</v>
      </c>
      <c r="I9" s="59"/>
      <c r="J9" s="59"/>
      <c r="K9" s="61"/>
      <c r="L9" s="59"/>
      <c r="M9" s="57"/>
      <c r="N9" s="19" t="s">
        <v>18</v>
      </c>
      <c r="O9" s="4" t="s">
        <v>2300</v>
      </c>
      <c r="S9"/>
    </row>
    <row r="10" spans="1:19" ht="25.85" x14ac:dyDescent="0.2">
      <c r="A10" s="12" t="s">
        <v>55</v>
      </c>
      <c r="B10" s="12" t="s">
        <v>56</v>
      </c>
      <c r="C10" s="51" t="s">
        <v>57</v>
      </c>
      <c r="D10" s="39" t="s">
        <v>3440</v>
      </c>
      <c r="E10" s="39" t="s">
        <v>3414</v>
      </c>
      <c r="F10" s="39" t="s">
        <v>3441</v>
      </c>
      <c r="G10" s="39" t="s">
        <v>3714</v>
      </c>
      <c r="H10" s="39" t="s">
        <v>3442</v>
      </c>
      <c r="I10" s="56"/>
      <c r="J10" s="56"/>
      <c r="K10" s="56"/>
      <c r="L10" s="56"/>
      <c r="M10" s="57"/>
      <c r="N10" s="19" t="s">
        <v>18</v>
      </c>
      <c r="S10"/>
    </row>
    <row r="11" spans="1:19" ht="193.6" x14ac:dyDescent="0.2">
      <c r="A11" s="12" t="s">
        <v>61</v>
      </c>
      <c r="B11" s="12" t="s">
        <v>62</v>
      </c>
      <c r="C11" s="37" t="s">
        <v>63</v>
      </c>
      <c r="D11" s="12" t="s">
        <v>64</v>
      </c>
      <c r="E11" s="39" t="s">
        <v>3414</v>
      </c>
      <c r="F11" s="39" t="s">
        <v>3443</v>
      </c>
      <c r="G11" s="12" t="s">
        <v>3730</v>
      </c>
      <c r="H11" s="12" t="s">
        <v>3727</v>
      </c>
      <c r="I11" s="59"/>
      <c r="J11" s="59"/>
      <c r="K11" s="59"/>
      <c r="L11" s="59" t="s">
        <v>2330</v>
      </c>
      <c r="M11" s="57"/>
      <c r="N11" s="19" t="s">
        <v>18</v>
      </c>
      <c r="S11"/>
    </row>
    <row r="12" spans="1:19" ht="51.65" x14ac:dyDescent="0.2">
      <c r="A12" s="12" t="s">
        <v>70</v>
      </c>
      <c r="B12" s="12" t="s">
        <v>71</v>
      </c>
      <c r="C12" s="51" t="s">
        <v>72</v>
      </c>
      <c r="D12" s="39" t="s">
        <v>73</v>
      </c>
      <c r="E12" s="39" t="s">
        <v>3414</v>
      </c>
      <c r="F12" s="39" t="s">
        <v>3444</v>
      </c>
      <c r="G12" s="39" t="s">
        <v>3445</v>
      </c>
      <c r="H12" s="39" t="s">
        <v>3446</v>
      </c>
      <c r="I12" s="59"/>
      <c r="J12" s="56"/>
      <c r="K12" s="56"/>
      <c r="L12" s="56" t="s">
        <v>2333</v>
      </c>
      <c r="M12" s="57"/>
      <c r="N12" s="19" t="s">
        <v>18</v>
      </c>
      <c r="S12"/>
    </row>
    <row r="13" spans="1:19" ht="142" x14ac:dyDescent="0.2">
      <c r="A13" s="12" t="s">
        <v>77</v>
      </c>
      <c r="B13" s="12" t="s">
        <v>78</v>
      </c>
      <c r="C13" s="51" t="s">
        <v>79</v>
      </c>
      <c r="D13" s="39" t="s">
        <v>3447</v>
      </c>
      <c r="E13" s="39" t="s">
        <v>3414</v>
      </c>
      <c r="F13" s="39" t="s">
        <v>3448</v>
      </c>
      <c r="G13" s="39" t="s">
        <v>3449</v>
      </c>
      <c r="H13" s="12" t="s">
        <v>3715</v>
      </c>
      <c r="I13" s="56"/>
      <c r="J13" s="56"/>
      <c r="K13" s="56"/>
      <c r="L13" s="56" t="s">
        <v>2335</v>
      </c>
      <c r="M13" s="57"/>
      <c r="N13" s="19" t="s">
        <v>18</v>
      </c>
      <c r="S13"/>
    </row>
    <row r="14" spans="1:19" ht="219.4" hidden="1" x14ac:dyDescent="0.2">
      <c r="A14" s="12" t="s">
        <v>86</v>
      </c>
      <c r="B14" s="12" t="s">
        <v>87</v>
      </c>
      <c r="C14" s="51" t="s">
        <v>88</v>
      </c>
      <c r="D14" s="39" t="s">
        <v>89</v>
      </c>
      <c r="E14" s="39" t="s">
        <v>3412</v>
      </c>
      <c r="F14" s="39"/>
      <c r="G14" s="39"/>
      <c r="H14" s="39"/>
      <c r="I14" s="22" t="s">
        <v>2336</v>
      </c>
      <c r="J14" s="22" t="s">
        <v>2337</v>
      </c>
      <c r="K14" s="50" t="s">
        <v>2338</v>
      </c>
      <c r="L14" s="22" t="s">
        <v>2339</v>
      </c>
      <c r="M14" s="13" t="e">
        <f>VLOOKUP(#REF!,#REF!, 5)</f>
        <v>#REF!</v>
      </c>
      <c r="N14" s="19" t="s">
        <v>18</v>
      </c>
      <c r="O14" s="12" t="s">
        <v>2300</v>
      </c>
      <c r="S14"/>
    </row>
    <row r="15" spans="1:19" ht="64.55" hidden="1" x14ac:dyDescent="0.2">
      <c r="A15" s="12" t="s">
        <v>86</v>
      </c>
      <c r="B15" s="12" t="s">
        <v>94</v>
      </c>
      <c r="C15" s="37" t="s">
        <v>95</v>
      </c>
      <c r="D15" s="12" t="s">
        <v>96</v>
      </c>
      <c r="E15" s="12" t="s">
        <v>3412</v>
      </c>
      <c r="F15" s="12"/>
      <c r="G15" s="12"/>
      <c r="H15" s="12"/>
      <c r="I15" s="18" t="s">
        <v>2341</v>
      </c>
      <c r="J15" s="18" t="s">
        <v>2342</v>
      </c>
      <c r="K15" s="18"/>
      <c r="L15" s="18"/>
      <c r="M15" s="13" t="e">
        <f>VLOOKUP(#REF!,#REF!, 5)</f>
        <v>#REF!</v>
      </c>
      <c r="N15" s="19" t="s">
        <v>18</v>
      </c>
      <c r="S15"/>
    </row>
    <row r="16" spans="1:19" ht="51.65" hidden="1" x14ac:dyDescent="0.2">
      <c r="A16" s="12" t="s">
        <v>99</v>
      </c>
      <c r="B16" s="12" t="s">
        <v>100</v>
      </c>
      <c r="C16" s="37" t="s">
        <v>101</v>
      </c>
      <c r="D16" s="12" t="s">
        <v>102</v>
      </c>
      <c r="E16" s="12" t="s">
        <v>3412</v>
      </c>
      <c r="F16" s="12"/>
      <c r="G16" s="12"/>
      <c r="H16" s="12"/>
      <c r="I16" s="18" t="s">
        <v>2343</v>
      </c>
      <c r="J16" s="18" t="s">
        <v>2344</v>
      </c>
      <c r="K16" s="18"/>
      <c r="L16" s="18"/>
      <c r="M16" s="13" t="e">
        <f>VLOOKUP(#REF!,#REF!, 5)</f>
        <v>#REF!</v>
      </c>
      <c r="N16" s="19" t="s">
        <v>18</v>
      </c>
      <c r="S16"/>
    </row>
    <row r="17" spans="1:19" ht="409.6" hidden="1" x14ac:dyDescent="0.2">
      <c r="A17" s="12" t="s">
        <v>99</v>
      </c>
      <c r="B17" s="12" t="s">
        <v>106</v>
      </c>
      <c r="C17" s="37" t="s">
        <v>107</v>
      </c>
      <c r="D17" s="12" t="s">
        <v>108</v>
      </c>
      <c r="E17" s="12" t="s">
        <v>3412</v>
      </c>
      <c r="F17" s="12"/>
      <c r="G17" s="12"/>
      <c r="H17" s="12"/>
      <c r="I17" s="18" t="s">
        <v>2345</v>
      </c>
      <c r="J17" s="18" t="s">
        <v>2346</v>
      </c>
      <c r="K17" s="18"/>
      <c r="L17" s="18"/>
      <c r="M17" s="13" t="e">
        <f>VLOOKUP(#REF!,#REF!, 5)</f>
        <v>#REF!</v>
      </c>
      <c r="N17" s="18" t="s">
        <v>18</v>
      </c>
      <c r="S17"/>
    </row>
    <row r="18" spans="1:19" ht="116.15" x14ac:dyDescent="0.2">
      <c r="A18" s="12" t="s">
        <v>111</v>
      </c>
      <c r="B18" s="12" t="s">
        <v>112</v>
      </c>
      <c r="C18" s="37" t="s">
        <v>113</v>
      </c>
      <c r="D18" s="12" t="s">
        <v>114</v>
      </c>
      <c r="E18" s="12" t="s">
        <v>3414</v>
      </c>
      <c r="F18" s="12" t="s">
        <v>3450</v>
      </c>
      <c r="G18" s="39" t="s">
        <v>3451</v>
      </c>
      <c r="H18" s="12" t="s">
        <v>3452</v>
      </c>
      <c r="I18" s="59"/>
      <c r="J18" s="59"/>
      <c r="K18" s="59"/>
      <c r="L18" s="59" t="s">
        <v>2349</v>
      </c>
      <c r="M18" s="57"/>
      <c r="N18" s="19" t="s">
        <v>18</v>
      </c>
      <c r="S18"/>
    </row>
    <row r="19" spans="1:19" ht="103.25" hidden="1" x14ac:dyDescent="0.2">
      <c r="A19" s="12" t="s">
        <v>118</v>
      </c>
      <c r="B19" s="12" t="s">
        <v>119</v>
      </c>
      <c r="C19" s="37" t="s">
        <v>120</v>
      </c>
      <c r="D19" s="12" t="s">
        <v>3453</v>
      </c>
      <c r="E19" s="12" t="s">
        <v>3412</v>
      </c>
      <c r="F19" s="12"/>
      <c r="G19" s="39"/>
      <c r="H19" s="12"/>
      <c r="I19" s="18" t="s">
        <v>2347</v>
      </c>
      <c r="J19" s="18"/>
      <c r="K19" s="18"/>
      <c r="L19" s="18"/>
      <c r="M19" s="13" t="e">
        <f>VLOOKUP(#REF!,#REF!, 5)</f>
        <v>#REF!</v>
      </c>
      <c r="N19" s="19" t="s">
        <v>18</v>
      </c>
      <c r="S19"/>
    </row>
    <row r="20" spans="1:19" ht="38.75" x14ac:dyDescent="0.2">
      <c r="A20" s="12" t="s">
        <v>123</v>
      </c>
      <c r="B20" s="12" t="s">
        <v>124</v>
      </c>
      <c r="C20" s="37" t="s">
        <v>125</v>
      </c>
      <c r="D20" s="12" t="s">
        <v>2350</v>
      </c>
      <c r="E20" s="12" t="s">
        <v>3414</v>
      </c>
      <c r="F20" s="12" t="s">
        <v>3454</v>
      </c>
      <c r="G20" s="12" t="s">
        <v>3455</v>
      </c>
      <c r="H20" s="12" t="s">
        <v>3456</v>
      </c>
      <c r="I20" s="59"/>
      <c r="J20" s="59"/>
      <c r="K20" s="59"/>
      <c r="L20" s="59"/>
      <c r="M20" s="57"/>
      <c r="N20" s="19" t="s">
        <v>18</v>
      </c>
      <c r="S20"/>
    </row>
    <row r="21" spans="1:19" ht="38.75" x14ac:dyDescent="0.2">
      <c r="A21" s="12" t="s">
        <v>129</v>
      </c>
      <c r="B21" s="12" t="s">
        <v>130</v>
      </c>
      <c r="C21" s="37" t="s">
        <v>131</v>
      </c>
      <c r="D21" s="12" t="s">
        <v>3457</v>
      </c>
      <c r="E21" s="12" t="s">
        <v>3414</v>
      </c>
      <c r="F21" s="12" t="s">
        <v>3458</v>
      </c>
      <c r="G21" s="12" t="s">
        <v>3459</v>
      </c>
      <c r="H21" s="12" t="s">
        <v>3724</v>
      </c>
      <c r="I21" s="59"/>
      <c r="J21" s="59"/>
      <c r="K21" s="59"/>
      <c r="L21" s="59" t="s">
        <v>2354</v>
      </c>
      <c r="M21" s="57"/>
      <c r="N21" s="19" t="s">
        <v>18</v>
      </c>
      <c r="S21"/>
    </row>
    <row r="22" spans="1:19" ht="38.75" x14ac:dyDescent="0.2">
      <c r="A22" s="12" t="s">
        <v>129</v>
      </c>
      <c r="B22" s="12" t="s">
        <v>135</v>
      </c>
      <c r="C22" s="37" t="s">
        <v>136</v>
      </c>
      <c r="D22" s="12" t="s">
        <v>3460</v>
      </c>
      <c r="E22" s="12" t="s">
        <v>3414</v>
      </c>
      <c r="F22" s="12" t="s">
        <v>3461</v>
      </c>
      <c r="G22" s="12" t="s">
        <v>3462</v>
      </c>
      <c r="H22" s="12" t="s">
        <v>3463</v>
      </c>
      <c r="I22" s="59"/>
      <c r="J22" s="59"/>
      <c r="K22" s="59"/>
      <c r="L22" s="61" t="s">
        <v>2357</v>
      </c>
      <c r="M22" s="57"/>
      <c r="N22" s="19" t="s">
        <v>18</v>
      </c>
      <c r="S22"/>
    </row>
    <row r="23" spans="1:19" ht="38.75" x14ac:dyDescent="0.2">
      <c r="A23" s="12" t="s">
        <v>129</v>
      </c>
      <c r="B23" s="12" t="s">
        <v>140</v>
      </c>
      <c r="C23" s="37" t="s">
        <v>141</v>
      </c>
      <c r="D23" s="12" t="s">
        <v>3464</v>
      </c>
      <c r="E23" s="12" t="s">
        <v>3414</v>
      </c>
      <c r="F23" s="12" t="s">
        <v>3465</v>
      </c>
      <c r="G23" s="12" t="s">
        <v>3466</v>
      </c>
      <c r="H23" s="12" t="s">
        <v>3467</v>
      </c>
      <c r="I23" s="59"/>
      <c r="J23" s="59"/>
      <c r="K23" s="59"/>
      <c r="L23" s="61" t="s">
        <v>2360</v>
      </c>
      <c r="M23" s="57"/>
      <c r="N23" s="19" t="s">
        <v>18</v>
      </c>
      <c r="O23" s="4" t="s">
        <v>2300</v>
      </c>
      <c r="S23"/>
    </row>
    <row r="24" spans="1:19" ht="51.65" x14ac:dyDescent="0.2">
      <c r="A24" s="12" t="s">
        <v>129</v>
      </c>
      <c r="B24" s="12" t="s">
        <v>144</v>
      </c>
      <c r="C24" s="37" t="s">
        <v>145</v>
      </c>
      <c r="D24" s="12" t="s">
        <v>3468</v>
      </c>
      <c r="E24" s="12" t="s">
        <v>3414</v>
      </c>
      <c r="F24" s="12" t="s">
        <v>3469</v>
      </c>
      <c r="G24" s="12" t="s">
        <v>3470</v>
      </c>
      <c r="H24" s="12" t="s">
        <v>3716</v>
      </c>
      <c r="I24" s="59"/>
      <c r="J24" s="59"/>
      <c r="K24" s="59"/>
      <c r="L24" s="59"/>
      <c r="M24" s="57"/>
      <c r="N24" s="19" t="s">
        <v>18</v>
      </c>
      <c r="S24"/>
    </row>
    <row r="25" spans="1:19" ht="38.75" hidden="1" x14ac:dyDescent="0.2">
      <c r="A25" s="12" t="s">
        <v>149</v>
      </c>
      <c r="B25" s="12" t="s">
        <v>150</v>
      </c>
      <c r="C25" s="37" t="s">
        <v>151</v>
      </c>
      <c r="D25" s="12" t="s">
        <v>152</v>
      </c>
      <c r="E25" s="12" t="s">
        <v>3412</v>
      </c>
      <c r="F25" s="12"/>
      <c r="G25" s="12"/>
      <c r="H25" s="12"/>
      <c r="I25" s="18" t="s">
        <v>2363</v>
      </c>
      <c r="J25" s="18" t="s">
        <v>2364</v>
      </c>
      <c r="K25" s="18"/>
      <c r="L25" s="18" t="s">
        <v>2365</v>
      </c>
      <c r="M25" s="13" t="e">
        <f>VLOOKUP(#REF!,#REF!, 5)</f>
        <v>#REF!</v>
      </c>
      <c r="N25" s="18" t="s">
        <v>18</v>
      </c>
      <c r="S25"/>
    </row>
    <row r="26" spans="1:19" ht="38.75" x14ac:dyDescent="0.2">
      <c r="A26" s="12" t="s">
        <v>156</v>
      </c>
      <c r="B26" s="12" t="s">
        <v>157</v>
      </c>
      <c r="C26" s="37" t="s">
        <v>158</v>
      </c>
      <c r="D26" s="12" t="s">
        <v>3471</v>
      </c>
      <c r="E26" s="12" t="s">
        <v>3414</v>
      </c>
      <c r="F26" s="12" t="s">
        <v>3472</v>
      </c>
      <c r="G26" s="12" t="s">
        <v>3473</v>
      </c>
      <c r="H26" s="12" t="s">
        <v>3474</v>
      </c>
      <c r="I26" s="59"/>
      <c r="J26" s="61"/>
      <c r="K26" s="61"/>
      <c r="L26" s="61" t="s">
        <v>2368</v>
      </c>
      <c r="M26" s="57"/>
      <c r="N26" s="19" t="s">
        <v>18</v>
      </c>
      <c r="S26"/>
    </row>
    <row r="27" spans="1:19" ht="25.85" x14ac:dyDescent="0.2">
      <c r="A27" s="12" t="s">
        <v>161</v>
      </c>
      <c r="B27" s="12" t="s">
        <v>162</v>
      </c>
      <c r="C27" s="37" t="s">
        <v>163</v>
      </c>
      <c r="D27" s="12" t="s">
        <v>3475</v>
      </c>
      <c r="E27" s="12" t="s">
        <v>3414</v>
      </c>
      <c r="F27" s="12" t="s">
        <v>3476</v>
      </c>
      <c r="G27" s="12" t="s">
        <v>3477</v>
      </c>
      <c r="H27" s="12" t="s">
        <v>3478</v>
      </c>
      <c r="I27" s="59"/>
      <c r="J27" s="59"/>
      <c r="K27" s="59"/>
      <c r="L27" s="61" t="s">
        <v>2371</v>
      </c>
      <c r="M27" s="57"/>
      <c r="N27" s="19" t="s">
        <v>18</v>
      </c>
      <c r="O27" s="4" t="s">
        <v>2300</v>
      </c>
      <c r="S27"/>
    </row>
    <row r="28" spans="1:19" ht="51.65" x14ac:dyDescent="0.2">
      <c r="A28" s="12" t="s">
        <v>168</v>
      </c>
      <c r="B28" s="12" t="s">
        <v>169</v>
      </c>
      <c r="C28" s="37" t="s">
        <v>170</v>
      </c>
      <c r="D28" s="12" t="s">
        <v>3479</v>
      </c>
      <c r="E28" s="12" t="s">
        <v>3414</v>
      </c>
      <c r="F28" s="12" t="s">
        <v>3480</v>
      </c>
      <c r="G28" s="12" t="s">
        <v>3481</v>
      </c>
      <c r="H28" s="12" t="s">
        <v>3439</v>
      </c>
      <c r="I28" s="59"/>
      <c r="J28" s="59"/>
      <c r="K28" s="59"/>
      <c r="L28" s="59"/>
      <c r="M28" s="57"/>
      <c r="N28" s="18" t="s">
        <v>18</v>
      </c>
      <c r="S28"/>
    </row>
    <row r="29" spans="1:19" ht="64.55" hidden="1" x14ac:dyDescent="0.2">
      <c r="A29" s="12" t="s">
        <v>175</v>
      </c>
      <c r="B29" s="12" t="s">
        <v>176</v>
      </c>
      <c r="C29" s="37" t="s">
        <v>177</v>
      </c>
      <c r="D29" s="12" t="s">
        <v>2373</v>
      </c>
      <c r="E29" s="12" t="s">
        <v>3412</v>
      </c>
      <c r="F29" s="12"/>
      <c r="G29" s="12"/>
      <c r="H29" s="12"/>
      <c r="I29" s="18" t="s">
        <v>2374</v>
      </c>
      <c r="J29" s="18" t="s">
        <v>2375</v>
      </c>
      <c r="K29" s="18"/>
      <c r="L29" s="19" t="s">
        <v>2376</v>
      </c>
      <c r="M29" s="13" t="e">
        <f>VLOOKUP(#REF!,#REF!, 5)</f>
        <v>#REF!</v>
      </c>
      <c r="N29" s="18" t="s">
        <v>18</v>
      </c>
      <c r="S29"/>
    </row>
    <row r="30" spans="1:19" ht="142" hidden="1" x14ac:dyDescent="0.2">
      <c r="A30" s="12" t="s">
        <v>181</v>
      </c>
      <c r="B30" s="12" t="s">
        <v>182</v>
      </c>
      <c r="C30" s="37" t="s">
        <v>183</v>
      </c>
      <c r="D30" s="12" t="s">
        <v>184</v>
      </c>
      <c r="E30" s="12" t="s">
        <v>3412</v>
      </c>
      <c r="F30" s="12"/>
      <c r="G30" s="12"/>
      <c r="H30" s="12"/>
      <c r="I30" s="18" t="s">
        <v>2378</v>
      </c>
      <c r="J30" s="18" t="s">
        <v>2379</v>
      </c>
      <c r="K30" s="19" t="s">
        <v>2380</v>
      </c>
      <c r="L30" s="19" t="s">
        <v>2381</v>
      </c>
      <c r="M30" s="13" t="e">
        <f>VLOOKUP(#REF!,#REF!, 5)</f>
        <v>#REF!</v>
      </c>
      <c r="N30" s="18" t="s">
        <v>18</v>
      </c>
      <c r="O30" s="4" t="s">
        <v>2300</v>
      </c>
      <c r="S30"/>
    </row>
    <row r="31" spans="1:19" ht="129.1" hidden="1" x14ac:dyDescent="0.2">
      <c r="A31" s="12" t="s">
        <v>188</v>
      </c>
      <c r="B31" s="12" t="s">
        <v>189</v>
      </c>
      <c r="C31" s="37" t="s">
        <v>190</v>
      </c>
      <c r="D31" s="12" t="s">
        <v>191</v>
      </c>
      <c r="E31" s="12" t="s">
        <v>3412</v>
      </c>
      <c r="F31" s="12"/>
      <c r="G31" s="12"/>
      <c r="H31" s="12"/>
      <c r="I31" s="22" t="s">
        <v>2384</v>
      </c>
      <c r="J31" s="18" t="s">
        <v>2385</v>
      </c>
      <c r="K31" s="18" t="s">
        <v>2386</v>
      </c>
      <c r="L31" s="19" t="s">
        <v>2387</v>
      </c>
      <c r="M31" s="13" t="e">
        <f>VLOOKUP(#REF!,#REF!, 5)</f>
        <v>#REF!</v>
      </c>
      <c r="N31" s="18" t="s">
        <v>18</v>
      </c>
      <c r="O31" s="4" t="s">
        <v>2300</v>
      </c>
      <c r="S31"/>
    </row>
    <row r="32" spans="1:19" ht="103.25" hidden="1" x14ac:dyDescent="0.2">
      <c r="A32" s="12" t="s">
        <v>195</v>
      </c>
      <c r="B32" s="12" t="s">
        <v>196</v>
      </c>
      <c r="C32" s="37" t="s">
        <v>197</v>
      </c>
      <c r="D32" s="12" t="s">
        <v>198</v>
      </c>
      <c r="E32" s="12" t="s">
        <v>3412</v>
      </c>
      <c r="F32" s="12"/>
      <c r="G32" s="12"/>
      <c r="H32" s="12"/>
      <c r="I32" s="22" t="s">
        <v>2389</v>
      </c>
      <c r="J32" s="18" t="s">
        <v>2390</v>
      </c>
      <c r="K32" s="18" t="s">
        <v>2391</v>
      </c>
      <c r="L32" s="18" t="s">
        <v>2392</v>
      </c>
      <c r="M32" s="13" t="e">
        <f>VLOOKUP(#REF!,#REF!, 5)</f>
        <v>#REF!</v>
      </c>
      <c r="N32" s="18" t="s">
        <v>18</v>
      </c>
      <c r="S32"/>
    </row>
    <row r="33" spans="1:19" ht="271.05" hidden="1" x14ac:dyDescent="0.2">
      <c r="A33" s="12" t="s">
        <v>202</v>
      </c>
      <c r="B33" s="12" t="s">
        <v>203</v>
      </c>
      <c r="C33" s="37" t="s">
        <v>204</v>
      </c>
      <c r="D33" s="12" t="s">
        <v>205</v>
      </c>
      <c r="E33" s="12" t="s">
        <v>3412</v>
      </c>
      <c r="F33" s="12"/>
      <c r="G33" s="12"/>
      <c r="H33" s="12"/>
      <c r="I33" s="22" t="s">
        <v>2394</v>
      </c>
      <c r="J33" s="18" t="s">
        <v>2395</v>
      </c>
      <c r="K33" s="19" t="s">
        <v>2396</v>
      </c>
      <c r="L33" s="19" t="s">
        <v>2397</v>
      </c>
      <c r="M33" s="13" t="e">
        <f>VLOOKUP(#REF!,#REF!, 5)</f>
        <v>#REF!</v>
      </c>
      <c r="N33" s="18" t="s">
        <v>18</v>
      </c>
      <c r="S33"/>
    </row>
    <row r="34" spans="1:19" ht="271.05" hidden="1" x14ac:dyDescent="0.2">
      <c r="A34" s="12" t="s">
        <v>208</v>
      </c>
      <c r="B34" s="12" t="s">
        <v>209</v>
      </c>
      <c r="C34" s="37" t="s">
        <v>210</v>
      </c>
      <c r="D34" s="12" t="s">
        <v>211</v>
      </c>
      <c r="E34" s="12" t="s">
        <v>3412</v>
      </c>
      <c r="F34" s="12"/>
      <c r="G34" s="12"/>
      <c r="H34" s="12"/>
      <c r="I34" s="22" t="s">
        <v>214</v>
      </c>
      <c r="J34" s="18" t="s">
        <v>2399</v>
      </c>
      <c r="K34" s="19" t="s">
        <v>2400</v>
      </c>
      <c r="L34" s="18"/>
      <c r="M34" s="13" t="e">
        <f>VLOOKUP(#REF!,#REF!, 5)</f>
        <v>#REF!</v>
      </c>
      <c r="N34" s="18" t="s">
        <v>18</v>
      </c>
      <c r="S34"/>
    </row>
    <row r="35" spans="1:19" ht="51.65" x14ac:dyDescent="0.2">
      <c r="A35" s="12" t="s">
        <v>215</v>
      </c>
      <c r="B35" s="12" t="s">
        <v>216</v>
      </c>
      <c r="C35" s="37" t="s">
        <v>217</v>
      </c>
      <c r="D35" s="12" t="s">
        <v>3482</v>
      </c>
      <c r="E35" s="12" t="s">
        <v>3414</v>
      </c>
      <c r="F35" s="12" t="s">
        <v>3483</v>
      </c>
      <c r="G35" s="12" t="s">
        <v>3484</v>
      </c>
      <c r="H35" s="12" t="s">
        <v>3485</v>
      </c>
      <c r="I35" s="59"/>
      <c r="J35" s="59"/>
      <c r="K35" s="59"/>
      <c r="L35" s="61" t="s">
        <v>2405</v>
      </c>
      <c r="M35" s="57"/>
      <c r="N35" s="18" t="s">
        <v>18</v>
      </c>
      <c r="S35"/>
    </row>
    <row r="36" spans="1:19" ht="38.75" x14ac:dyDescent="0.2">
      <c r="A36" s="12" t="s">
        <v>215</v>
      </c>
      <c r="B36" s="12" t="s">
        <v>222</v>
      </c>
      <c r="C36" s="51" t="s">
        <v>223</v>
      </c>
      <c r="D36" s="39" t="s">
        <v>3486</v>
      </c>
      <c r="E36" s="39" t="s">
        <v>3414</v>
      </c>
      <c r="F36" s="12" t="s">
        <v>3487</v>
      </c>
      <c r="G36" s="39" t="s">
        <v>3488</v>
      </c>
      <c r="H36" s="39" t="s">
        <v>3489</v>
      </c>
      <c r="I36" s="56"/>
      <c r="J36" s="56"/>
      <c r="K36" s="56"/>
      <c r="L36" s="61" t="s">
        <v>2408</v>
      </c>
      <c r="M36" s="57"/>
      <c r="N36" s="18" t="s">
        <v>18</v>
      </c>
      <c r="S36"/>
    </row>
    <row r="37" spans="1:19" ht="64.55" hidden="1" x14ac:dyDescent="0.2">
      <c r="A37" s="12" t="s">
        <v>227</v>
      </c>
      <c r="B37" s="12" t="s">
        <v>228</v>
      </c>
      <c r="C37" s="37" t="s">
        <v>229</v>
      </c>
      <c r="D37" s="12" t="s">
        <v>230</v>
      </c>
      <c r="E37" s="12" t="s">
        <v>3412</v>
      </c>
      <c r="F37" s="12"/>
      <c r="G37" s="12"/>
      <c r="H37" s="12"/>
      <c r="I37" s="18" t="s">
        <v>2409</v>
      </c>
      <c r="J37" s="18" t="s">
        <v>2410</v>
      </c>
      <c r="K37" s="18"/>
      <c r="L37" s="18"/>
      <c r="M37" s="13" t="e">
        <f>VLOOKUP(#REF!,#REF!, 5)</f>
        <v>#REF!</v>
      </c>
      <c r="N37" s="18" t="s">
        <v>18</v>
      </c>
      <c r="S37"/>
    </row>
    <row r="38" spans="1:19" ht="193.6" x14ac:dyDescent="0.2">
      <c r="A38" s="12" t="s">
        <v>227</v>
      </c>
      <c r="B38" s="12" t="s">
        <v>233</v>
      </c>
      <c r="C38" s="37" t="s">
        <v>234</v>
      </c>
      <c r="D38" s="12" t="s">
        <v>235</v>
      </c>
      <c r="E38" s="12" t="s">
        <v>3414</v>
      </c>
      <c r="F38" s="12" t="s">
        <v>3490</v>
      </c>
      <c r="G38" s="12" t="s">
        <v>3491</v>
      </c>
      <c r="H38" s="12" t="s">
        <v>3492</v>
      </c>
      <c r="I38" s="59"/>
      <c r="J38" s="59"/>
      <c r="K38" s="59"/>
      <c r="L38" s="59"/>
      <c r="M38" s="57"/>
      <c r="N38" s="18" t="s">
        <v>18</v>
      </c>
      <c r="S38"/>
    </row>
    <row r="39" spans="1:19" ht="38.75" hidden="1" x14ac:dyDescent="0.2">
      <c r="A39" s="12" t="s">
        <v>237</v>
      </c>
      <c r="B39" s="12" t="s">
        <v>238</v>
      </c>
      <c r="C39" s="51" t="s">
        <v>239</v>
      </c>
      <c r="D39" s="39" t="s">
        <v>240</v>
      </c>
      <c r="E39" s="39" t="s">
        <v>3412</v>
      </c>
      <c r="F39" s="39"/>
      <c r="G39" s="39"/>
      <c r="H39" s="39"/>
      <c r="I39" s="22" t="s">
        <v>2412</v>
      </c>
      <c r="J39" s="22"/>
      <c r="K39" s="22"/>
      <c r="L39" s="22"/>
      <c r="M39" s="13" t="e">
        <f>VLOOKUP(#REF!,#REF!, 5)</f>
        <v>#REF!</v>
      </c>
      <c r="N39" s="18" t="s">
        <v>18</v>
      </c>
      <c r="S39"/>
    </row>
    <row r="40" spans="1:19" ht="258.14999999999998" hidden="1" x14ac:dyDescent="0.2">
      <c r="A40" s="12" t="s">
        <v>242</v>
      </c>
      <c r="B40" s="12" t="s">
        <v>243</v>
      </c>
      <c r="C40" s="37" t="s">
        <v>244</v>
      </c>
      <c r="D40" s="12" t="s">
        <v>245</v>
      </c>
      <c r="E40" s="12" t="s">
        <v>3412</v>
      </c>
      <c r="F40" s="12"/>
      <c r="G40" s="12"/>
      <c r="H40" s="12"/>
      <c r="I40" s="18" t="s">
        <v>2413</v>
      </c>
      <c r="J40" s="18" t="s">
        <v>2414</v>
      </c>
      <c r="K40" s="18"/>
      <c r="L40" s="18"/>
      <c r="M40" s="13" t="e">
        <f>VLOOKUP(#REF!,#REF!, 5)</f>
        <v>#REF!</v>
      </c>
      <c r="N40" s="18" t="s">
        <v>18</v>
      </c>
      <c r="S40"/>
    </row>
    <row r="41" spans="1:19" ht="206.5" x14ac:dyDescent="0.2">
      <c r="A41" s="12" t="s">
        <v>248</v>
      </c>
      <c r="B41" s="12" t="s">
        <v>249</v>
      </c>
      <c r="C41" s="37" t="s">
        <v>250</v>
      </c>
      <c r="D41" s="12" t="s">
        <v>3493</v>
      </c>
      <c r="E41" s="12" t="s">
        <v>3414</v>
      </c>
      <c r="F41" s="12" t="s">
        <v>3494</v>
      </c>
      <c r="G41" s="12" t="s">
        <v>3495</v>
      </c>
      <c r="H41" s="12" t="s">
        <v>3496</v>
      </c>
      <c r="I41" s="59"/>
      <c r="J41" s="59"/>
      <c r="K41" s="61"/>
      <c r="L41" s="59" t="s">
        <v>2418</v>
      </c>
      <c r="M41" s="57"/>
      <c r="N41" s="18" t="s">
        <v>18</v>
      </c>
      <c r="S41"/>
    </row>
    <row r="42" spans="1:19" ht="154.9" hidden="1" x14ac:dyDescent="0.2">
      <c r="A42" s="12" t="s">
        <v>255</v>
      </c>
      <c r="B42" s="12" t="s">
        <v>256</v>
      </c>
      <c r="C42" s="37" t="s">
        <v>257</v>
      </c>
      <c r="D42" s="12" t="s">
        <v>258</v>
      </c>
      <c r="E42" s="12" t="s">
        <v>3412</v>
      </c>
      <c r="F42" s="12"/>
      <c r="G42" s="12"/>
      <c r="H42" s="12"/>
      <c r="I42" s="18" t="s">
        <v>260</v>
      </c>
      <c r="J42" s="18" t="s">
        <v>2420</v>
      </c>
      <c r="K42" s="18"/>
      <c r="L42" s="18" t="s">
        <v>2421</v>
      </c>
      <c r="M42" s="13" t="e">
        <f>VLOOKUP(#REF!,#REF!, 5)</f>
        <v>#REF!</v>
      </c>
      <c r="N42" s="18" t="s">
        <v>18</v>
      </c>
      <c r="S42"/>
    </row>
    <row r="43" spans="1:19" ht="38.75" x14ac:dyDescent="0.2">
      <c r="A43" s="12" t="s">
        <v>261</v>
      </c>
      <c r="B43" s="12" t="s">
        <v>262</v>
      </c>
      <c r="C43" s="51" t="s">
        <v>263</v>
      </c>
      <c r="D43" s="39" t="s">
        <v>3497</v>
      </c>
      <c r="E43" s="39" t="s">
        <v>3414</v>
      </c>
      <c r="F43" s="39" t="s">
        <v>3498</v>
      </c>
      <c r="G43" s="39" t="s">
        <v>3499</v>
      </c>
      <c r="H43" s="39" t="s">
        <v>3500</v>
      </c>
      <c r="I43" s="56"/>
      <c r="J43" s="56"/>
      <c r="K43" s="56"/>
      <c r="L43" s="59" t="s">
        <v>2424</v>
      </c>
      <c r="M43" s="57"/>
      <c r="N43" s="18" t="s">
        <v>18</v>
      </c>
      <c r="S43"/>
    </row>
    <row r="44" spans="1:19" ht="103.25" hidden="1" x14ac:dyDescent="0.2">
      <c r="A44" s="12" t="s">
        <v>261</v>
      </c>
      <c r="B44" s="12" t="s">
        <v>268</v>
      </c>
      <c r="C44" s="37" t="s">
        <v>269</v>
      </c>
      <c r="D44" s="12" t="s">
        <v>2425</v>
      </c>
      <c r="E44" s="12" t="s">
        <v>3412</v>
      </c>
      <c r="F44" s="12"/>
      <c r="G44" s="12"/>
      <c r="H44" s="12"/>
      <c r="I44" s="18" t="s">
        <v>2345</v>
      </c>
      <c r="J44" s="22" t="s">
        <v>2426</v>
      </c>
      <c r="K44" s="22"/>
      <c r="L44" s="22"/>
      <c r="M44" s="13" t="e">
        <f>VLOOKUP(#REF!,#REF!, 5)</f>
        <v>#REF!</v>
      </c>
      <c r="N44" s="18" t="s">
        <v>18</v>
      </c>
      <c r="S44"/>
    </row>
    <row r="45" spans="1:19" ht="38.75" x14ac:dyDescent="0.2">
      <c r="A45" s="12" t="s">
        <v>261</v>
      </c>
      <c r="B45" s="12" t="s">
        <v>272</v>
      </c>
      <c r="C45" s="37" t="s">
        <v>273</v>
      </c>
      <c r="D45" s="12" t="s">
        <v>3501</v>
      </c>
      <c r="E45" s="12" t="s">
        <v>3414</v>
      </c>
      <c r="F45" s="12" t="s">
        <v>3502</v>
      </c>
      <c r="G45" s="12" t="s">
        <v>3503</v>
      </c>
      <c r="H45" s="12" t="s">
        <v>3504</v>
      </c>
      <c r="I45" s="59"/>
      <c r="J45" s="56"/>
      <c r="K45" s="56"/>
      <c r="L45" s="56" t="s">
        <v>2428</v>
      </c>
      <c r="M45" s="57"/>
      <c r="N45" s="18" t="s">
        <v>18</v>
      </c>
      <c r="S45"/>
    </row>
    <row r="46" spans="1:19" ht="335.55" x14ac:dyDescent="0.2">
      <c r="A46" s="12" t="s">
        <v>275</v>
      </c>
      <c r="B46" s="12" t="s">
        <v>276</v>
      </c>
      <c r="C46" s="51" t="s">
        <v>277</v>
      </c>
      <c r="D46" s="39" t="s">
        <v>3505</v>
      </c>
      <c r="E46" s="39" t="s">
        <v>3414</v>
      </c>
      <c r="F46" s="12" t="s">
        <v>3506</v>
      </c>
      <c r="G46" s="39" t="s">
        <v>3507</v>
      </c>
      <c r="H46" s="39" t="s">
        <v>3728</v>
      </c>
      <c r="I46" s="56"/>
      <c r="J46" s="56"/>
      <c r="K46" s="62"/>
      <c r="L46" s="56" t="s">
        <v>2432</v>
      </c>
      <c r="M46" s="57"/>
      <c r="N46" s="18" t="s">
        <v>18</v>
      </c>
      <c r="S46"/>
    </row>
    <row r="47" spans="1:19" ht="142" x14ac:dyDescent="0.2">
      <c r="A47" s="12" t="s">
        <v>283</v>
      </c>
      <c r="B47" s="12" t="s">
        <v>284</v>
      </c>
      <c r="C47" s="37" t="s">
        <v>285</v>
      </c>
      <c r="D47" s="12" t="s">
        <v>286</v>
      </c>
      <c r="E47" s="12" t="s">
        <v>3414</v>
      </c>
      <c r="F47" s="12" t="s">
        <v>3508</v>
      </c>
      <c r="G47" s="12" t="s">
        <v>3509</v>
      </c>
      <c r="H47" s="12" t="s">
        <v>3510</v>
      </c>
      <c r="I47" s="56"/>
      <c r="J47" s="59"/>
      <c r="K47" s="59"/>
      <c r="L47" s="59" t="s">
        <v>2437</v>
      </c>
      <c r="M47" s="57"/>
      <c r="N47" s="18" t="s">
        <v>18</v>
      </c>
      <c r="S47"/>
    </row>
    <row r="48" spans="1:19" ht="154.9" hidden="1" x14ac:dyDescent="0.2">
      <c r="A48" s="12" t="s">
        <v>289</v>
      </c>
      <c r="B48" s="12" t="s">
        <v>290</v>
      </c>
      <c r="C48" s="37" t="s">
        <v>291</v>
      </c>
      <c r="D48" s="12" t="s">
        <v>292</v>
      </c>
      <c r="E48" s="12" t="s">
        <v>3412</v>
      </c>
      <c r="F48" s="12"/>
      <c r="G48" s="12"/>
      <c r="H48" s="12"/>
      <c r="I48" s="18" t="s">
        <v>2439</v>
      </c>
      <c r="J48" s="18" t="s">
        <v>2440</v>
      </c>
      <c r="K48" s="18"/>
      <c r="L48" s="18" t="s">
        <v>2441</v>
      </c>
      <c r="M48" s="13" t="e">
        <f>VLOOKUP(#REF!,#REF!, 5)</f>
        <v>#REF!</v>
      </c>
      <c r="N48" s="18" t="s">
        <v>18</v>
      </c>
      <c r="S48"/>
    </row>
    <row r="49" spans="1:19" ht="154.9" hidden="1" x14ac:dyDescent="0.2">
      <c r="A49" s="12" t="s">
        <v>295</v>
      </c>
      <c r="B49" s="12" t="s">
        <v>296</v>
      </c>
      <c r="C49" s="37" t="s">
        <v>297</v>
      </c>
      <c r="D49" s="12" t="s">
        <v>298</v>
      </c>
      <c r="E49" s="12" t="s">
        <v>3412</v>
      </c>
      <c r="F49" s="12"/>
      <c r="G49" s="12"/>
      <c r="H49" s="12"/>
      <c r="I49" s="18" t="s">
        <v>2442</v>
      </c>
      <c r="J49" s="18" t="s">
        <v>2443</v>
      </c>
      <c r="K49" s="18"/>
      <c r="L49" s="18" t="s">
        <v>2444</v>
      </c>
      <c r="M49" s="13" t="e">
        <f>VLOOKUP(#REF!,#REF!, 5)</f>
        <v>#REF!</v>
      </c>
      <c r="N49" s="18" t="s">
        <v>18</v>
      </c>
      <c r="S49"/>
    </row>
    <row r="50" spans="1:19" ht="409.6" hidden="1" x14ac:dyDescent="0.2">
      <c r="A50" s="12" t="s">
        <v>295</v>
      </c>
      <c r="B50" s="12" t="s">
        <v>300</v>
      </c>
      <c r="C50" s="37" t="s">
        <v>301</v>
      </c>
      <c r="D50" s="12" t="s">
        <v>302</v>
      </c>
      <c r="E50" s="12" t="s">
        <v>3412</v>
      </c>
      <c r="F50" s="12"/>
      <c r="G50" s="12"/>
      <c r="H50" s="12"/>
      <c r="I50" s="18" t="s">
        <v>2445</v>
      </c>
      <c r="J50" s="18" t="s">
        <v>2446</v>
      </c>
      <c r="K50" s="18"/>
      <c r="L50" s="18" t="s">
        <v>2444</v>
      </c>
      <c r="M50" s="13" t="e">
        <f>VLOOKUP(#REF!,#REF!, 5)</f>
        <v>#REF!</v>
      </c>
      <c r="N50" s="18" t="s">
        <v>18</v>
      </c>
      <c r="S50"/>
    </row>
    <row r="51" spans="1:19" ht="142" hidden="1" x14ac:dyDescent="0.2">
      <c r="A51" s="12" t="s">
        <v>303</v>
      </c>
      <c r="B51" s="12" t="s">
        <v>304</v>
      </c>
      <c r="C51" s="51" t="s">
        <v>305</v>
      </c>
      <c r="D51" s="39" t="s">
        <v>306</v>
      </c>
      <c r="E51" s="39" t="s">
        <v>3412</v>
      </c>
      <c r="F51" s="39"/>
      <c r="G51" s="39"/>
      <c r="H51" s="39"/>
      <c r="I51" s="22" t="s">
        <v>308</v>
      </c>
      <c r="J51" s="22" t="s">
        <v>2447</v>
      </c>
      <c r="K51" s="19" t="s">
        <v>2448</v>
      </c>
      <c r="L51" s="22"/>
      <c r="M51" s="13" t="e">
        <f>VLOOKUP(#REF!,#REF!, 5)</f>
        <v>#REF!</v>
      </c>
      <c r="N51" s="18" t="s">
        <v>18</v>
      </c>
      <c r="S51"/>
    </row>
    <row r="52" spans="1:19" ht="361.4" x14ac:dyDescent="0.2">
      <c r="A52" s="12" t="s">
        <v>309</v>
      </c>
      <c r="B52" s="12" t="s">
        <v>310</v>
      </c>
      <c r="C52" s="37" t="s">
        <v>311</v>
      </c>
      <c r="D52" s="12" t="s">
        <v>3511</v>
      </c>
      <c r="E52" s="12" t="s">
        <v>3414</v>
      </c>
      <c r="F52" s="12" t="s">
        <v>3512</v>
      </c>
      <c r="G52" s="12" t="s">
        <v>3513</v>
      </c>
      <c r="H52" s="12" t="s">
        <v>3725</v>
      </c>
      <c r="I52" s="59"/>
      <c r="J52" s="59"/>
      <c r="K52" s="59"/>
      <c r="L52" s="61" t="s">
        <v>2453</v>
      </c>
      <c r="M52" s="57"/>
      <c r="N52" s="18" t="s">
        <v>18</v>
      </c>
      <c r="S52"/>
    </row>
    <row r="53" spans="1:19" ht="180.7" hidden="1" x14ac:dyDescent="0.2">
      <c r="A53" s="12" t="s">
        <v>309</v>
      </c>
      <c r="B53" s="12" t="s">
        <v>317</v>
      </c>
      <c r="C53" s="51" t="s">
        <v>318</v>
      </c>
      <c r="D53" s="39" t="s">
        <v>3514</v>
      </c>
      <c r="E53" s="39" t="s">
        <v>3412</v>
      </c>
      <c r="F53" s="12"/>
      <c r="G53" s="39"/>
      <c r="H53" s="39"/>
      <c r="I53" s="22" t="s">
        <v>2455</v>
      </c>
      <c r="J53" s="22" t="s">
        <v>2456</v>
      </c>
      <c r="K53" s="22"/>
      <c r="L53" s="22" t="s">
        <v>2457</v>
      </c>
      <c r="M53" s="13" t="e">
        <f>VLOOKUP(#REF!,#REF!, 5)</f>
        <v>#REF!</v>
      </c>
      <c r="N53" s="18" t="s">
        <v>18</v>
      </c>
      <c r="S53"/>
    </row>
    <row r="54" spans="1:19" ht="142" hidden="1" x14ac:dyDescent="0.2">
      <c r="A54" s="12" t="s">
        <v>323</v>
      </c>
      <c r="B54" s="12" t="s">
        <v>324</v>
      </c>
      <c r="C54" s="37" t="s">
        <v>325</v>
      </c>
      <c r="D54" s="12" t="s">
        <v>3515</v>
      </c>
      <c r="E54" s="12" t="s">
        <v>3412</v>
      </c>
      <c r="F54" s="12"/>
      <c r="G54" s="12"/>
      <c r="H54" s="12"/>
      <c r="I54" s="18" t="s">
        <v>2459</v>
      </c>
      <c r="J54" s="18" t="s">
        <v>2460</v>
      </c>
      <c r="K54" s="18"/>
      <c r="L54" s="18" t="s">
        <v>2461</v>
      </c>
      <c r="M54" s="13" t="e">
        <f>VLOOKUP(#REF!,#REF!, 5)</f>
        <v>#REF!</v>
      </c>
      <c r="N54" s="18" t="s">
        <v>18</v>
      </c>
      <c r="S54"/>
    </row>
    <row r="55" spans="1:19" ht="409.6" hidden="1" x14ac:dyDescent="0.2">
      <c r="A55" s="12" t="s">
        <v>330</v>
      </c>
      <c r="B55" s="12" t="s">
        <v>331</v>
      </c>
      <c r="C55" s="37" t="s">
        <v>332</v>
      </c>
      <c r="D55" s="12" t="s">
        <v>333</v>
      </c>
      <c r="E55" s="12" t="s">
        <v>3412</v>
      </c>
      <c r="F55" s="12"/>
      <c r="G55" s="12"/>
      <c r="H55" s="12"/>
      <c r="I55" s="18" t="s">
        <v>2462</v>
      </c>
      <c r="J55" s="18" t="s">
        <v>2463</v>
      </c>
      <c r="K55" s="18"/>
      <c r="L55" s="18" t="s">
        <v>2464</v>
      </c>
      <c r="M55" s="13" t="e">
        <f>VLOOKUP(#REF!,#REF!, 5)</f>
        <v>#REF!</v>
      </c>
      <c r="N55" s="18" t="s">
        <v>18</v>
      </c>
      <c r="S55"/>
    </row>
    <row r="56" spans="1:19" ht="116.15" hidden="1" x14ac:dyDescent="0.2">
      <c r="A56" s="12" t="s">
        <v>336</v>
      </c>
      <c r="B56" s="12" t="s">
        <v>337</v>
      </c>
      <c r="C56" s="37" t="s">
        <v>338</v>
      </c>
      <c r="D56" s="12" t="s">
        <v>339</v>
      </c>
      <c r="E56" s="12" t="s">
        <v>3412</v>
      </c>
      <c r="F56" s="12"/>
      <c r="G56" s="12"/>
      <c r="H56" s="12"/>
      <c r="I56" s="18" t="s">
        <v>2465</v>
      </c>
      <c r="J56" s="18" t="s">
        <v>2466</v>
      </c>
      <c r="K56" s="18"/>
      <c r="L56" s="18" t="s">
        <v>2349</v>
      </c>
      <c r="M56" s="13" t="e">
        <f>VLOOKUP(#REF!,#REF!, 5)</f>
        <v>#REF!</v>
      </c>
      <c r="N56" s="18" t="s">
        <v>18</v>
      </c>
      <c r="S56"/>
    </row>
    <row r="57" spans="1:19" ht="154.9" x14ac:dyDescent="0.2">
      <c r="A57" s="12" t="s">
        <v>342</v>
      </c>
      <c r="B57" s="12" t="s">
        <v>343</v>
      </c>
      <c r="C57" s="51" t="s">
        <v>344</v>
      </c>
      <c r="D57" s="39" t="s">
        <v>2467</v>
      </c>
      <c r="E57" s="39" t="s">
        <v>3414</v>
      </c>
      <c r="F57" s="39" t="s">
        <v>3516</v>
      </c>
      <c r="G57" s="39" t="s">
        <v>3517</v>
      </c>
      <c r="H57" s="39" t="s">
        <v>3717</v>
      </c>
      <c r="I57" s="56"/>
      <c r="J57" s="56"/>
      <c r="K57" s="56"/>
      <c r="L57" s="61" t="s">
        <v>2472</v>
      </c>
      <c r="M57" s="57"/>
      <c r="N57" s="18" t="s">
        <v>18</v>
      </c>
      <c r="S57"/>
    </row>
    <row r="58" spans="1:19" ht="38.75" hidden="1" x14ac:dyDescent="0.2">
      <c r="A58" s="12" t="s">
        <v>342</v>
      </c>
      <c r="B58" s="12" t="s">
        <v>349</v>
      </c>
      <c r="C58" s="37" t="s">
        <v>350</v>
      </c>
      <c r="D58" s="12" t="s">
        <v>351</v>
      </c>
      <c r="E58" s="12" t="s">
        <v>3412</v>
      </c>
      <c r="F58" s="12"/>
      <c r="G58" s="12"/>
      <c r="H58" s="12"/>
      <c r="I58" s="18" t="s">
        <v>2474</v>
      </c>
      <c r="J58" s="18" t="s">
        <v>2475</v>
      </c>
      <c r="K58" s="18"/>
      <c r="L58" s="18" t="s">
        <v>2476</v>
      </c>
      <c r="M58" s="13" t="e">
        <f>VLOOKUP(#REF!,#REF!, 5)</f>
        <v>#REF!</v>
      </c>
      <c r="N58" s="18" t="s">
        <v>18</v>
      </c>
      <c r="S58"/>
    </row>
    <row r="59" spans="1:19" ht="38.75" hidden="1" x14ac:dyDescent="0.2">
      <c r="A59" s="12" t="s">
        <v>342</v>
      </c>
      <c r="B59" s="12" t="s">
        <v>353</v>
      </c>
      <c r="C59" s="37" t="s">
        <v>354</v>
      </c>
      <c r="D59" s="12" t="s">
        <v>355</v>
      </c>
      <c r="E59" s="12" t="s">
        <v>3412</v>
      </c>
      <c r="F59" s="12"/>
      <c r="G59" s="12"/>
      <c r="H59" s="12"/>
      <c r="I59" s="18" t="s">
        <v>2345</v>
      </c>
      <c r="J59" s="18"/>
      <c r="K59" s="18"/>
      <c r="L59" s="18" t="s">
        <v>2477</v>
      </c>
      <c r="M59" s="13" t="e">
        <f>VLOOKUP(#REF!,#REF!, 5)</f>
        <v>#REF!</v>
      </c>
      <c r="N59" s="18" t="s">
        <v>18</v>
      </c>
      <c r="S59"/>
    </row>
    <row r="60" spans="1:19" ht="335.55" x14ac:dyDescent="0.2">
      <c r="A60" s="12" t="s">
        <v>357</v>
      </c>
      <c r="B60" s="12" t="s">
        <v>358</v>
      </c>
      <c r="C60" s="37" t="s">
        <v>359</v>
      </c>
      <c r="D60" s="12" t="s">
        <v>3518</v>
      </c>
      <c r="E60" s="12" t="s">
        <v>3414</v>
      </c>
      <c r="F60" s="39" t="s">
        <v>3519</v>
      </c>
      <c r="G60" s="12" t="s">
        <v>3520</v>
      </c>
      <c r="H60" s="12" t="s">
        <v>3521</v>
      </c>
      <c r="I60" s="59"/>
      <c r="J60" s="59"/>
      <c r="K60" s="59"/>
      <c r="L60" s="61" t="s">
        <v>2481</v>
      </c>
      <c r="M60" s="57"/>
      <c r="N60" s="18" t="s">
        <v>18</v>
      </c>
      <c r="S60"/>
    </row>
    <row r="61" spans="1:19" ht="245.25" hidden="1" x14ac:dyDescent="0.2">
      <c r="A61" s="12" t="s">
        <v>362</v>
      </c>
      <c r="B61" s="12" t="s">
        <v>363</v>
      </c>
      <c r="C61" s="51" t="s">
        <v>364</v>
      </c>
      <c r="D61" s="39" t="s">
        <v>365</v>
      </c>
      <c r="E61" s="39" t="s">
        <v>3412</v>
      </c>
      <c r="F61" s="39"/>
      <c r="G61" s="39"/>
      <c r="H61" s="39"/>
      <c r="I61" s="18" t="s">
        <v>2482</v>
      </c>
      <c r="J61" s="18" t="s">
        <v>2483</v>
      </c>
      <c r="K61" s="18"/>
      <c r="L61" s="18" t="s">
        <v>2484</v>
      </c>
      <c r="M61" s="13" t="e">
        <f>VLOOKUP(#REF!,#REF!, 5)</f>
        <v>#REF!</v>
      </c>
      <c r="N61" s="18" t="s">
        <v>18</v>
      </c>
      <c r="S61"/>
    </row>
    <row r="62" spans="1:19" ht="374.3" hidden="1" x14ac:dyDescent="0.2">
      <c r="A62" s="12" t="s">
        <v>368</v>
      </c>
      <c r="B62" s="12" t="s">
        <v>369</v>
      </c>
      <c r="C62" s="37" t="s">
        <v>370</v>
      </c>
      <c r="D62" s="12" t="s">
        <v>2485</v>
      </c>
      <c r="E62" s="12" t="s">
        <v>3412</v>
      </c>
      <c r="F62" s="12"/>
      <c r="G62" s="12"/>
      <c r="H62" s="12"/>
      <c r="I62" s="18" t="s">
        <v>2487</v>
      </c>
      <c r="J62" s="18" t="s">
        <v>2488</v>
      </c>
      <c r="K62" s="18"/>
      <c r="L62" s="18"/>
      <c r="M62" s="13" t="e">
        <f>VLOOKUP(#REF!,#REF!, 5)</f>
        <v>#REF!</v>
      </c>
      <c r="N62" s="18" t="s">
        <v>18</v>
      </c>
      <c r="S62"/>
    </row>
    <row r="63" spans="1:19" ht="51.65" x14ac:dyDescent="0.2">
      <c r="A63" s="12" t="s">
        <v>368</v>
      </c>
      <c r="B63" s="12" t="s">
        <v>375</v>
      </c>
      <c r="C63" s="37" t="s">
        <v>376</v>
      </c>
      <c r="D63" s="12" t="s">
        <v>3522</v>
      </c>
      <c r="E63" s="12" t="s">
        <v>3414</v>
      </c>
      <c r="F63" s="12" t="s">
        <v>3523</v>
      </c>
      <c r="G63" s="12" t="s">
        <v>3524</v>
      </c>
      <c r="H63" s="12" t="s">
        <v>3525</v>
      </c>
      <c r="I63" s="59"/>
      <c r="J63" s="59"/>
      <c r="K63" s="59"/>
      <c r="L63" s="59" t="s">
        <v>2492</v>
      </c>
      <c r="M63" s="57"/>
      <c r="N63" s="18" t="s">
        <v>18</v>
      </c>
      <c r="S63"/>
    </row>
    <row r="64" spans="1:19" ht="51.65" x14ac:dyDescent="0.2">
      <c r="A64" s="12" t="s">
        <v>368</v>
      </c>
      <c r="B64" s="12" t="s">
        <v>380</v>
      </c>
      <c r="C64" s="37" t="s">
        <v>381</v>
      </c>
      <c r="D64" s="12" t="s">
        <v>2493</v>
      </c>
      <c r="E64" s="12" t="s">
        <v>3414</v>
      </c>
      <c r="F64" s="12" t="s">
        <v>3523</v>
      </c>
      <c r="G64" s="12" t="s">
        <v>3526</v>
      </c>
      <c r="H64" s="12" t="s">
        <v>3527</v>
      </c>
      <c r="I64" s="59"/>
      <c r="J64" s="59"/>
      <c r="K64" s="59"/>
      <c r="L64" s="59" t="s">
        <v>2492</v>
      </c>
      <c r="M64" s="57"/>
      <c r="N64" s="18" t="s">
        <v>18</v>
      </c>
      <c r="S64"/>
    </row>
    <row r="65" spans="1:19" ht="51.65" hidden="1" x14ac:dyDescent="0.2">
      <c r="A65" s="12" t="s">
        <v>368</v>
      </c>
      <c r="B65" s="12" t="s">
        <v>385</v>
      </c>
      <c r="C65" s="37" t="s">
        <v>386</v>
      </c>
      <c r="D65" s="12" t="s">
        <v>387</v>
      </c>
      <c r="E65" s="12" t="s">
        <v>3412</v>
      </c>
      <c r="F65" s="12"/>
      <c r="G65" s="12"/>
      <c r="H65" s="12"/>
      <c r="I65" s="18" t="s">
        <v>2497</v>
      </c>
      <c r="J65" s="18" t="s">
        <v>2498</v>
      </c>
      <c r="K65" s="18"/>
      <c r="L65" s="18" t="s">
        <v>2499</v>
      </c>
      <c r="M65" s="13" t="e">
        <f>VLOOKUP(#REF!,#REF!, 5)</f>
        <v>#REF!</v>
      </c>
      <c r="N65" s="18" t="s">
        <v>18</v>
      </c>
      <c r="S65"/>
    </row>
    <row r="66" spans="1:19" ht="337.6" hidden="1" x14ac:dyDescent="0.2">
      <c r="A66" s="12" t="s">
        <v>368</v>
      </c>
      <c r="B66" s="12" t="s">
        <v>389</v>
      </c>
      <c r="C66" s="37" t="s">
        <v>390</v>
      </c>
      <c r="D66" s="12" t="s">
        <v>391</v>
      </c>
      <c r="E66" s="12" t="s">
        <v>3412</v>
      </c>
      <c r="F66" s="12"/>
      <c r="G66" s="12"/>
      <c r="H66" s="12"/>
      <c r="I66" s="18" t="s">
        <v>2500</v>
      </c>
      <c r="J66" s="18" t="s">
        <v>2501</v>
      </c>
      <c r="K66" s="18"/>
      <c r="L66" s="19" t="s">
        <v>2502</v>
      </c>
      <c r="M66" s="13" t="e">
        <f>VLOOKUP(#REF!,#REF!, 5)</f>
        <v>#REF!</v>
      </c>
      <c r="N66" s="18" t="s">
        <v>18</v>
      </c>
      <c r="S66"/>
    </row>
    <row r="67" spans="1:19" ht="206.5" hidden="1" x14ac:dyDescent="0.2">
      <c r="A67" s="12" t="s">
        <v>368</v>
      </c>
      <c r="B67" s="12" t="s">
        <v>393</v>
      </c>
      <c r="C67" s="37" t="s">
        <v>394</v>
      </c>
      <c r="D67" s="12" t="s">
        <v>395</v>
      </c>
      <c r="E67" s="12" t="s">
        <v>3412</v>
      </c>
      <c r="F67" s="12"/>
      <c r="G67" s="12"/>
      <c r="H67" s="12"/>
      <c r="I67" s="18" t="s">
        <v>2504</v>
      </c>
      <c r="J67" s="18"/>
      <c r="K67" s="18"/>
      <c r="L67" s="19" t="s">
        <v>2505</v>
      </c>
      <c r="M67" s="13" t="e">
        <f>VLOOKUP(#REF!,#REF!, 5)</f>
        <v>#REF!</v>
      </c>
      <c r="N67" s="18" t="s">
        <v>18</v>
      </c>
      <c r="S67"/>
    </row>
    <row r="68" spans="1:19" ht="409.6" hidden="1" x14ac:dyDescent="0.2">
      <c r="A68" s="12" t="s">
        <v>398</v>
      </c>
      <c r="B68" s="12" t="s">
        <v>399</v>
      </c>
      <c r="C68" s="37" t="s">
        <v>400</v>
      </c>
      <c r="D68" s="12" t="s">
        <v>3528</v>
      </c>
      <c r="E68" s="12" t="s">
        <v>3412</v>
      </c>
      <c r="F68" s="12"/>
      <c r="G68" s="12"/>
      <c r="H68" s="12"/>
      <c r="I68" s="18" t="s">
        <v>2507</v>
      </c>
      <c r="J68" s="19" t="s">
        <v>2508</v>
      </c>
      <c r="K68" s="19" t="s">
        <v>2509</v>
      </c>
      <c r="L68" s="19" t="s">
        <v>2510</v>
      </c>
      <c r="M68" s="13" t="e">
        <f>VLOOKUP(#REF!,#REF!, 5)</f>
        <v>#REF!</v>
      </c>
      <c r="N68" s="18" t="s">
        <v>18</v>
      </c>
      <c r="S68"/>
    </row>
    <row r="69" spans="1:19" ht="335.55" hidden="1" x14ac:dyDescent="0.2">
      <c r="A69" s="12" t="s">
        <v>404</v>
      </c>
      <c r="B69" s="12" t="s">
        <v>405</v>
      </c>
      <c r="C69" s="37" t="s">
        <v>406</v>
      </c>
      <c r="D69" s="12" t="s">
        <v>407</v>
      </c>
      <c r="E69" s="12" t="s">
        <v>3412</v>
      </c>
      <c r="F69" s="12"/>
      <c r="G69" s="12"/>
      <c r="H69" s="12"/>
      <c r="I69" s="18" t="s">
        <v>2513</v>
      </c>
      <c r="J69" s="18" t="s">
        <v>2514</v>
      </c>
      <c r="K69" s="18"/>
      <c r="L69" s="18"/>
      <c r="M69" s="13" t="e">
        <f>VLOOKUP(#REF!,#REF!, 5)</f>
        <v>#REF!</v>
      </c>
      <c r="N69" s="18" t="s">
        <v>18</v>
      </c>
      <c r="S69"/>
    </row>
    <row r="70" spans="1:19" ht="142" x14ac:dyDescent="0.2">
      <c r="A70" s="12" t="s">
        <v>410</v>
      </c>
      <c r="B70" s="12" t="s">
        <v>411</v>
      </c>
      <c r="C70" s="37" t="s">
        <v>412</v>
      </c>
      <c r="D70" s="12" t="s">
        <v>2515</v>
      </c>
      <c r="E70" s="12" t="s">
        <v>3414</v>
      </c>
      <c r="F70" s="12" t="s">
        <v>3529</v>
      </c>
      <c r="G70" s="12" t="s">
        <v>3530</v>
      </c>
      <c r="H70" s="12" t="s">
        <v>3531</v>
      </c>
      <c r="I70" s="59"/>
      <c r="J70" s="59"/>
      <c r="K70" s="59"/>
      <c r="L70" s="61" t="s">
        <v>2518</v>
      </c>
      <c r="M70" s="57"/>
      <c r="N70" s="18" t="s">
        <v>18</v>
      </c>
      <c r="S70"/>
    </row>
    <row r="71" spans="1:19" ht="38.75" x14ac:dyDescent="0.2">
      <c r="A71" s="12" t="s">
        <v>416</v>
      </c>
      <c r="B71" s="12" t="s">
        <v>417</v>
      </c>
      <c r="C71" s="51" t="s">
        <v>418</v>
      </c>
      <c r="D71" s="39" t="s">
        <v>3532</v>
      </c>
      <c r="E71" s="39" t="s">
        <v>3414</v>
      </c>
      <c r="F71" s="39" t="s">
        <v>3533</v>
      </c>
      <c r="G71" s="39" t="s">
        <v>3718</v>
      </c>
      <c r="H71" s="39" t="s">
        <v>3534</v>
      </c>
      <c r="I71" s="56"/>
      <c r="J71" s="56"/>
      <c r="K71" s="61"/>
      <c r="L71" s="56" t="s">
        <v>2521</v>
      </c>
      <c r="M71" s="57"/>
      <c r="N71" s="18" t="s">
        <v>18</v>
      </c>
      <c r="S71"/>
    </row>
    <row r="72" spans="1:19" ht="409.6" hidden="1" x14ac:dyDescent="0.2">
      <c r="A72" s="12" t="s">
        <v>423</v>
      </c>
      <c r="B72" s="12" t="s">
        <v>424</v>
      </c>
      <c r="C72" s="51" t="s">
        <v>425</v>
      </c>
      <c r="D72" s="39" t="s">
        <v>3535</v>
      </c>
      <c r="E72" s="39" t="s">
        <v>3412</v>
      </c>
      <c r="F72" s="39"/>
      <c r="G72" s="39"/>
      <c r="H72" s="39"/>
      <c r="I72" s="22" t="s">
        <v>422</v>
      </c>
      <c r="J72" s="22" t="s">
        <v>2523</v>
      </c>
      <c r="K72" s="22"/>
      <c r="L72" s="22"/>
      <c r="M72" s="13" t="e">
        <f>VLOOKUP(#REF!,#REF!, 5)</f>
        <v>#REF!</v>
      </c>
      <c r="N72" s="18" t="s">
        <v>18</v>
      </c>
      <c r="S72"/>
    </row>
    <row r="73" spans="1:19" ht="193.6" x14ac:dyDescent="0.2">
      <c r="A73" s="12" t="s">
        <v>428</v>
      </c>
      <c r="B73" s="12" t="s">
        <v>429</v>
      </c>
      <c r="C73" s="37" t="s">
        <v>430</v>
      </c>
      <c r="D73" s="12" t="s">
        <v>3536</v>
      </c>
      <c r="E73" s="12" t="s">
        <v>3414</v>
      </c>
      <c r="F73" s="12" t="s">
        <v>3537</v>
      </c>
      <c r="G73" s="12" t="s">
        <v>3538</v>
      </c>
      <c r="H73" s="12" t="s">
        <v>3539</v>
      </c>
      <c r="I73" s="59"/>
      <c r="J73" s="59"/>
      <c r="K73" s="59"/>
      <c r="L73" s="56" t="s">
        <v>2527</v>
      </c>
      <c r="M73" s="57"/>
      <c r="N73" s="18" t="s">
        <v>18</v>
      </c>
      <c r="S73"/>
    </row>
    <row r="74" spans="1:19" ht="77.45" hidden="1" x14ac:dyDescent="0.2">
      <c r="A74" s="12" t="s">
        <v>428</v>
      </c>
      <c r="B74" s="12" t="s">
        <v>435</v>
      </c>
      <c r="C74" s="37" t="s">
        <v>436</v>
      </c>
      <c r="D74" s="12" t="s">
        <v>437</v>
      </c>
      <c r="E74" s="12" t="s">
        <v>3412</v>
      </c>
      <c r="F74" s="12"/>
      <c r="G74" s="12"/>
      <c r="H74" s="12"/>
      <c r="I74" s="18" t="s">
        <v>2529</v>
      </c>
      <c r="J74" s="18" t="s">
        <v>2530</v>
      </c>
      <c r="K74" s="18"/>
      <c r="L74" s="18" t="s">
        <v>2492</v>
      </c>
      <c r="M74" s="13" t="e">
        <f>VLOOKUP(#REF!,#REF!, 5)</f>
        <v>#REF!</v>
      </c>
      <c r="N74" s="18" t="s">
        <v>18</v>
      </c>
      <c r="S74"/>
    </row>
    <row r="75" spans="1:19" ht="154.9" hidden="1" x14ac:dyDescent="0.2">
      <c r="A75" s="12" t="s">
        <v>428</v>
      </c>
      <c r="B75" s="12" t="s">
        <v>440</v>
      </c>
      <c r="C75" s="37" t="s">
        <v>441</v>
      </c>
      <c r="D75" s="12" t="s">
        <v>442</v>
      </c>
      <c r="E75" s="12" t="s">
        <v>3412</v>
      </c>
      <c r="F75" s="12"/>
      <c r="G75" s="12"/>
      <c r="H75" s="12"/>
      <c r="I75" s="18" t="s">
        <v>2531</v>
      </c>
      <c r="J75" s="18" t="s">
        <v>2532</v>
      </c>
      <c r="K75" s="18" t="s">
        <v>2533</v>
      </c>
      <c r="L75" s="19" t="s">
        <v>2534</v>
      </c>
      <c r="M75" s="13" t="e">
        <f>VLOOKUP(#REF!,#REF!, 5)</f>
        <v>#REF!</v>
      </c>
      <c r="N75" s="18" t="s">
        <v>18</v>
      </c>
      <c r="S75"/>
    </row>
    <row r="76" spans="1:19" ht="116.15" x14ac:dyDescent="0.2">
      <c r="A76" s="12" t="s">
        <v>444</v>
      </c>
      <c r="B76" s="12" t="s">
        <v>445</v>
      </c>
      <c r="C76" s="37" t="s">
        <v>446</v>
      </c>
      <c r="D76" s="12" t="s">
        <v>3540</v>
      </c>
      <c r="E76" s="12" t="s">
        <v>3414</v>
      </c>
      <c r="F76" s="12" t="s">
        <v>445</v>
      </c>
      <c r="G76" s="12" t="s">
        <v>3541</v>
      </c>
      <c r="H76" s="12" t="s">
        <v>3542</v>
      </c>
      <c r="I76" s="59"/>
      <c r="J76" s="59"/>
      <c r="K76" s="59"/>
      <c r="L76" s="59" t="s">
        <v>2538</v>
      </c>
      <c r="M76" s="57"/>
      <c r="N76" s="18" t="s">
        <v>18</v>
      </c>
      <c r="S76"/>
    </row>
    <row r="77" spans="1:19" ht="90.35" hidden="1" x14ac:dyDescent="0.2">
      <c r="A77" s="12" t="s">
        <v>450</v>
      </c>
      <c r="B77" s="12" t="s">
        <v>451</v>
      </c>
      <c r="C77" s="37" t="s">
        <v>452</v>
      </c>
      <c r="D77" s="12" t="s">
        <v>453</v>
      </c>
      <c r="E77" s="12" t="s">
        <v>3412</v>
      </c>
      <c r="F77" s="12"/>
      <c r="G77" s="12"/>
      <c r="H77" s="12"/>
      <c r="I77" s="18" t="s">
        <v>2539</v>
      </c>
      <c r="J77" s="18" t="s">
        <v>2540</v>
      </c>
      <c r="K77" s="18"/>
      <c r="L77" s="18" t="s">
        <v>2541</v>
      </c>
      <c r="M77" s="13" t="e">
        <f>VLOOKUP(#REF!,#REF!, 5)</f>
        <v>#REF!</v>
      </c>
      <c r="N77" s="18" t="s">
        <v>18</v>
      </c>
      <c r="S77"/>
    </row>
    <row r="78" spans="1:19" ht="409.6" hidden="1" x14ac:dyDescent="0.2">
      <c r="A78" s="12" t="s">
        <v>455</v>
      </c>
      <c r="B78" s="12" t="s">
        <v>456</v>
      </c>
      <c r="C78" s="37" t="s">
        <v>457</v>
      </c>
      <c r="D78" s="12" t="s">
        <v>458</v>
      </c>
      <c r="E78" s="12" t="s">
        <v>3412</v>
      </c>
      <c r="F78" s="12"/>
      <c r="G78" s="12"/>
      <c r="H78" s="12"/>
      <c r="I78" s="18" t="s">
        <v>2542</v>
      </c>
      <c r="J78" s="19" t="s">
        <v>2543</v>
      </c>
      <c r="K78" s="19" t="s">
        <v>2544</v>
      </c>
      <c r="L78" s="19" t="s">
        <v>2545</v>
      </c>
      <c r="M78" s="13" t="e">
        <f>VLOOKUP(#REF!,#REF!, 5)</f>
        <v>#REF!</v>
      </c>
      <c r="N78" s="18" t="s">
        <v>18</v>
      </c>
      <c r="O78" s="12" t="s">
        <v>2547</v>
      </c>
      <c r="S78"/>
    </row>
    <row r="79" spans="1:19" ht="219.4" x14ac:dyDescent="0.2">
      <c r="A79" s="12" t="s">
        <v>460</v>
      </c>
      <c r="B79" s="12" t="s">
        <v>461</v>
      </c>
      <c r="C79" s="37" t="s">
        <v>462</v>
      </c>
      <c r="D79" s="12" t="s">
        <v>2548</v>
      </c>
      <c r="E79" s="12" t="s">
        <v>3414</v>
      </c>
      <c r="F79" s="12" t="s">
        <v>3543</v>
      </c>
      <c r="G79" s="12" t="s">
        <v>3544</v>
      </c>
      <c r="H79" s="12" t="s">
        <v>3545</v>
      </c>
      <c r="I79" s="59"/>
      <c r="J79" s="59"/>
      <c r="K79" s="59"/>
      <c r="L79" s="61" t="s">
        <v>2552</v>
      </c>
      <c r="M79" s="57"/>
      <c r="N79" s="18" t="s">
        <v>18</v>
      </c>
      <c r="S79"/>
    </row>
    <row r="80" spans="1:19" ht="38.75" x14ac:dyDescent="0.2">
      <c r="A80" s="12" t="s">
        <v>468</v>
      </c>
      <c r="B80" s="12" t="s">
        <v>469</v>
      </c>
      <c r="C80" s="51" t="s">
        <v>470</v>
      </c>
      <c r="D80" s="39" t="s">
        <v>3546</v>
      </c>
      <c r="E80" s="39" t="s">
        <v>3414</v>
      </c>
      <c r="F80" s="39" t="s">
        <v>3547</v>
      </c>
      <c r="G80" s="39" t="s">
        <v>3548</v>
      </c>
      <c r="H80" s="39" t="s">
        <v>3549</v>
      </c>
      <c r="I80" s="56"/>
      <c r="J80" s="56"/>
      <c r="K80" s="56"/>
      <c r="L80" s="56"/>
      <c r="M80" s="57"/>
      <c r="N80" s="18" t="s">
        <v>18</v>
      </c>
      <c r="S80"/>
    </row>
    <row r="81" spans="1:19" ht="38.75" x14ac:dyDescent="0.2">
      <c r="A81" s="12" t="s">
        <v>474</v>
      </c>
      <c r="B81" s="12" t="s">
        <v>475</v>
      </c>
      <c r="C81" s="37" t="s">
        <v>476</v>
      </c>
      <c r="D81" s="12" t="s">
        <v>2554</v>
      </c>
      <c r="E81" s="12" t="s">
        <v>3414</v>
      </c>
      <c r="F81" s="12" t="s">
        <v>3550</v>
      </c>
      <c r="G81" s="12" t="s">
        <v>3551</v>
      </c>
      <c r="H81" s="12" t="s">
        <v>3552</v>
      </c>
      <c r="I81" s="59"/>
      <c r="J81" s="59"/>
      <c r="K81" s="59"/>
      <c r="L81" s="59" t="s">
        <v>2557</v>
      </c>
      <c r="M81" s="57"/>
      <c r="N81" s="18" t="s">
        <v>18</v>
      </c>
      <c r="S81"/>
    </row>
    <row r="82" spans="1:19" ht="90.35" x14ac:dyDescent="0.2">
      <c r="A82" s="12" t="s">
        <v>480</v>
      </c>
      <c r="B82" s="12" t="s">
        <v>481</v>
      </c>
      <c r="C82" s="37" t="s">
        <v>482</v>
      </c>
      <c r="D82" s="12" t="s">
        <v>483</v>
      </c>
      <c r="E82" s="12" t="s">
        <v>3414</v>
      </c>
      <c r="F82" s="12" t="s">
        <v>3553</v>
      </c>
      <c r="G82" s="12" t="s">
        <v>3719</v>
      </c>
      <c r="H82" s="12" t="s">
        <v>3554</v>
      </c>
      <c r="I82" s="59"/>
      <c r="J82" s="59"/>
      <c r="K82" s="59"/>
      <c r="L82" s="59"/>
      <c r="M82" s="57"/>
      <c r="N82" s="18" t="s">
        <v>18</v>
      </c>
      <c r="S82"/>
    </row>
    <row r="83" spans="1:19" ht="409.6" x14ac:dyDescent="0.2">
      <c r="A83" s="12" t="s">
        <v>485</v>
      </c>
      <c r="B83" s="12" t="s">
        <v>486</v>
      </c>
      <c r="C83" s="51" t="s">
        <v>487</v>
      </c>
      <c r="D83" s="39" t="s">
        <v>2559</v>
      </c>
      <c r="E83" s="39" t="s">
        <v>3414</v>
      </c>
      <c r="F83" s="39" t="s">
        <v>3555</v>
      </c>
      <c r="G83" s="39" t="s">
        <v>3556</v>
      </c>
      <c r="H83" s="39" t="s">
        <v>3557</v>
      </c>
      <c r="I83" s="56"/>
      <c r="J83" s="56"/>
      <c r="K83" s="56"/>
      <c r="L83" s="61" t="s">
        <v>2564</v>
      </c>
      <c r="M83" s="57"/>
      <c r="N83" s="18" t="s">
        <v>18</v>
      </c>
      <c r="S83"/>
    </row>
    <row r="84" spans="1:19" ht="180.7" hidden="1" x14ac:dyDescent="0.2">
      <c r="A84" s="12" t="s">
        <v>492</v>
      </c>
      <c r="B84" s="12" t="s">
        <v>493</v>
      </c>
      <c r="C84" s="37" t="s">
        <v>494</v>
      </c>
      <c r="D84" s="12" t="s">
        <v>2566</v>
      </c>
      <c r="E84" s="12" t="s">
        <v>3412</v>
      </c>
      <c r="F84" s="12"/>
      <c r="G84" s="12"/>
      <c r="H84" s="12"/>
      <c r="I84" s="22" t="s">
        <v>2345</v>
      </c>
      <c r="J84" s="22" t="s">
        <v>2567</v>
      </c>
      <c r="K84" s="22"/>
      <c r="L84" s="22" t="s">
        <v>2568</v>
      </c>
      <c r="M84" s="13" t="e">
        <f>VLOOKUP(#REF!,#REF!, 5)</f>
        <v>#REF!</v>
      </c>
      <c r="N84" s="18" t="s">
        <v>18</v>
      </c>
      <c r="S84"/>
    </row>
    <row r="85" spans="1:19" ht="142" hidden="1" x14ac:dyDescent="0.2">
      <c r="A85" s="12" t="s">
        <v>497</v>
      </c>
      <c r="B85" s="12" t="s">
        <v>498</v>
      </c>
      <c r="C85" s="51" t="s">
        <v>499</v>
      </c>
      <c r="D85" s="39" t="s">
        <v>500</v>
      </c>
      <c r="E85" s="39" t="s">
        <v>3412</v>
      </c>
      <c r="F85" s="39"/>
      <c r="G85" s="39"/>
      <c r="H85" s="39"/>
      <c r="I85" s="22" t="s">
        <v>2569</v>
      </c>
      <c r="J85" s="22" t="s">
        <v>2570</v>
      </c>
      <c r="K85" s="22"/>
      <c r="L85" s="22" t="s">
        <v>2571</v>
      </c>
      <c r="M85" s="13" t="e">
        <f>VLOOKUP(#REF!,#REF!, 5)</f>
        <v>#REF!</v>
      </c>
      <c r="N85" s="18" t="s">
        <v>18</v>
      </c>
      <c r="S85"/>
    </row>
    <row r="86" spans="1:19" ht="64.55" hidden="1" x14ac:dyDescent="0.2">
      <c r="A86" s="12" t="s">
        <v>503</v>
      </c>
      <c r="B86" s="12" t="s">
        <v>504</v>
      </c>
      <c r="C86" s="51" t="s">
        <v>505</v>
      </c>
      <c r="D86" s="39" t="s">
        <v>506</v>
      </c>
      <c r="E86" s="39" t="s">
        <v>3412</v>
      </c>
      <c r="F86" s="39"/>
      <c r="G86" s="39"/>
      <c r="H86" s="39"/>
      <c r="I86" s="22" t="s">
        <v>2345</v>
      </c>
      <c r="J86" s="22" t="s">
        <v>2572</v>
      </c>
      <c r="K86" s="22"/>
      <c r="L86" s="22"/>
      <c r="M86" s="13" t="e">
        <f>VLOOKUP(#REF!,#REF!, 5)</f>
        <v>#REF!</v>
      </c>
      <c r="N86" s="18" t="s">
        <v>18</v>
      </c>
      <c r="S86"/>
    </row>
    <row r="87" spans="1:19" ht="51.65" hidden="1" x14ac:dyDescent="0.2">
      <c r="A87" s="12" t="s">
        <v>508</v>
      </c>
      <c r="B87" s="12" t="s">
        <v>509</v>
      </c>
      <c r="C87" s="37" t="s">
        <v>510</v>
      </c>
      <c r="D87" s="12" t="s">
        <v>511</v>
      </c>
      <c r="E87" s="12" t="s">
        <v>3412</v>
      </c>
      <c r="F87" s="12"/>
      <c r="G87" s="12"/>
      <c r="H87" s="12"/>
      <c r="I87" s="22" t="s">
        <v>2345</v>
      </c>
      <c r="J87" s="18" t="s">
        <v>2573</v>
      </c>
      <c r="K87" s="18"/>
      <c r="L87" s="18"/>
      <c r="M87" s="13" t="e">
        <f>VLOOKUP(#REF!,#REF!, 5)</f>
        <v>#REF!</v>
      </c>
      <c r="N87" s="18" t="s">
        <v>18</v>
      </c>
      <c r="S87"/>
    </row>
    <row r="88" spans="1:19" ht="51.65" hidden="1" x14ac:dyDescent="0.2">
      <c r="A88" s="12" t="s">
        <v>513</v>
      </c>
      <c r="B88" s="12" t="s">
        <v>514</v>
      </c>
      <c r="C88" s="51" t="s">
        <v>515</v>
      </c>
      <c r="D88" s="39" t="s">
        <v>516</v>
      </c>
      <c r="E88" s="39" t="s">
        <v>3412</v>
      </c>
      <c r="F88" s="39"/>
      <c r="G88" s="39"/>
      <c r="H88" s="39"/>
      <c r="I88" s="22" t="s">
        <v>2345</v>
      </c>
      <c r="J88" s="18" t="s">
        <v>2574</v>
      </c>
      <c r="K88" s="18"/>
      <c r="L88" s="18"/>
      <c r="M88" s="13" t="e">
        <f>VLOOKUP(#REF!,#REF!, 5)</f>
        <v>#REF!</v>
      </c>
      <c r="N88" s="18" t="s">
        <v>18</v>
      </c>
      <c r="S88"/>
    </row>
    <row r="89" spans="1:19" ht="51.65" hidden="1" x14ac:dyDescent="0.2">
      <c r="A89" s="12" t="s">
        <v>519</v>
      </c>
      <c r="B89" s="12" t="s">
        <v>520</v>
      </c>
      <c r="C89" s="37" t="s">
        <v>521</v>
      </c>
      <c r="D89" s="12" t="s">
        <v>522</v>
      </c>
      <c r="E89" s="12" t="s">
        <v>3412</v>
      </c>
      <c r="F89" s="12"/>
      <c r="G89" s="12"/>
      <c r="H89" s="12"/>
      <c r="I89" s="22" t="s">
        <v>2345</v>
      </c>
      <c r="J89" s="18" t="s">
        <v>2574</v>
      </c>
      <c r="K89" s="18"/>
      <c r="L89" s="18"/>
      <c r="M89" s="13" t="e">
        <f>VLOOKUP(#REF!,#REF!, 5)</f>
        <v>#REF!</v>
      </c>
      <c r="N89" s="18" t="s">
        <v>18</v>
      </c>
      <c r="S89"/>
    </row>
    <row r="90" spans="1:19" ht="129.1" hidden="1" x14ac:dyDescent="0.2">
      <c r="A90" s="12" t="s">
        <v>525</v>
      </c>
      <c r="B90" s="12" t="s">
        <v>526</v>
      </c>
      <c r="C90" s="37" t="s">
        <v>527</v>
      </c>
      <c r="D90" s="12" t="s">
        <v>528</v>
      </c>
      <c r="E90" s="12" t="s">
        <v>3412</v>
      </c>
      <c r="F90" s="12"/>
      <c r="G90" s="12"/>
      <c r="H90" s="12"/>
      <c r="I90" s="22" t="s">
        <v>2345</v>
      </c>
      <c r="J90" s="18" t="s">
        <v>2575</v>
      </c>
      <c r="K90" s="18"/>
      <c r="L90" s="18"/>
      <c r="M90" s="13" t="e">
        <f>VLOOKUP(#REF!,#REF!, 5)</f>
        <v>#REF!</v>
      </c>
      <c r="N90" s="18" t="s">
        <v>18</v>
      </c>
      <c r="S90"/>
    </row>
    <row r="91" spans="1:19" ht="51.65" hidden="1" x14ac:dyDescent="0.2">
      <c r="A91" s="12" t="s">
        <v>525</v>
      </c>
      <c r="B91" s="12" t="s">
        <v>531</v>
      </c>
      <c r="C91" s="51" t="s">
        <v>532</v>
      </c>
      <c r="D91" s="39" t="s">
        <v>533</v>
      </c>
      <c r="E91" s="39" t="s">
        <v>3412</v>
      </c>
      <c r="F91" s="39"/>
      <c r="G91" s="39"/>
      <c r="H91" s="39"/>
      <c r="I91" s="22" t="s">
        <v>2345</v>
      </c>
      <c r="J91" s="22" t="s">
        <v>2576</v>
      </c>
      <c r="K91" s="22"/>
      <c r="L91" s="22"/>
      <c r="M91" s="13" t="e">
        <f>VLOOKUP(#REF!,#REF!, 5)</f>
        <v>#REF!</v>
      </c>
      <c r="N91" s="18" t="s">
        <v>18</v>
      </c>
      <c r="S91"/>
    </row>
    <row r="92" spans="1:19" ht="51.65" hidden="1" x14ac:dyDescent="0.2">
      <c r="A92" s="12" t="s">
        <v>525</v>
      </c>
      <c r="B92" s="12" t="s">
        <v>535</v>
      </c>
      <c r="C92" s="37" t="s">
        <v>536</v>
      </c>
      <c r="D92" s="12" t="s">
        <v>537</v>
      </c>
      <c r="E92" s="12" t="s">
        <v>3412</v>
      </c>
      <c r="F92" s="12"/>
      <c r="G92" s="12"/>
      <c r="H92" s="12"/>
      <c r="I92" s="22" t="s">
        <v>2345</v>
      </c>
      <c r="J92" s="22" t="s">
        <v>2576</v>
      </c>
      <c r="K92" s="22"/>
      <c r="L92" s="22"/>
      <c r="M92" s="13" t="e">
        <f>VLOOKUP(#REF!,#REF!, 5)</f>
        <v>#REF!</v>
      </c>
      <c r="N92" s="18" t="s">
        <v>18</v>
      </c>
      <c r="S92"/>
    </row>
    <row r="93" spans="1:19" ht="64.55" x14ac:dyDescent="0.2">
      <c r="A93" s="12" t="s">
        <v>539</v>
      </c>
      <c r="B93" s="12" t="s">
        <v>540</v>
      </c>
      <c r="C93" s="51" t="s">
        <v>541</v>
      </c>
      <c r="D93" s="39" t="s">
        <v>542</v>
      </c>
      <c r="E93" s="39" t="s">
        <v>3414</v>
      </c>
      <c r="F93" s="39" t="s">
        <v>3558</v>
      </c>
      <c r="G93" s="39" t="s">
        <v>3559</v>
      </c>
      <c r="H93" s="39" t="s">
        <v>3560</v>
      </c>
      <c r="I93" s="56"/>
      <c r="J93" s="56"/>
      <c r="K93" s="56"/>
      <c r="L93" s="56"/>
      <c r="M93" s="57"/>
      <c r="N93" s="18" t="s">
        <v>18</v>
      </c>
      <c r="S93"/>
    </row>
    <row r="94" spans="1:19" ht="142" hidden="1" x14ac:dyDescent="0.2">
      <c r="A94" s="12" t="s">
        <v>544</v>
      </c>
      <c r="B94" s="12" t="s">
        <v>545</v>
      </c>
      <c r="C94" s="37" t="s">
        <v>546</v>
      </c>
      <c r="D94" s="12" t="s">
        <v>547</v>
      </c>
      <c r="E94" s="12" t="s">
        <v>3412</v>
      </c>
      <c r="F94" s="12"/>
      <c r="G94" s="12"/>
      <c r="H94" s="12"/>
      <c r="I94" s="22" t="s">
        <v>2345</v>
      </c>
      <c r="J94" s="18" t="s">
        <v>2578</v>
      </c>
      <c r="K94" s="18"/>
      <c r="L94" s="18"/>
      <c r="M94" s="13" t="e">
        <f>VLOOKUP(#REF!,#REF!, 5)</f>
        <v>#REF!</v>
      </c>
      <c r="N94" s="18" t="s">
        <v>18</v>
      </c>
      <c r="S94"/>
    </row>
    <row r="95" spans="1:19" ht="245.25" hidden="1" x14ac:dyDescent="0.2">
      <c r="A95" s="12" t="s">
        <v>549</v>
      </c>
      <c r="B95" s="12" t="s">
        <v>550</v>
      </c>
      <c r="C95" s="37" t="s">
        <v>551</v>
      </c>
      <c r="D95" s="12" t="s">
        <v>2579</v>
      </c>
      <c r="E95" s="12" t="s">
        <v>3412</v>
      </c>
      <c r="F95" s="12"/>
      <c r="G95" s="12"/>
      <c r="H95" s="12"/>
      <c r="I95" s="22" t="s">
        <v>2345</v>
      </c>
      <c r="J95" s="18" t="s">
        <v>2581</v>
      </c>
      <c r="K95" s="18" t="s">
        <v>2582</v>
      </c>
      <c r="L95" s="18" t="s">
        <v>2583</v>
      </c>
      <c r="M95" s="13" t="e">
        <f>VLOOKUP(#REF!,#REF!, 5)</f>
        <v>#REF!</v>
      </c>
      <c r="N95" s="18" t="s">
        <v>18</v>
      </c>
      <c r="S95"/>
    </row>
    <row r="96" spans="1:19" ht="51.65" hidden="1" x14ac:dyDescent="0.2">
      <c r="A96" s="12" t="s">
        <v>555</v>
      </c>
      <c r="B96" s="12" t="s">
        <v>556</v>
      </c>
      <c r="C96" s="37" t="s">
        <v>557</v>
      </c>
      <c r="D96" s="12" t="s">
        <v>558</v>
      </c>
      <c r="E96" s="12" t="s">
        <v>3412</v>
      </c>
      <c r="F96" s="12"/>
      <c r="G96" s="12"/>
      <c r="H96" s="12"/>
      <c r="I96" s="22" t="s">
        <v>2345</v>
      </c>
      <c r="J96" s="18" t="s">
        <v>2586</v>
      </c>
      <c r="K96" s="18"/>
      <c r="L96" s="18" t="s">
        <v>2587</v>
      </c>
      <c r="M96" s="13" t="e">
        <f>VLOOKUP(#REF!,#REF!, 5)</f>
        <v>#REF!</v>
      </c>
      <c r="N96" s="18" t="s">
        <v>18</v>
      </c>
      <c r="S96"/>
    </row>
    <row r="97" spans="1:19" ht="51.65" hidden="1" x14ac:dyDescent="0.2">
      <c r="A97" s="12" t="s">
        <v>563</v>
      </c>
      <c r="B97" s="12" t="s">
        <v>564</v>
      </c>
      <c r="C97" s="37" t="s">
        <v>565</v>
      </c>
      <c r="D97" s="12" t="s">
        <v>566</v>
      </c>
      <c r="E97" s="12" t="s">
        <v>3412</v>
      </c>
      <c r="F97" s="12"/>
      <c r="G97" s="12"/>
      <c r="H97" s="12"/>
      <c r="I97" s="22" t="s">
        <v>2345</v>
      </c>
      <c r="J97" s="18" t="s">
        <v>2589</v>
      </c>
      <c r="K97" s="18"/>
      <c r="L97" s="18" t="s">
        <v>2590</v>
      </c>
      <c r="M97" s="13" t="e">
        <f>VLOOKUP(#REF!,#REF!, 5)</f>
        <v>#REF!</v>
      </c>
      <c r="N97" s="18" t="s">
        <v>18</v>
      </c>
      <c r="S97"/>
    </row>
    <row r="98" spans="1:19" ht="232.3" hidden="1" x14ac:dyDescent="0.2">
      <c r="A98" s="12" t="s">
        <v>570</v>
      </c>
      <c r="B98" s="12" t="s">
        <v>571</v>
      </c>
      <c r="C98" s="37" t="s">
        <v>572</v>
      </c>
      <c r="D98" s="12" t="s">
        <v>573</v>
      </c>
      <c r="E98" s="12" t="s">
        <v>3412</v>
      </c>
      <c r="F98" s="12"/>
      <c r="G98" s="12"/>
      <c r="H98" s="12"/>
      <c r="I98" s="22" t="s">
        <v>2345</v>
      </c>
      <c r="J98" s="18" t="s">
        <v>2591</v>
      </c>
      <c r="K98" s="18"/>
      <c r="L98" s="18" t="s">
        <v>2592</v>
      </c>
      <c r="M98" s="13" t="e">
        <f>VLOOKUP(#REF!,#REF!, 5)</f>
        <v>#REF!</v>
      </c>
      <c r="N98" s="18" t="s">
        <v>18</v>
      </c>
      <c r="S98"/>
    </row>
    <row r="99" spans="1:19" ht="51.65" x14ac:dyDescent="0.2">
      <c r="A99" s="12" t="s">
        <v>576</v>
      </c>
      <c r="B99" s="12" t="s">
        <v>577</v>
      </c>
      <c r="C99" s="37" t="s">
        <v>578</v>
      </c>
      <c r="D99" s="12" t="s">
        <v>579</v>
      </c>
      <c r="E99" s="12" t="s">
        <v>3414</v>
      </c>
      <c r="F99" s="12" t="s">
        <v>3561</v>
      </c>
      <c r="G99" s="39" t="s">
        <v>3562</v>
      </c>
      <c r="H99" s="39" t="s">
        <v>3563</v>
      </c>
      <c r="I99" s="56"/>
      <c r="J99" s="59"/>
      <c r="K99" s="59"/>
      <c r="L99" s="59" t="s">
        <v>2596</v>
      </c>
      <c r="M99" s="57"/>
      <c r="N99" s="18" t="s">
        <v>18</v>
      </c>
      <c r="S99"/>
    </row>
    <row r="100" spans="1:19" ht="129.1" x14ac:dyDescent="0.2">
      <c r="A100" s="12" t="s">
        <v>582</v>
      </c>
      <c r="B100" s="12" t="s">
        <v>583</v>
      </c>
      <c r="C100" s="51" t="s">
        <v>584</v>
      </c>
      <c r="D100" s="39" t="s">
        <v>585</v>
      </c>
      <c r="E100" s="39" t="s">
        <v>3414</v>
      </c>
      <c r="F100" s="39" t="s">
        <v>3564</v>
      </c>
      <c r="G100" s="39" t="s">
        <v>3565</v>
      </c>
      <c r="H100" s="39" t="s">
        <v>3566</v>
      </c>
      <c r="I100" s="56"/>
      <c r="J100" s="59"/>
      <c r="K100" s="59"/>
      <c r="L100" s="59" t="s">
        <v>2600</v>
      </c>
      <c r="M100" s="57"/>
      <c r="N100" s="18" t="s">
        <v>18</v>
      </c>
      <c r="S100"/>
    </row>
    <row r="101" spans="1:19" ht="103.25" hidden="1" x14ac:dyDescent="0.2">
      <c r="A101" s="12" t="s">
        <v>582</v>
      </c>
      <c r="B101" s="12" t="s">
        <v>587</v>
      </c>
      <c r="C101" s="51" t="s">
        <v>588</v>
      </c>
      <c r="D101" s="39" t="s">
        <v>589</v>
      </c>
      <c r="E101" s="39" t="s">
        <v>3412</v>
      </c>
      <c r="F101" s="39"/>
      <c r="G101" s="39"/>
      <c r="H101" s="39"/>
      <c r="I101" s="22" t="s">
        <v>2601</v>
      </c>
      <c r="J101" s="18" t="s">
        <v>2602</v>
      </c>
      <c r="K101" s="18"/>
      <c r="L101" s="18"/>
      <c r="M101" s="13" t="e">
        <f>VLOOKUP(#REF!,#REF!, 5)</f>
        <v>#REF!</v>
      </c>
      <c r="N101" s="18" t="s">
        <v>18</v>
      </c>
      <c r="S101"/>
    </row>
    <row r="102" spans="1:19" ht="409.6" hidden="1" x14ac:dyDescent="0.2">
      <c r="A102" s="12" t="s">
        <v>591</v>
      </c>
      <c r="B102" s="12" t="s">
        <v>592</v>
      </c>
      <c r="C102" s="37" t="s">
        <v>593</v>
      </c>
      <c r="D102" s="12" t="s">
        <v>2603</v>
      </c>
      <c r="E102" s="12" t="s">
        <v>3412</v>
      </c>
      <c r="F102" s="12"/>
      <c r="G102" s="12"/>
      <c r="H102" s="12"/>
      <c r="I102" s="22" t="s">
        <v>2604</v>
      </c>
      <c r="J102" s="18" t="s">
        <v>2605</v>
      </c>
      <c r="K102" s="18" t="s">
        <v>2606</v>
      </c>
      <c r="L102" s="19" t="s">
        <v>2607</v>
      </c>
      <c r="M102" s="13" t="e">
        <f>VLOOKUP(#REF!,#REF!, 5)</f>
        <v>#REF!</v>
      </c>
      <c r="N102" s="18" t="s">
        <v>18</v>
      </c>
      <c r="S102"/>
    </row>
    <row r="103" spans="1:19" ht="154.9" hidden="1" x14ac:dyDescent="0.2">
      <c r="A103" s="12" t="s">
        <v>597</v>
      </c>
      <c r="B103" s="12" t="s">
        <v>598</v>
      </c>
      <c r="C103" s="37" t="s">
        <v>599</v>
      </c>
      <c r="D103" s="12" t="s">
        <v>600</v>
      </c>
      <c r="E103" s="12" t="s">
        <v>3412</v>
      </c>
      <c r="F103" s="12"/>
      <c r="G103" s="12"/>
      <c r="H103" s="12"/>
      <c r="I103" s="22" t="s">
        <v>2609</v>
      </c>
      <c r="J103" s="18" t="s">
        <v>2610</v>
      </c>
      <c r="K103" s="18"/>
      <c r="L103" s="18" t="s">
        <v>2611</v>
      </c>
      <c r="M103" s="13" t="e">
        <f>VLOOKUP(#REF!,#REF!, 5)</f>
        <v>#REF!</v>
      </c>
      <c r="N103" s="18" t="s">
        <v>18</v>
      </c>
      <c r="S103"/>
    </row>
    <row r="104" spans="1:19" ht="116.15" hidden="1" x14ac:dyDescent="0.2">
      <c r="A104" s="12" t="s">
        <v>603</v>
      </c>
      <c r="B104" s="12" t="s">
        <v>604</v>
      </c>
      <c r="C104" s="51" t="s">
        <v>605</v>
      </c>
      <c r="D104" s="39" t="s">
        <v>606</v>
      </c>
      <c r="E104" s="39" t="s">
        <v>3412</v>
      </c>
      <c r="F104" s="39"/>
      <c r="G104" s="39"/>
      <c r="H104" s="39"/>
      <c r="I104" s="22" t="s">
        <v>2612</v>
      </c>
      <c r="J104" s="18" t="s">
        <v>2613</v>
      </c>
      <c r="K104" s="18"/>
      <c r="L104" s="18" t="s">
        <v>2614</v>
      </c>
      <c r="M104" s="13" t="e">
        <f>VLOOKUP(#REF!,#REF!, 5)</f>
        <v>#REF!</v>
      </c>
      <c r="N104" s="18" t="s">
        <v>18</v>
      </c>
      <c r="S104"/>
    </row>
    <row r="105" spans="1:19" ht="77.45" hidden="1" x14ac:dyDescent="0.2">
      <c r="A105" s="12" t="s">
        <v>608</v>
      </c>
      <c r="B105" s="12" t="s">
        <v>609</v>
      </c>
      <c r="C105" s="37" t="s">
        <v>610</v>
      </c>
      <c r="D105" s="12" t="s">
        <v>611</v>
      </c>
      <c r="E105" s="12" t="s">
        <v>3412</v>
      </c>
      <c r="F105" s="12"/>
      <c r="G105" s="12"/>
      <c r="H105" s="12"/>
      <c r="I105" s="22" t="s">
        <v>2345</v>
      </c>
      <c r="J105" s="18" t="s">
        <v>2615</v>
      </c>
      <c r="K105" s="18"/>
      <c r="L105" s="18" t="s">
        <v>2616</v>
      </c>
      <c r="M105" s="13" t="e">
        <f>VLOOKUP(#REF!,#REF!, 5)</f>
        <v>#REF!</v>
      </c>
      <c r="N105" s="18" t="s">
        <v>18</v>
      </c>
      <c r="S105"/>
    </row>
    <row r="106" spans="1:19" ht="154.9" hidden="1" x14ac:dyDescent="0.2">
      <c r="A106" s="12" t="s">
        <v>614</v>
      </c>
      <c r="B106" s="12" t="s">
        <v>615</v>
      </c>
      <c r="C106" s="37" t="s">
        <v>616</v>
      </c>
      <c r="D106" s="12" t="s">
        <v>617</v>
      </c>
      <c r="E106" s="12" t="s">
        <v>3412</v>
      </c>
      <c r="F106" s="12"/>
      <c r="G106" s="12"/>
      <c r="H106" s="12"/>
      <c r="I106" s="22" t="s">
        <v>2617</v>
      </c>
      <c r="J106" s="18" t="s">
        <v>2618</v>
      </c>
      <c r="K106" s="18"/>
      <c r="L106" s="18"/>
      <c r="M106" s="13" t="e">
        <f>VLOOKUP(#REF!,#REF!, 5)</f>
        <v>#REF!</v>
      </c>
      <c r="N106" s="18" t="s">
        <v>18</v>
      </c>
      <c r="S106"/>
    </row>
    <row r="107" spans="1:19" ht="64.55" hidden="1" x14ac:dyDescent="0.2">
      <c r="A107" s="12" t="s">
        <v>614</v>
      </c>
      <c r="B107" s="12" t="s">
        <v>620</v>
      </c>
      <c r="C107" s="37" t="s">
        <v>621</v>
      </c>
      <c r="D107" s="12" t="s">
        <v>622</v>
      </c>
      <c r="E107" s="12" t="s">
        <v>3412</v>
      </c>
      <c r="F107" s="12"/>
      <c r="G107" s="12"/>
      <c r="H107" s="12"/>
      <c r="I107" s="22" t="s">
        <v>2345</v>
      </c>
      <c r="J107" s="18" t="s">
        <v>2619</v>
      </c>
      <c r="K107" s="18"/>
      <c r="L107" s="18"/>
      <c r="M107" s="13" t="e">
        <f>VLOOKUP(#REF!,#REF!, 5)</f>
        <v>#REF!</v>
      </c>
      <c r="N107" s="18" t="s">
        <v>18</v>
      </c>
      <c r="S107"/>
    </row>
    <row r="108" spans="1:19" ht="258.14999999999998" hidden="1" x14ac:dyDescent="0.2">
      <c r="A108" s="12" t="s">
        <v>624</v>
      </c>
      <c r="B108" s="12" t="s">
        <v>625</v>
      </c>
      <c r="C108" s="51" t="s">
        <v>626</v>
      </c>
      <c r="D108" s="39" t="s">
        <v>627</v>
      </c>
      <c r="E108" s="39" t="s">
        <v>3412</v>
      </c>
      <c r="F108" s="39"/>
      <c r="G108" s="39"/>
      <c r="H108" s="39"/>
      <c r="I108" s="22" t="s">
        <v>2620</v>
      </c>
      <c r="J108" s="18" t="s">
        <v>2621</v>
      </c>
      <c r="K108" s="18"/>
      <c r="L108" s="18"/>
      <c r="M108" s="13" t="e">
        <f>VLOOKUP(#REF!,#REF!, 5)</f>
        <v>#REF!</v>
      </c>
      <c r="N108" s="18" t="s">
        <v>18</v>
      </c>
      <c r="S108"/>
    </row>
    <row r="109" spans="1:19" ht="232.3" hidden="1" x14ac:dyDescent="0.2">
      <c r="A109" s="12" t="s">
        <v>629</v>
      </c>
      <c r="B109" s="12" t="s">
        <v>630</v>
      </c>
      <c r="C109" s="37" t="s">
        <v>631</v>
      </c>
      <c r="D109" s="12" t="s">
        <v>632</v>
      </c>
      <c r="E109" s="12" t="s">
        <v>3412</v>
      </c>
      <c r="F109" s="12"/>
      <c r="G109" s="12"/>
      <c r="H109" s="12"/>
      <c r="I109" s="22" t="s">
        <v>2622</v>
      </c>
      <c r="J109" s="18" t="s">
        <v>2623</v>
      </c>
      <c r="K109" s="18"/>
      <c r="L109" s="18"/>
      <c r="M109" s="13" t="e">
        <f>VLOOKUP(#REF!,#REF!, 5)</f>
        <v>#REF!</v>
      </c>
      <c r="N109" s="18" t="s">
        <v>18</v>
      </c>
      <c r="S109"/>
    </row>
    <row r="110" spans="1:19" ht="142" hidden="1" x14ac:dyDescent="0.2">
      <c r="A110" s="12" t="s">
        <v>629</v>
      </c>
      <c r="B110" s="12" t="s">
        <v>635</v>
      </c>
      <c r="C110" s="37" t="s">
        <v>636</v>
      </c>
      <c r="D110" s="12" t="s">
        <v>2624</v>
      </c>
      <c r="E110" s="12" t="s">
        <v>3567</v>
      </c>
      <c r="F110" s="12"/>
      <c r="G110" s="12"/>
      <c r="H110" s="12"/>
      <c r="I110" s="56"/>
      <c r="J110" s="59"/>
      <c r="K110" s="59"/>
      <c r="L110" s="59"/>
      <c r="M110" s="57"/>
      <c r="N110" s="18" t="s">
        <v>18</v>
      </c>
      <c r="S110"/>
    </row>
    <row r="111" spans="1:19" ht="64.55" hidden="1" x14ac:dyDescent="0.2">
      <c r="A111" s="12" t="s">
        <v>638</v>
      </c>
      <c r="B111" s="12" t="s">
        <v>639</v>
      </c>
      <c r="C111" s="37" t="s">
        <v>640</v>
      </c>
      <c r="D111" s="12" t="s">
        <v>2627</v>
      </c>
      <c r="E111" s="12" t="s">
        <v>3412</v>
      </c>
      <c r="F111" s="12"/>
      <c r="G111" s="12"/>
      <c r="H111" s="12"/>
      <c r="I111" s="22" t="s">
        <v>2345</v>
      </c>
      <c r="J111" s="18" t="s">
        <v>2628</v>
      </c>
      <c r="K111" s="18"/>
      <c r="L111" s="18"/>
      <c r="M111" s="13" t="e">
        <f>VLOOKUP(#REF!,#REF!, 5)</f>
        <v>#REF!</v>
      </c>
      <c r="N111" s="18" t="s">
        <v>18</v>
      </c>
      <c r="S111"/>
    </row>
    <row r="112" spans="1:19" ht="116.15" hidden="1" x14ac:dyDescent="0.2">
      <c r="A112" s="12" t="s">
        <v>644</v>
      </c>
      <c r="B112" s="12" t="s">
        <v>645</v>
      </c>
      <c r="C112" s="37" t="s">
        <v>646</v>
      </c>
      <c r="D112" s="12" t="s">
        <v>647</v>
      </c>
      <c r="E112" s="12" t="s">
        <v>3412</v>
      </c>
      <c r="F112" s="12"/>
      <c r="G112" s="12"/>
      <c r="H112" s="12"/>
      <c r="I112" s="22" t="s">
        <v>2345</v>
      </c>
      <c r="J112" s="18" t="s">
        <v>2629</v>
      </c>
      <c r="K112" s="18"/>
      <c r="L112" s="18" t="s">
        <v>2630</v>
      </c>
      <c r="M112" s="13" t="e">
        <f>VLOOKUP(#REF!,#REF!, 5)</f>
        <v>#REF!</v>
      </c>
      <c r="N112" s="18" t="s">
        <v>18</v>
      </c>
      <c r="S112"/>
    </row>
    <row r="113" spans="1:19" ht="167.8" hidden="1" x14ac:dyDescent="0.2">
      <c r="A113" s="12" t="s">
        <v>650</v>
      </c>
      <c r="B113" s="12" t="s">
        <v>651</v>
      </c>
      <c r="C113" s="51" t="s">
        <v>652</v>
      </c>
      <c r="D113" s="39" t="s">
        <v>653</v>
      </c>
      <c r="E113" s="39" t="s">
        <v>3412</v>
      </c>
      <c r="F113" s="39"/>
      <c r="G113" s="39"/>
      <c r="H113" s="39"/>
      <c r="I113" s="22" t="s">
        <v>2345</v>
      </c>
      <c r="J113" s="18" t="s">
        <v>2631</v>
      </c>
      <c r="K113" s="18"/>
      <c r="L113" s="18"/>
      <c r="M113" s="13" t="e">
        <f>VLOOKUP(#REF!,#REF!, 5)</f>
        <v>#REF!</v>
      </c>
      <c r="N113" s="18" t="s">
        <v>18</v>
      </c>
      <c r="S113"/>
    </row>
    <row r="114" spans="1:19" ht="103.25" hidden="1" x14ac:dyDescent="0.2">
      <c r="A114" s="12" t="s">
        <v>656</v>
      </c>
      <c r="B114" s="12" t="s">
        <v>657</v>
      </c>
      <c r="C114" s="37" t="s">
        <v>658</v>
      </c>
      <c r="D114" s="12" t="s">
        <v>659</v>
      </c>
      <c r="E114" s="12" t="s">
        <v>3412</v>
      </c>
      <c r="F114" s="12"/>
      <c r="G114" s="12"/>
      <c r="H114" s="12"/>
      <c r="I114" s="22" t="s">
        <v>2632</v>
      </c>
      <c r="J114" s="18" t="s">
        <v>2633</v>
      </c>
      <c r="K114" s="18"/>
      <c r="L114" s="19" t="s">
        <v>2634</v>
      </c>
      <c r="M114" s="13" t="e">
        <f>VLOOKUP(#REF!,#REF!, 5)</f>
        <v>#REF!</v>
      </c>
      <c r="N114" s="18" t="s">
        <v>18</v>
      </c>
      <c r="S114"/>
    </row>
    <row r="115" spans="1:19" ht="258.14999999999998" x14ac:dyDescent="0.2">
      <c r="A115" s="12" t="s">
        <v>662</v>
      </c>
      <c r="B115" s="12" t="s">
        <v>663</v>
      </c>
      <c r="C115" s="37" t="s">
        <v>664</v>
      </c>
      <c r="D115" s="12" t="s">
        <v>3568</v>
      </c>
      <c r="E115" s="12" t="s">
        <v>3414</v>
      </c>
      <c r="F115" s="12" t="s">
        <v>3569</v>
      </c>
      <c r="G115" s="12" t="s">
        <v>3570</v>
      </c>
      <c r="H115" s="12" t="s">
        <v>3571</v>
      </c>
      <c r="I115" s="56"/>
      <c r="J115" s="59"/>
      <c r="K115" s="59"/>
      <c r="L115" s="59" t="s">
        <v>2637</v>
      </c>
      <c r="M115" s="57"/>
      <c r="N115" s="18" t="s">
        <v>18</v>
      </c>
      <c r="S115"/>
    </row>
    <row r="116" spans="1:19" ht="206.5" hidden="1" x14ac:dyDescent="0.2">
      <c r="A116" s="12" t="s">
        <v>662</v>
      </c>
      <c r="B116" s="12" t="s">
        <v>668</v>
      </c>
      <c r="C116" s="37" t="s">
        <v>669</v>
      </c>
      <c r="D116" s="12" t="s">
        <v>670</v>
      </c>
      <c r="E116" s="12" t="s">
        <v>3412</v>
      </c>
      <c r="F116" s="12"/>
      <c r="G116" s="12"/>
      <c r="H116" s="12"/>
      <c r="I116" s="22" t="s">
        <v>2345</v>
      </c>
      <c r="J116" s="18" t="s">
        <v>2638</v>
      </c>
      <c r="K116" s="18"/>
      <c r="L116" s="18"/>
      <c r="M116" s="13" t="e">
        <f>VLOOKUP(#REF!,#REF!, 5)</f>
        <v>#REF!</v>
      </c>
      <c r="N116" s="18" t="s">
        <v>18</v>
      </c>
      <c r="S116"/>
    </row>
    <row r="117" spans="1:19" ht="283.95" hidden="1" x14ac:dyDescent="0.2">
      <c r="A117" s="12" t="s">
        <v>671</v>
      </c>
      <c r="B117" s="12" t="s">
        <v>672</v>
      </c>
      <c r="C117" s="37" t="s">
        <v>673</v>
      </c>
      <c r="D117" s="12" t="s">
        <v>2639</v>
      </c>
      <c r="E117" s="12" t="s">
        <v>3412</v>
      </c>
      <c r="F117" s="12"/>
      <c r="G117" s="12"/>
      <c r="H117" s="12"/>
      <c r="I117" s="22" t="s">
        <v>2641</v>
      </c>
      <c r="J117" s="18" t="s">
        <v>2642</v>
      </c>
      <c r="K117" s="18" t="s">
        <v>2643</v>
      </c>
      <c r="L117" s="18"/>
      <c r="M117" s="13" t="e">
        <f>VLOOKUP(#REF!,#REF!, 5)</f>
        <v>#REF!</v>
      </c>
      <c r="N117" s="18" t="s">
        <v>18</v>
      </c>
      <c r="S117"/>
    </row>
    <row r="118" spans="1:19" ht="409.6" hidden="1" x14ac:dyDescent="0.2">
      <c r="A118" s="12" t="s">
        <v>678</v>
      </c>
      <c r="B118" s="12" t="s">
        <v>679</v>
      </c>
      <c r="C118" s="37" t="s">
        <v>680</v>
      </c>
      <c r="D118" s="12" t="s">
        <v>681</v>
      </c>
      <c r="E118" s="12" t="s">
        <v>3412</v>
      </c>
      <c r="F118" s="12"/>
      <c r="G118" s="12"/>
      <c r="H118" s="12"/>
      <c r="I118" s="22" t="s">
        <v>2644</v>
      </c>
      <c r="J118" s="18" t="s">
        <v>2645</v>
      </c>
      <c r="K118" s="19"/>
      <c r="L118" s="18"/>
      <c r="M118" s="13" t="e">
        <f>VLOOKUP(#REF!,#REF!, 5)</f>
        <v>#REF!</v>
      </c>
      <c r="N118" s="18" t="s">
        <v>18</v>
      </c>
      <c r="S118"/>
    </row>
    <row r="119" spans="1:19" ht="180.7" hidden="1" x14ac:dyDescent="0.2">
      <c r="A119" s="12" t="s">
        <v>684</v>
      </c>
      <c r="B119" s="12" t="s">
        <v>685</v>
      </c>
      <c r="C119" s="51" t="s">
        <v>686</v>
      </c>
      <c r="D119" s="39" t="s">
        <v>2646</v>
      </c>
      <c r="E119" s="39" t="s">
        <v>3412</v>
      </c>
      <c r="F119" s="39"/>
      <c r="G119" s="39"/>
      <c r="H119" s="39"/>
      <c r="I119" s="22" t="s">
        <v>2647</v>
      </c>
      <c r="J119" s="18" t="s">
        <v>2648</v>
      </c>
      <c r="K119" s="18"/>
      <c r="L119" s="19" t="s">
        <v>2649</v>
      </c>
      <c r="M119" s="13" t="e">
        <f>VLOOKUP(#REF!,#REF!, 5)</f>
        <v>#REF!</v>
      </c>
      <c r="N119" s="18" t="s">
        <v>18</v>
      </c>
      <c r="S119"/>
    </row>
    <row r="120" spans="1:19" ht="271.05" hidden="1" x14ac:dyDescent="0.2">
      <c r="A120" s="12" t="s">
        <v>690</v>
      </c>
      <c r="B120" s="12" t="s">
        <v>691</v>
      </c>
      <c r="C120" s="37" t="s">
        <v>692</v>
      </c>
      <c r="D120" s="12" t="s">
        <v>693</v>
      </c>
      <c r="E120" s="12" t="s">
        <v>3412</v>
      </c>
      <c r="F120" s="12"/>
      <c r="G120" s="12"/>
      <c r="H120" s="12"/>
      <c r="I120" s="22" t="s">
        <v>2650</v>
      </c>
      <c r="J120" s="18" t="s">
        <v>2651</v>
      </c>
      <c r="K120" s="18"/>
      <c r="L120" s="18"/>
      <c r="M120" s="13" t="e">
        <f>VLOOKUP(#REF!,#REF!, 5)</f>
        <v>#REF!</v>
      </c>
      <c r="N120" s="18" t="s">
        <v>18</v>
      </c>
      <c r="S120"/>
    </row>
    <row r="121" spans="1:19" ht="167.8" x14ac:dyDescent="0.2">
      <c r="A121" s="12" t="s">
        <v>695</v>
      </c>
      <c r="B121" s="12" t="s">
        <v>696</v>
      </c>
      <c r="C121" s="51" t="s">
        <v>697</v>
      </c>
      <c r="D121" s="39" t="s">
        <v>2652</v>
      </c>
      <c r="E121" s="39" t="s">
        <v>3414</v>
      </c>
      <c r="F121" s="39" t="s">
        <v>3572</v>
      </c>
      <c r="G121" s="39" t="s">
        <v>3573</v>
      </c>
      <c r="H121" s="39" t="s">
        <v>3574</v>
      </c>
      <c r="I121" s="56"/>
      <c r="J121" s="59"/>
      <c r="K121" s="59"/>
      <c r="L121" s="61" t="s">
        <v>2656</v>
      </c>
      <c r="M121" s="57"/>
      <c r="N121" s="12" t="s">
        <v>18</v>
      </c>
      <c r="S121"/>
    </row>
    <row r="122" spans="1:19" ht="245.25" hidden="1" x14ac:dyDescent="0.2">
      <c r="A122" s="12" t="s">
        <v>695</v>
      </c>
      <c r="B122" s="12" t="s">
        <v>702</v>
      </c>
      <c r="C122" s="37" t="s">
        <v>703</v>
      </c>
      <c r="D122" s="12" t="s">
        <v>704</v>
      </c>
      <c r="E122" s="12" t="s">
        <v>3412</v>
      </c>
      <c r="F122" s="12"/>
      <c r="G122" s="12"/>
      <c r="H122" s="12"/>
      <c r="I122" s="22" t="s">
        <v>2657</v>
      </c>
      <c r="J122" s="18" t="s">
        <v>2658</v>
      </c>
      <c r="K122" s="19" t="s">
        <v>2659</v>
      </c>
      <c r="L122" s="19" t="s">
        <v>2660</v>
      </c>
      <c r="M122" s="13" t="e">
        <f>VLOOKUP(#REF!,#REF!, 5)</f>
        <v>#REF!</v>
      </c>
      <c r="N122" s="18" t="s">
        <v>18</v>
      </c>
      <c r="S122"/>
    </row>
    <row r="123" spans="1:19" ht="154.9" hidden="1" x14ac:dyDescent="0.2">
      <c r="A123" s="12" t="s">
        <v>706</v>
      </c>
      <c r="B123" s="12" t="s">
        <v>707</v>
      </c>
      <c r="C123" s="51" t="s">
        <v>708</v>
      </c>
      <c r="D123" s="39" t="s">
        <v>709</v>
      </c>
      <c r="E123" s="39" t="s">
        <v>3412</v>
      </c>
      <c r="F123" s="39"/>
      <c r="G123" s="39"/>
      <c r="H123" s="39"/>
      <c r="I123" s="22" t="s">
        <v>2662</v>
      </c>
      <c r="J123" s="18" t="s">
        <v>2663</v>
      </c>
      <c r="K123" s="18"/>
      <c r="L123" s="18" t="s">
        <v>2664</v>
      </c>
      <c r="M123" s="13" t="e">
        <f>VLOOKUP(#REF!,#REF!, 5)</f>
        <v>#REF!</v>
      </c>
      <c r="N123" s="18" t="s">
        <v>18</v>
      </c>
      <c r="S123"/>
    </row>
    <row r="124" spans="1:19" ht="103.25" x14ac:dyDescent="0.2">
      <c r="A124" s="12" t="s">
        <v>712</v>
      </c>
      <c r="B124" s="12" t="s">
        <v>713</v>
      </c>
      <c r="C124" s="51" t="s">
        <v>714</v>
      </c>
      <c r="D124" s="39" t="s">
        <v>715</v>
      </c>
      <c r="E124" s="39" t="s">
        <v>3414</v>
      </c>
      <c r="F124" s="39" t="s">
        <v>3575</v>
      </c>
      <c r="G124" s="39" t="s">
        <v>3576</v>
      </c>
      <c r="H124" s="39" t="s">
        <v>2531</v>
      </c>
      <c r="I124" s="56"/>
      <c r="J124" s="59"/>
      <c r="K124" s="59"/>
      <c r="L124" s="59" t="s">
        <v>2667</v>
      </c>
      <c r="M124" s="57"/>
      <c r="N124" s="18" t="s">
        <v>18</v>
      </c>
      <c r="S124"/>
    </row>
    <row r="125" spans="1:19" ht="64.55" x14ac:dyDescent="0.2">
      <c r="A125" s="12" t="s">
        <v>712</v>
      </c>
      <c r="B125" s="12" t="s">
        <v>718</v>
      </c>
      <c r="C125" s="37" t="s">
        <v>719</v>
      </c>
      <c r="D125" s="12" t="s">
        <v>720</v>
      </c>
      <c r="E125" s="12" t="s">
        <v>3414</v>
      </c>
      <c r="F125" s="12" t="s">
        <v>3577</v>
      </c>
      <c r="G125" s="12" t="s">
        <v>719</v>
      </c>
      <c r="H125" s="12" t="s">
        <v>721</v>
      </c>
      <c r="I125" s="56"/>
      <c r="J125" s="59"/>
      <c r="K125" s="59"/>
      <c r="L125" s="59" t="s">
        <v>2672</v>
      </c>
      <c r="M125" s="57"/>
      <c r="N125" s="18" t="s">
        <v>18</v>
      </c>
      <c r="S125"/>
    </row>
    <row r="126" spans="1:19" ht="245.25" hidden="1" x14ac:dyDescent="0.2">
      <c r="A126" s="12" t="s">
        <v>722</v>
      </c>
      <c r="B126" s="12" t="s">
        <v>723</v>
      </c>
      <c r="C126" s="37" t="s">
        <v>724</v>
      </c>
      <c r="D126" s="12" t="s">
        <v>725</v>
      </c>
      <c r="E126" s="12" t="s">
        <v>3412</v>
      </c>
      <c r="F126" s="12"/>
      <c r="G126" s="12"/>
      <c r="H126" s="12"/>
      <c r="I126" s="22" t="s">
        <v>2674</v>
      </c>
      <c r="J126" s="18" t="s">
        <v>2675</v>
      </c>
      <c r="K126" s="18"/>
      <c r="L126" s="18"/>
      <c r="M126" s="13" t="e">
        <f>VLOOKUP(#REF!,#REF!, 5)</f>
        <v>#REF!</v>
      </c>
      <c r="N126" s="18" t="s">
        <v>18</v>
      </c>
      <c r="S126"/>
    </row>
    <row r="127" spans="1:19" ht="51.65" hidden="1" x14ac:dyDescent="0.2">
      <c r="A127" s="12" t="s">
        <v>722</v>
      </c>
      <c r="B127" s="12" t="s">
        <v>729</v>
      </c>
      <c r="C127" s="37" t="s">
        <v>730</v>
      </c>
      <c r="D127" s="12" t="s">
        <v>731</v>
      </c>
      <c r="E127" s="12" t="s">
        <v>3412</v>
      </c>
      <c r="F127" s="12"/>
      <c r="G127" s="12"/>
      <c r="H127" s="12"/>
      <c r="I127" s="22" t="s">
        <v>2674</v>
      </c>
      <c r="J127" s="18" t="s">
        <v>2676</v>
      </c>
      <c r="K127" s="18"/>
      <c r="L127" s="18"/>
      <c r="M127" s="13" t="e">
        <f>VLOOKUP(#REF!,#REF!, 5)</f>
        <v>#REF!</v>
      </c>
      <c r="N127" s="18" t="s">
        <v>18</v>
      </c>
      <c r="S127"/>
    </row>
    <row r="128" spans="1:19" ht="116.15" hidden="1" x14ac:dyDescent="0.2">
      <c r="A128" s="12" t="s">
        <v>722</v>
      </c>
      <c r="B128" s="12" t="s">
        <v>732</v>
      </c>
      <c r="C128" s="37" t="s">
        <v>733</v>
      </c>
      <c r="D128" s="12" t="s">
        <v>734</v>
      </c>
      <c r="E128" s="12" t="s">
        <v>3412</v>
      </c>
      <c r="F128" s="12"/>
      <c r="G128" s="12"/>
      <c r="H128" s="12"/>
      <c r="I128" s="22" t="s">
        <v>2674</v>
      </c>
      <c r="J128" s="18" t="s">
        <v>2676</v>
      </c>
      <c r="K128" s="18"/>
      <c r="L128" s="18" t="s">
        <v>2677</v>
      </c>
      <c r="M128" s="13" t="e">
        <f>VLOOKUP(#REF!,#REF!, 5)</f>
        <v>#REF!</v>
      </c>
      <c r="N128" s="18" t="s">
        <v>18</v>
      </c>
      <c r="S128"/>
    </row>
    <row r="129" spans="1:19" ht="409.6" hidden="1" x14ac:dyDescent="0.2">
      <c r="A129" s="12" t="s">
        <v>735</v>
      </c>
      <c r="B129" s="12" t="s">
        <v>736</v>
      </c>
      <c r="C129" s="37" t="s">
        <v>737</v>
      </c>
      <c r="D129" s="12" t="s">
        <v>738</v>
      </c>
      <c r="E129" s="12" t="s">
        <v>3412</v>
      </c>
      <c r="F129" s="12"/>
      <c r="G129" s="12"/>
      <c r="H129" s="12"/>
      <c r="I129" s="22" t="s">
        <v>2674</v>
      </c>
      <c r="J129" s="18" t="s">
        <v>2678</v>
      </c>
      <c r="K129" s="19" t="s">
        <v>2679</v>
      </c>
      <c r="L129" s="18" t="s">
        <v>2680</v>
      </c>
      <c r="M129" s="13" t="e">
        <f>VLOOKUP(#REF!,#REF!, 5)</f>
        <v>#REF!</v>
      </c>
      <c r="N129" s="18" t="s">
        <v>18</v>
      </c>
      <c r="S129"/>
    </row>
    <row r="130" spans="1:19" ht="180.7" hidden="1" x14ac:dyDescent="0.2">
      <c r="A130" s="12" t="s">
        <v>741</v>
      </c>
      <c r="B130" s="12" t="s">
        <v>742</v>
      </c>
      <c r="C130" s="37" t="s">
        <v>743</v>
      </c>
      <c r="D130" s="12" t="s">
        <v>744</v>
      </c>
      <c r="E130" s="12" t="s">
        <v>3412</v>
      </c>
      <c r="F130" s="12"/>
      <c r="G130" s="12"/>
      <c r="H130" s="12"/>
      <c r="I130" s="22" t="s">
        <v>2682</v>
      </c>
      <c r="J130" s="22" t="s">
        <v>2683</v>
      </c>
      <c r="K130" s="19" t="s">
        <v>2684</v>
      </c>
      <c r="L130" s="18"/>
      <c r="M130" s="13" t="e">
        <f>VLOOKUP(#REF!,#REF!, 5)</f>
        <v>#REF!</v>
      </c>
      <c r="N130" s="18" t="s">
        <v>18</v>
      </c>
      <c r="S130"/>
    </row>
    <row r="131" spans="1:19" ht="193.6" hidden="1" x14ac:dyDescent="0.2">
      <c r="A131" s="12" t="s">
        <v>748</v>
      </c>
      <c r="B131" s="12" t="s">
        <v>749</v>
      </c>
      <c r="C131" s="37" t="s">
        <v>750</v>
      </c>
      <c r="D131" s="12" t="s">
        <v>751</v>
      </c>
      <c r="E131" s="12" t="s">
        <v>3412</v>
      </c>
      <c r="F131" s="12"/>
      <c r="G131" s="12"/>
      <c r="H131" s="12"/>
      <c r="I131" s="22" t="s">
        <v>2686</v>
      </c>
      <c r="J131" s="18" t="s">
        <v>2687</v>
      </c>
      <c r="K131" s="18"/>
      <c r="L131" s="18"/>
      <c r="M131" s="13" t="e">
        <f>VLOOKUP(#REF!,#REF!, 5)</f>
        <v>#REF!</v>
      </c>
      <c r="N131" s="18" t="s">
        <v>18</v>
      </c>
      <c r="S131"/>
    </row>
    <row r="132" spans="1:19" ht="64.55" hidden="1" x14ac:dyDescent="0.2">
      <c r="A132" s="12" t="s">
        <v>754</v>
      </c>
      <c r="B132" s="12" t="s">
        <v>755</v>
      </c>
      <c r="C132" s="51" t="s">
        <v>756</v>
      </c>
      <c r="D132" s="39" t="s">
        <v>757</v>
      </c>
      <c r="E132" s="12" t="s">
        <v>3412</v>
      </c>
      <c r="F132" s="39"/>
      <c r="G132" s="39"/>
      <c r="H132" s="39"/>
      <c r="I132" s="22" t="s">
        <v>2686</v>
      </c>
      <c r="J132" s="18" t="s">
        <v>2688</v>
      </c>
      <c r="K132" s="18"/>
      <c r="L132" s="18"/>
      <c r="M132" s="13" t="e">
        <f>VLOOKUP(#REF!,#REF!, 5)</f>
        <v>#REF!</v>
      </c>
      <c r="N132" s="18" t="s">
        <v>18</v>
      </c>
      <c r="S132"/>
    </row>
    <row r="133" spans="1:19" ht="193.6" hidden="1" x14ac:dyDescent="0.2">
      <c r="A133" s="12" t="s">
        <v>759</v>
      </c>
      <c r="B133" s="12" t="s">
        <v>760</v>
      </c>
      <c r="C133" s="37" t="s">
        <v>761</v>
      </c>
      <c r="D133" s="12" t="s">
        <v>762</v>
      </c>
      <c r="E133" s="12" t="s">
        <v>3412</v>
      </c>
      <c r="F133" s="12"/>
      <c r="G133" s="12"/>
      <c r="H133" s="12"/>
      <c r="I133" s="22" t="s">
        <v>2686</v>
      </c>
      <c r="J133" s="18" t="s">
        <v>2689</v>
      </c>
      <c r="K133" s="18"/>
      <c r="L133" s="18"/>
      <c r="M133" s="13" t="e">
        <f>VLOOKUP(#REF!,#REF!, 5)</f>
        <v>#REF!</v>
      </c>
      <c r="N133" s="18" t="s">
        <v>18</v>
      </c>
      <c r="S133"/>
    </row>
    <row r="134" spans="1:19" ht="219.4" hidden="1" x14ac:dyDescent="0.2">
      <c r="A134" s="12" t="s">
        <v>764</v>
      </c>
      <c r="B134" s="12" t="s">
        <v>765</v>
      </c>
      <c r="C134" s="37" t="s">
        <v>766</v>
      </c>
      <c r="D134" s="12" t="s">
        <v>767</v>
      </c>
      <c r="E134" s="12" t="s">
        <v>3412</v>
      </c>
      <c r="F134" s="12"/>
      <c r="G134" s="12"/>
      <c r="H134" s="12"/>
      <c r="I134" s="22" t="s">
        <v>2686</v>
      </c>
      <c r="J134" s="18" t="s">
        <v>2690</v>
      </c>
      <c r="K134" s="18"/>
      <c r="L134" s="18"/>
      <c r="M134" s="13" t="e">
        <f>VLOOKUP(#REF!,#REF!, 5)</f>
        <v>#REF!</v>
      </c>
      <c r="N134" s="18" t="s">
        <v>18</v>
      </c>
      <c r="S134"/>
    </row>
    <row r="135" spans="1:19" ht="409.6" hidden="1" x14ac:dyDescent="0.2">
      <c r="A135" s="12" t="s">
        <v>768</v>
      </c>
      <c r="B135" s="12" t="s">
        <v>769</v>
      </c>
      <c r="C135" s="37" t="s">
        <v>770</v>
      </c>
      <c r="D135" s="12" t="s">
        <v>771</v>
      </c>
      <c r="E135" s="12" t="s">
        <v>3412</v>
      </c>
      <c r="F135" s="12"/>
      <c r="G135" s="12"/>
      <c r="H135" s="12"/>
      <c r="I135" s="22" t="s">
        <v>2686</v>
      </c>
      <c r="J135" s="18" t="s">
        <v>2691</v>
      </c>
      <c r="K135" s="18"/>
      <c r="L135" s="18"/>
      <c r="M135" s="13" t="e">
        <f>VLOOKUP(#REF!,#REF!, 5)</f>
        <v>#REF!</v>
      </c>
      <c r="N135" s="18" t="s">
        <v>18</v>
      </c>
      <c r="S135"/>
    </row>
    <row r="136" spans="1:19" ht="322.64999999999998" hidden="1" x14ac:dyDescent="0.2">
      <c r="A136" s="12" t="s">
        <v>773</v>
      </c>
      <c r="B136" s="12" t="s">
        <v>774</v>
      </c>
      <c r="C136" s="37" t="s">
        <v>775</v>
      </c>
      <c r="D136" s="12" t="s">
        <v>776</v>
      </c>
      <c r="E136" s="12" t="s">
        <v>3412</v>
      </c>
      <c r="F136" s="12"/>
      <c r="G136" s="12"/>
      <c r="H136" s="12"/>
      <c r="I136" s="22" t="s">
        <v>2682</v>
      </c>
      <c r="J136" s="22" t="s">
        <v>2692</v>
      </c>
      <c r="K136" s="19" t="s">
        <v>2684</v>
      </c>
      <c r="L136" s="18"/>
      <c r="M136" s="13" t="e">
        <f>VLOOKUP(#REF!,#REF!, 5)</f>
        <v>#REF!</v>
      </c>
      <c r="N136" s="18" t="s">
        <v>18</v>
      </c>
      <c r="S136"/>
    </row>
    <row r="137" spans="1:19" ht="348.45" hidden="1" x14ac:dyDescent="0.2">
      <c r="A137" s="12" t="s">
        <v>779</v>
      </c>
      <c r="B137" s="12" t="s">
        <v>780</v>
      </c>
      <c r="C137" s="37" t="s">
        <v>781</v>
      </c>
      <c r="D137" s="12" t="s">
        <v>2694</v>
      </c>
      <c r="E137" s="12" t="s">
        <v>3412</v>
      </c>
      <c r="F137" s="12"/>
      <c r="G137" s="12"/>
      <c r="H137" s="12"/>
      <c r="I137" s="22" t="s">
        <v>2695</v>
      </c>
      <c r="J137" s="18" t="s">
        <v>2696</v>
      </c>
      <c r="K137" s="18" t="s">
        <v>2697</v>
      </c>
      <c r="L137" s="18" t="s">
        <v>2698</v>
      </c>
      <c r="M137" s="13" t="e">
        <f>VLOOKUP(#REF!,#REF!, 5)</f>
        <v>#REF!</v>
      </c>
      <c r="N137" s="18" t="s">
        <v>18</v>
      </c>
      <c r="O137" s="12" t="s">
        <v>2700</v>
      </c>
      <c r="S137"/>
    </row>
    <row r="138" spans="1:19" ht="167.8" hidden="1" x14ac:dyDescent="0.2">
      <c r="A138" s="12" t="s">
        <v>786</v>
      </c>
      <c r="B138" s="12" t="s">
        <v>787</v>
      </c>
      <c r="C138" s="37" t="s">
        <v>788</v>
      </c>
      <c r="D138" s="12" t="s">
        <v>789</v>
      </c>
      <c r="E138" s="12" t="s">
        <v>3412</v>
      </c>
      <c r="F138" s="12"/>
      <c r="G138" s="12"/>
      <c r="H138" s="12"/>
      <c r="I138" s="22" t="s">
        <v>2701</v>
      </c>
      <c r="J138" s="18" t="s">
        <v>2702</v>
      </c>
      <c r="K138" s="18"/>
      <c r="L138" s="18" t="s">
        <v>2698</v>
      </c>
      <c r="M138" s="13" t="e">
        <f>VLOOKUP(#REF!,#REF!, 5)</f>
        <v>#REF!</v>
      </c>
      <c r="N138" s="18" t="s">
        <v>18</v>
      </c>
      <c r="S138"/>
    </row>
    <row r="139" spans="1:19" ht="180.7" hidden="1" x14ac:dyDescent="0.2">
      <c r="A139" s="12" t="s">
        <v>792</v>
      </c>
      <c r="B139" s="12" t="s">
        <v>793</v>
      </c>
      <c r="C139" s="37" t="s">
        <v>794</v>
      </c>
      <c r="D139" s="12" t="s">
        <v>2703</v>
      </c>
      <c r="E139" s="12" t="s">
        <v>3412</v>
      </c>
      <c r="F139" s="12"/>
      <c r="G139" s="12"/>
      <c r="H139" s="12"/>
      <c r="I139" s="22" t="s">
        <v>2705</v>
      </c>
      <c r="J139" s="18" t="s">
        <v>2706</v>
      </c>
      <c r="K139" s="18"/>
      <c r="L139" s="18" t="s">
        <v>2698</v>
      </c>
      <c r="M139" s="13" t="e">
        <f>VLOOKUP(#REF!,#REF!, 5)</f>
        <v>#REF!</v>
      </c>
      <c r="N139" s="18" t="s">
        <v>18</v>
      </c>
      <c r="S139"/>
    </row>
    <row r="140" spans="1:19" ht="409.6" hidden="1" x14ac:dyDescent="0.2">
      <c r="A140" s="12" t="s">
        <v>799</v>
      </c>
      <c r="B140" s="12" t="s">
        <v>800</v>
      </c>
      <c r="C140" s="37" t="s">
        <v>801</v>
      </c>
      <c r="D140" s="12" t="s">
        <v>802</v>
      </c>
      <c r="E140" s="12" t="s">
        <v>3412</v>
      </c>
      <c r="F140" s="12"/>
      <c r="G140" s="12"/>
      <c r="H140" s="12"/>
      <c r="I140" s="22" t="s">
        <v>2707</v>
      </c>
      <c r="J140" s="18" t="s">
        <v>2708</v>
      </c>
      <c r="K140" s="18"/>
      <c r="L140" s="18"/>
      <c r="M140" s="13" t="e">
        <f>VLOOKUP(#REF!,#REF!, 5)</f>
        <v>#REF!</v>
      </c>
      <c r="N140" s="18" t="s">
        <v>18</v>
      </c>
      <c r="S140"/>
    </row>
    <row r="141" spans="1:19" ht="400.1" hidden="1" x14ac:dyDescent="0.2">
      <c r="A141" s="12" t="s">
        <v>805</v>
      </c>
      <c r="B141" s="12" t="s">
        <v>806</v>
      </c>
      <c r="C141" s="51" t="s">
        <v>807</v>
      </c>
      <c r="D141" s="39" t="s">
        <v>808</v>
      </c>
      <c r="E141" s="12" t="s">
        <v>3412</v>
      </c>
      <c r="F141" s="39"/>
      <c r="G141" s="39"/>
      <c r="H141" s="39"/>
      <c r="I141" s="22" t="s">
        <v>2709</v>
      </c>
      <c r="J141" s="18" t="s">
        <v>2710</v>
      </c>
      <c r="K141" s="18"/>
      <c r="L141" s="18"/>
      <c r="M141" s="13" t="e">
        <f>VLOOKUP(#REF!,#REF!, 5)</f>
        <v>#REF!</v>
      </c>
      <c r="N141" s="18" t="s">
        <v>18</v>
      </c>
      <c r="S141"/>
    </row>
    <row r="142" spans="1:19" ht="271.05" hidden="1" x14ac:dyDescent="0.2">
      <c r="A142" s="12" t="s">
        <v>811</v>
      </c>
      <c r="B142" s="12" t="s">
        <v>812</v>
      </c>
      <c r="C142" s="37" t="s">
        <v>813</v>
      </c>
      <c r="D142" s="12" t="s">
        <v>814</v>
      </c>
      <c r="E142" s="12" t="s">
        <v>3412</v>
      </c>
      <c r="F142" s="12"/>
      <c r="G142" s="12"/>
      <c r="H142" s="12"/>
      <c r="I142" s="22" t="s">
        <v>2711</v>
      </c>
      <c r="J142" s="18" t="s">
        <v>2712</v>
      </c>
      <c r="K142" s="18"/>
      <c r="L142" s="18"/>
      <c r="M142" s="13" t="e">
        <f>VLOOKUP(#REF!,#REF!, 5)</f>
        <v>#REF!</v>
      </c>
      <c r="N142" s="18" t="s">
        <v>18</v>
      </c>
      <c r="S142"/>
    </row>
    <row r="143" spans="1:19" ht="309.75" hidden="1" x14ac:dyDescent="0.2">
      <c r="A143" s="12" t="s">
        <v>817</v>
      </c>
      <c r="B143" s="12" t="s">
        <v>818</v>
      </c>
      <c r="C143" s="37" t="s">
        <v>819</v>
      </c>
      <c r="D143" s="12" t="s">
        <v>820</v>
      </c>
      <c r="E143" s="12" t="s">
        <v>3412</v>
      </c>
      <c r="F143" s="12"/>
      <c r="G143" s="12"/>
      <c r="H143" s="12"/>
      <c r="I143" s="22" t="s">
        <v>2713</v>
      </c>
      <c r="J143" s="18" t="s">
        <v>2714</v>
      </c>
      <c r="K143" s="18"/>
      <c r="L143" s="18"/>
      <c r="M143" s="13" t="e">
        <f>VLOOKUP(#REF!,#REF!, 5)</f>
        <v>#REF!</v>
      </c>
      <c r="N143" s="18" t="s">
        <v>18</v>
      </c>
      <c r="S143"/>
    </row>
    <row r="144" spans="1:19" ht="142" hidden="1" x14ac:dyDescent="0.2">
      <c r="A144" s="12" t="s">
        <v>823</v>
      </c>
      <c r="B144" s="12" t="s">
        <v>824</v>
      </c>
      <c r="C144" s="37" t="s">
        <v>825</v>
      </c>
      <c r="D144" s="12" t="s">
        <v>826</v>
      </c>
      <c r="E144" s="12" t="s">
        <v>3412</v>
      </c>
      <c r="F144" s="12"/>
      <c r="G144" s="12"/>
      <c r="H144" s="12"/>
      <c r="I144" s="22" t="s">
        <v>2345</v>
      </c>
      <c r="J144" s="18" t="s">
        <v>2715</v>
      </c>
      <c r="K144" s="18"/>
      <c r="L144" s="18" t="s">
        <v>2698</v>
      </c>
      <c r="M144" s="13" t="e">
        <f>VLOOKUP(#REF!,#REF!, 5)</f>
        <v>#REF!</v>
      </c>
      <c r="N144" s="18" t="s">
        <v>18</v>
      </c>
      <c r="S144"/>
    </row>
    <row r="145" spans="1:19" ht="154.9" hidden="1" x14ac:dyDescent="0.2">
      <c r="A145" s="12" t="s">
        <v>829</v>
      </c>
      <c r="B145" s="12" t="s">
        <v>830</v>
      </c>
      <c r="C145" s="37" t="s">
        <v>831</v>
      </c>
      <c r="D145" s="12" t="s">
        <v>832</v>
      </c>
      <c r="E145" s="12" t="s">
        <v>3412</v>
      </c>
      <c r="F145" s="12"/>
      <c r="G145" s="12"/>
      <c r="H145" s="12"/>
      <c r="I145" s="22" t="s">
        <v>2345</v>
      </c>
      <c r="J145" s="18" t="s">
        <v>2716</v>
      </c>
      <c r="K145" s="18"/>
      <c r="L145" s="18" t="s">
        <v>2698</v>
      </c>
      <c r="M145" s="13" t="e">
        <f>VLOOKUP(#REF!,#REF!, 5)</f>
        <v>#REF!</v>
      </c>
      <c r="N145" s="18" t="s">
        <v>18</v>
      </c>
      <c r="S145"/>
    </row>
    <row r="146" spans="1:19" ht="154.9" hidden="1" x14ac:dyDescent="0.2">
      <c r="A146" s="12" t="s">
        <v>835</v>
      </c>
      <c r="B146" s="12" t="s">
        <v>836</v>
      </c>
      <c r="C146" s="37" t="s">
        <v>837</v>
      </c>
      <c r="D146" s="12" t="s">
        <v>838</v>
      </c>
      <c r="E146" s="12" t="s">
        <v>3412</v>
      </c>
      <c r="F146" s="12"/>
      <c r="G146" s="12"/>
      <c r="H146" s="12"/>
      <c r="I146" s="22" t="s">
        <v>2345</v>
      </c>
      <c r="J146" s="18" t="s">
        <v>2717</v>
      </c>
      <c r="K146" s="18"/>
      <c r="L146" s="18" t="s">
        <v>2698</v>
      </c>
      <c r="M146" s="13" t="e">
        <f>VLOOKUP(#REF!,#REF!, 5)</f>
        <v>#REF!</v>
      </c>
      <c r="N146" s="18" t="s">
        <v>18</v>
      </c>
      <c r="S146"/>
    </row>
    <row r="147" spans="1:19" ht="142" hidden="1" x14ac:dyDescent="0.2">
      <c r="A147" s="12" t="s">
        <v>841</v>
      </c>
      <c r="B147" s="12" t="s">
        <v>842</v>
      </c>
      <c r="C147" s="37" t="s">
        <v>843</v>
      </c>
      <c r="D147" s="12" t="s">
        <v>844</v>
      </c>
      <c r="E147" s="12" t="s">
        <v>3412</v>
      </c>
      <c r="F147" s="12"/>
      <c r="G147" s="12"/>
      <c r="H147" s="12"/>
      <c r="I147" s="22" t="s">
        <v>2345</v>
      </c>
      <c r="J147" s="18" t="s">
        <v>2719</v>
      </c>
      <c r="K147" s="18"/>
      <c r="L147" s="18"/>
      <c r="M147" s="13" t="e">
        <f>VLOOKUP(#REF!,#REF!, 5)</f>
        <v>#REF!</v>
      </c>
      <c r="N147" s="18" t="s">
        <v>18</v>
      </c>
      <c r="S147"/>
    </row>
    <row r="148" spans="1:19" ht="116.15" hidden="1" x14ac:dyDescent="0.2">
      <c r="A148" s="12" t="s">
        <v>847</v>
      </c>
      <c r="B148" s="12" t="s">
        <v>848</v>
      </c>
      <c r="C148" s="37" t="s">
        <v>849</v>
      </c>
      <c r="D148" s="12" t="s">
        <v>850</v>
      </c>
      <c r="E148" s="12" t="s">
        <v>3412</v>
      </c>
      <c r="F148" s="12"/>
      <c r="G148" s="12"/>
      <c r="H148" s="12"/>
      <c r="I148" s="22" t="s">
        <v>2345</v>
      </c>
      <c r="J148" s="18" t="s">
        <v>2721</v>
      </c>
      <c r="K148" s="18"/>
      <c r="L148" s="18"/>
      <c r="M148" s="13" t="e">
        <f>VLOOKUP(#REF!,#REF!, 5)</f>
        <v>#REF!</v>
      </c>
      <c r="N148" s="18" t="s">
        <v>18</v>
      </c>
      <c r="S148"/>
    </row>
    <row r="149" spans="1:19" ht="103.25" hidden="1" x14ac:dyDescent="0.2">
      <c r="A149" s="12" t="s">
        <v>854</v>
      </c>
      <c r="B149" s="12" t="s">
        <v>855</v>
      </c>
      <c r="C149" s="37" t="s">
        <v>856</v>
      </c>
      <c r="D149" s="12" t="s">
        <v>857</v>
      </c>
      <c r="E149" s="12" t="s">
        <v>3412</v>
      </c>
      <c r="F149" s="12"/>
      <c r="G149" s="12"/>
      <c r="H149" s="12"/>
      <c r="I149" s="22" t="s">
        <v>2345</v>
      </c>
      <c r="J149" s="18" t="s">
        <v>2723</v>
      </c>
      <c r="K149" s="18"/>
      <c r="L149" s="18"/>
      <c r="M149" s="13" t="e">
        <f>VLOOKUP(#REF!,#REF!, 5)</f>
        <v>#REF!</v>
      </c>
      <c r="N149" s="18" t="s">
        <v>18</v>
      </c>
      <c r="S149"/>
    </row>
    <row r="150" spans="1:19" ht="167.8" hidden="1" x14ac:dyDescent="0.2">
      <c r="A150" s="12" t="s">
        <v>861</v>
      </c>
      <c r="B150" s="12" t="s">
        <v>862</v>
      </c>
      <c r="C150" s="37" t="s">
        <v>863</v>
      </c>
      <c r="D150" s="12" t="s">
        <v>864</v>
      </c>
      <c r="E150" s="12" t="s">
        <v>3412</v>
      </c>
      <c r="F150" s="12"/>
      <c r="G150" s="12"/>
      <c r="H150" s="12"/>
      <c r="I150" s="22" t="s">
        <v>2345</v>
      </c>
      <c r="J150" s="18" t="s">
        <v>2724</v>
      </c>
      <c r="K150" s="18"/>
      <c r="L150" s="18"/>
      <c r="M150" s="13" t="e">
        <f>VLOOKUP(#REF!,#REF!, 5)</f>
        <v>#REF!</v>
      </c>
      <c r="N150" s="18" t="s">
        <v>18</v>
      </c>
      <c r="S150"/>
    </row>
    <row r="151" spans="1:19" ht="51.65" hidden="1" x14ac:dyDescent="0.2">
      <c r="A151" s="12" t="s">
        <v>867</v>
      </c>
      <c r="B151" s="12" t="s">
        <v>868</v>
      </c>
      <c r="C151" s="51" t="s">
        <v>869</v>
      </c>
      <c r="D151" s="39" t="s">
        <v>870</v>
      </c>
      <c r="E151" s="12" t="s">
        <v>3412</v>
      </c>
      <c r="F151" s="39"/>
      <c r="G151" s="39"/>
      <c r="H151" s="39"/>
      <c r="I151" s="22" t="s">
        <v>2345</v>
      </c>
      <c r="J151" s="18" t="s">
        <v>2726</v>
      </c>
      <c r="K151" s="18"/>
      <c r="L151" s="18" t="s">
        <v>2727</v>
      </c>
      <c r="M151" s="13" t="e">
        <f>VLOOKUP(#REF!,#REF!, 5)</f>
        <v>#REF!</v>
      </c>
      <c r="N151" s="18" t="s">
        <v>18</v>
      </c>
      <c r="S151"/>
    </row>
    <row r="152" spans="1:19" ht="116.15" hidden="1" x14ac:dyDescent="0.2">
      <c r="A152" s="12" t="s">
        <v>873</v>
      </c>
      <c r="B152" s="12" t="s">
        <v>874</v>
      </c>
      <c r="C152" s="37" t="s">
        <v>875</v>
      </c>
      <c r="D152" s="12" t="s">
        <v>876</v>
      </c>
      <c r="E152" s="12" t="s">
        <v>3412</v>
      </c>
      <c r="F152" s="12"/>
      <c r="G152" s="12"/>
      <c r="H152" s="12"/>
      <c r="I152" s="22" t="s">
        <v>2728</v>
      </c>
      <c r="J152" s="18" t="s">
        <v>2729</v>
      </c>
      <c r="K152" s="18"/>
      <c r="L152" s="18"/>
      <c r="M152" s="13" t="e">
        <f>VLOOKUP(#REF!,#REF!, 5)</f>
        <v>#REF!</v>
      </c>
      <c r="N152" s="18" t="s">
        <v>18</v>
      </c>
      <c r="S152"/>
    </row>
    <row r="153" spans="1:19" ht="322.64999999999998" hidden="1" x14ac:dyDescent="0.2">
      <c r="A153" s="12" t="s">
        <v>879</v>
      </c>
      <c r="B153" s="12" t="s">
        <v>880</v>
      </c>
      <c r="C153" s="37" t="s">
        <v>881</v>
      </c>
      <c r="D153" s="12" t="s">
        <v>882</v>
      </c>
      <c r="E153" s="12" t="s">
        <v>3412</v>
      </c>
      <c r="F153" s="12"/>
      <c r="G153" s="12"/>
      <c r="H153" s="12"/>
      <c r="I153" s="22" t="s">
        <v>2345</v>
      </c>
      <c r="J153" s="18" t="s">
        <v>2730</v>
      </c>
      <c r="K153" s="18"/>
      <c r="L153" s="18"/>
      <c r="M153" s="13" t="e">
        <f>VLOOKUP(#REF!,#REF!, 5)</f>
        <v>#REF!</v>
      </c>
      <c r="N153" s="18" t="s">
        <v>18</v>
      </c>
      <c r="S153"/>
    </row>
    <row r="154" spans="1:19" ht="206.5" hidden="1" x14ac:dyDescent="0.2">
      <c r="A154" s="12" t="s">
        <v>884</v>
      </c>
      <c r="B154" s="12" t="s">
        <v>885</v>
      </c>
      <c r="C154" s="37" t="s">
        <v>886</v>
      </c>
      <c r="D154" s="12" t="s">
        <v>887</v>
      </c>
      <c r="E154" s="12" t="s">
        <v>3412</v>
      </c>
      <c r="F154" s="12"/>
      <c r="G154" s="12"/>
      <c r="H154" s="12"/>
      <c r="I154" s="22" t="s">
        <v>2345</v>
      </c>
      <c r="J154" s="18" t="s">
        <v>2731</v>
      </c>
      <c r="K154" s="18"/>
      <c r="L154" s="18"/>
      <c r="M154" s="13" t="e">
        <f>VLOOKUP(#REF!,#REF!, 5)</f>
        <v>#REF!</v>
      </c>
      <c r="N154" s="18" t="s">
        <v>18</v>
      </c>
      <c r="S154"/>
    </row>
    <row r="155" spans="1:19" ht="51.65" hidden="1" x14ac:dyDescent="0.2">
      <c r="A155" s="12" t="s">
        <v>889</v>
      </c>
      <c r="B155" s="12" t="s">
        <v>890</v>
      </c>
      <c r="C155" s="37" t="s">
        <v>891</v>
      </c>
      <c r="D155" s="12" t="s">
        <v>892</v>
      </c>
      <c r="E155" s="12" t="s">
        <v>3412</v>
      </c>
      <c r="F155" s="12"/>
      <c r="G155" s="12"/>
      <c r="H155" s="12"/>
      <c r="I155" s="22" t="s">
        <v>2732</v>
      </c>
      <c r="J155" s="18" t="s">
        <v>2733</v>
      </c>
      <c r="K155" s="18"/>
      <c r="L155" s="18"/>
      <c r="M155" s="13" t="e">
        <f>VLOOKUP(#REF!,#REF!, 5)</f>
        <v>#REF!</v>
      </c>
      <c r="N155" s="18" t="s">
        <v>18</v>
      </c>
      <c r="S155"/>
    </row>
    <row r="156" spans="1:19" ht="38.75" hidden="1" x14ac:dyDescent="0.2">
      <c r="A156" s="12" t="s">
        <v>895</v>
      </c>
      <c r="B156" s="12" t="s">
        <v>896</v>
      </c>
      <c r="C156" s="37" t="s">
        <v>897</v>
      </c>
      <c r="D156" s="12" t="s">
        <v>898</v>
      </c>
      <c r="E156" s="12" t="s">
        <v>3412</v>
      </c>
      <c r="F156" s="12"/>
      <c r="G156" s="12"/>
      <c r="H156" s="12"/>
      <c r="I156" s="22" t="s">
        <v>2732</v>
      </c>
      <c r="J156" s="18"/>
      <c r="K156" s="18"/>
      <c r="L156" s="18"/>
      <c r="M156" s="13" t="e">
        <f>VLOOKUP(#REF!,#REF!, 5)</f>
        <v>#REF!</v>
      </c>
      <c r="N156" s="18" t="s">
        <v>18</v>
      </c>
      <c r="S156"/>
    </row>
    <row r="157" spans="1:19" ht="38.75" hidden="1" x14ac:dyDescent="0.2">
      <c r="A157" s="12" t="s">
        <v>895</v>
      </c>
      <c r="B157" s="12" t="s">
        <v>900</v>
      </c>
      <c r="C157" s="37" t="s">
        <v>901</v>
      </c>
      <c r="D157" s="12" t="s">
        <v>902</v>
      </c>
      <c r="E157" s="12" t="s">
        <v>3412</v>
      </c>
      <c r="F157" s="12"/>
      <c r="G157" s="12"/>
      <c r="H157" s="12"/>
      <c r="I157" s="22" t="s">
        <v>2732</v>
      </c>
      <c r="J157" s="18"/>
      <c r="K157" s="18"/>
      <c r="L157" s="18"/>
      <c r="M157" s="13" t="e">
        <f>VLOOKUP(#REF!,#REF!, 5)</f>
        <v>#REF!</v>
      </c>
      <c r="N157" s="18" t="s">
        <v>18</v>
      </c>
      <c r="S157"/>
    </row>
    <row r="158" spans="1:19" ht="51.65" hidden="1" x14ac:dyDescent="0.2">
      <c r="A158" s="12" t="s">
        <v>903</v>
      </c>
      <c r="B158" s="12" t="s">
        <v>904</v>
      </c>
      <c r="C158" s="37" t="s">
        <v>905</v>
      </c>
      <c r="D158" s="12" t="s">
        <v>906</v>
      </c>
      <c r="E158" s="12" t="s">
        <v>3412</v>
      </c>
      <c r="F158" s="12"/>
      <c r="G158" s="12"/>
      <c r="H158" s="12"/>
      <c r="I158" s="22" t="s">
        <v>2732</v>
      </c>
      <c r="J158" s="18"/>
      <c r="K158" s="18"/>
      <c r="L158" s="18"/>
      <c r="M158" s="13" t="e">
        <f>VLOOKUP(#REF!,#REF!, 5)</f>
        <v>#REF!</v>
      </c>
      <c r="N158" s="18" t="s">
        <v>18</v>
      </c>
      <c r="S158"/>
    </row>
    <row r="159" spans="1:19" ht="51.65" hidden="1" x14ac:dyDescent="0.2">
      <c r="A159" s="12" t="s">
        <v>903</v>
      </c>
      <c r="B159" s="12" t="s">
        <v>908</v>
      </c>
      <c r="C159" s="37" t="s">
        <v>909</v>
      </c>
      <c r="D159" s="12" t="s">
        <v>910</v>
      </c>
      <c r="E159" s="12" t="s">
        <v>3412</v>
      </c>
      <c r="F159" s="12"/>
      <c r="G159" s="12"/>
      <c r="H159" s="12"/>
      <c r="I159" s="22" t="s">
        <v>2732</v>
      </c>
      <c r="J159" s="18" t="s">
        <v>2734</v>
      </c>
      <c r="K159" s="18"/>
      <c r="L159" s="18"/>
      <c r="M159" s="13" t="e">
        <f>VLOOKUP(#REF!,#REF!, 5)</f>
        <v>#REF!</v>
      </c>
      <c r="N159" s="18" t="s">
        <v>18</v>
      </c>
      <c r="S159"/>
    </row>
    <row r="160" spans="1:19" ht="409.6" hidden="1" x14ac:dyDescent="0.2">
      <c r="A160" s="12" t="s">
        <v>911</v>
      </c>
      <c r="B160" s="12" t="s">
        <v>912</v>
      </c>
      <c r="C160" s="37" t="s">
        <v>913</v>
      </c>
      <c r="D160" s="12" t="s">
        <v>914</v>
      </c>
      <c r="E160" s="12" t="s">
        <v>3412</v>
      </c>
      <c r="F160" s="12"/>
      <c r="G160" s="12"/>
      <c r="H160" s="12"/>
      <c r="I160" s="22" t="s">
        <v>2735</v>
      </c>
      <c r="J160" s="18" t="s">
        <v>2736</v>
      </c>
      <c r="K160" s="19" t="s">
        <v>2737</v>
      </c>
      <c r="L160" s="18"/>
      <c r="M160" s="13" t="e">
        <f>VLOOKUP(#REF!,#REF!, 5)</f>
        <v>#REF!</v>
      </c>
      <c r="N160" s="18" t="s">
        <v>18</v>
      </c>
      <c r="O160" s="12" t="s">
        <v>2700</v>
      </c>
      <c r="S160"/>
    </row>
    <row r="161" spans="1:19" ht="258.14999999999998" hidden="1" x14ac:dyDescent="0.2">
      <c r="A161" s="12" t="s">
        <v>918</v>
      </c>
      <c r="B161" s="12" t="s">
        <v>919</v>
      </c>
      <c r="C161" s="37" t="s">
        <v>920</v>
      </c>
      <c r="D161" s="12" t="s">
        <v>914</v>
      </c>
      <c r="E161" s="12" t="s">
        <v>3412</v>
      </c>
      <c r="F161" s="12"/>
      <c r="G161" s="12"/>
      <c r="H161" s="12"/>
      <c r="I161" s="22" t="s">
        <v>2345</v>
      </c>
      <c r="J161" s="18" t="s">
        <v>2738</v>
      </c>
      <c r="K161" s="18"/>
      <c r="L161" s="18"/>
      <c r="M161" s="13" t="e">
        <f>VLOOKUP(#REF!,#REF!, 5)</f>
        <v>#REF!</v>
      </c>
      <c r="N161" s="18" t="s">
        <v>18</v>
      </c>
      <c r="O161" s="12" t="s">
        <v>2700</v>
      </c>
      <c r="S161"/>
    </row>
    <row r="162" spans="1:19" ht="154.9" hidden="1" x14ac:dyDescent="0.2">
      <c r="A162" s="12" t="s">
        <v>924</v>
      </c>
      <c r="B162" s="12" t="s">
        <v>925</v>
      </c>
      <c r="C162" s="37" t="s">
        <v>926</v>
      </c>
      <c r="D162" s="12" t="s">
        <v>927</v>
      </c>
      <c r="E162" s="12" t="s">
        <v>3412</v>
      </c>
      <c r="F162" s="12"/>
      <c r="G162" s="12"/>
      <c r="H162" s="12"/>
      <c r="I162" s="22" t="s">
        <v>2345</v>
      </c>
      <c r="J162" s="18" t="s">
        <v>2739</v>
      </c>
      <c r="K162" s="18"/>
      <c r="L162" s="18"/>
      <c r="M162" s="13" t="e">
        <f>VLOOKUP(#REF!,#REF!, 5)</f>
        <v>#REF!</v>
      </c>
      <c r="N162" s="18" t="s">
        <v>18</v>
      </c>
      <c r="O162" s="12" t="s">
        <v>2700</v>
      </c>
      <c r="S162"/>
    </row>
    <row r="163" spans="1:19" ht="116.15" hidden="1" x14ac:dyDescent="0.2">
      <c r="A163" s="12" t="s">
        <v>930</v>
      </c>
      <c r="B163" s="12" t="s">
        <v>931</v>
      </c>
      <c r="C163" s="37" t="s">
        <v>932</v>
      </c>
      <c r="D163" s="12" t="s">
        <v>914</v>
      </c>
      <c r="E163" s="12" t="s">
        <v>3412</v>
      </c>
      <c r="F163" s="12"/>
      <c r="G163" s="12"/>
      <c r="H163" s="12"/>
      <c r="I163" s="22" t="s">
        <v>2345</v>
      </c>
      <c r="J163" s="18" t="s">
        <v>2740</v>
      </c>
      <c r="K163" s="18"/>
      <c r="L163" s="18"/>
      <c r="M163" s="13" t="e">
        <f>VLOOKUP(#REF!,#REF!, 5)</f>
        <v>#REF!</v>
      </c>
      <c r="N163" s="18" t="s">
        <v>18</v>
      </c>
      <c r="O163" s="12" t="s">
        <v>2700</v>
      </c>
      <c r="S163"/>
    </row>
    <row r="164" spans="1:19" ht="154.9" hidden="1" x14ac:dyDescent="0.2">
      <c r="A164" s="12" t="s">
        <v>933</v>
      </c>
      <c r="B164" s="12" t="s">
        <v>934</v>
      </c>
      <c r="C164" s="37" t="s">
        <v>935</v>
      </c>
      <c r="D164" s="12" t="s">
        <v>936</v>
      </c>
      <c r="E164" s="12" t="s">
        <v>3412</v>
      </c>
      <c r="F164" s="12"/>
      <c r="G164" s="12"/>
      <c r="H164" s="12"/>
      <c r="I164" s="22" t="s">
        <v>2345</v>
      </c>
      <c r="J164" s="18" t="s">
        <v>2741</v>
      </c>
      <c r="K164" s="18"/>
      <c r="L164" s="18"/>
      <c r="M164" s="13" t="e">
        <f>VLOOKUP(#REF!,#REF!, 5)</f>
        <v>#REF!</v>
      </c>
      <c r="N164" s="18" t="s">
        <v>18</v>
      </c>
      <c r="O164" s="12" t="s">
        <v>2700</v>
      </c>
      <c r="S164"/>
    </row>
    <row r="165" spans="1:19" ht="219.4" hidden="1" x14ac:dyDescent="0.2">
      <c r="A165" s="12" t="s">
        <v>938</v>
      </c>
      <c r="B165" s="12" t="s">
        <v>939</v>
      </c>
      <c r="C165" s="37" t="s">
        <v>940</v>
      </c>
      <c r="D165" s="12" t="s">
        <v>914</v>
      </c>
      <c r="E165" s="12" t="s">
        <v>3412</v>
      </c>
      <c r="F165" s="12"/>
      <c r="G165" s="12"/>
      <c r="H165" s="12"/>
      <c r="I165" s="22" t="s">
        <v>2345</v>
      </c>
      <c r="J165" s="18" t="s">
        <v>2742</v>
      </c>
      <c r="K165" s="18"/>
      <c r="L165" s="18"/>
      <c r="M165" s="13" t="e">
        <f>VLOOKUP(#REF!,#REF!, 5)</f>
        <v>#REF!</v>
      </c>
      <c r="N165" s="18" t="s">
        <v>18</v>
      </c>
      <c r="O165" s="12" t="s">
        <v>2700</v>
      </c>
      <c r="S165"/>
    </row>
    <row r="166" spans="1:19" ht="180.7" hidden="1" x14ac:dyDescent="0.2">
      <c r="A166" s="12" t="s">
        <v>941</v>
      </c>
      <c r="B166" s="12" t="s">
        <v>942</v>
      </c>
      <c r="C166" s="37" t="s">
        <v>943</v>
      </c>
      <c r="D166" s="12" t="s">
        <v>944</v>
      </c>
      <c r="E166" s="12" t="s">
        <v>3412</v>
      </c>
      <c r="F166" s="12"/>
      <c r="G166" s="12"/>
      <c r="H166" s="12"/>
      <c r="I166" s="22" t="s">
        <v>2743</v>
      </c>
      <c r="J166" s="18" t="s">
        <v>2744</v>
      </c>
      <c r="K166" s="18"/>
      <c r="L166" s="18"/>
      <c r="M166" s="13" t="e">
        <f>VLOOKUP(#REF!,#REF!, 5)</f>
        <v>#REF!</v>
      </c>
      <c r="N166" s="18" t="s">
        <v>18</v>
      </c>
      <c r="O166" s="12" t="s">
        <v>2700</v>
      </c>
      <c r="S166"/>
    </row>
    <row r="167" spans="1:19" ht="116.15" hidden="1" x14ac:dyDescent="0.2">
      <c r="A167" s="12" t="s">
        <v>947</v>
      </c>
      <c r="B167" s="12" t="s">
        <v>948</v>
      </c>
      <c r="C167" s="37" t="s">
        <v>949</v>
      </c>
      <c r="D167" s="12" t="s">
        <v>914</v>
      </c>
      <c r="E167" s="12" t="s">
        <v>3412</v>
      </c>
      <c r="F167" s="12"/>
      <c r="G167" s="12"/>
      <c r="H167" s="12"/>
      <c r="I167" s="22" t="s">
        <v>2743</v>
      </c>
      <c r="J167" s="18" t="s">
        <v>2746</v>
      </c>
      <c r="K167" s="18"/>
      <c r="L167" s="18"/>
      <c r="M167" s="13" t="e">
        <f>VLOOKUP(#REF!,#REF!, 5)</f>
        <v>#REF!</v>
      </c>
      <c r="N167" s="18" t="s">
        <v>18</v>
      </c>
      <c r="O167" s="12" t="s">
        <v>2700</v>
      </c>
      <c r="S167"/>
    </row>
    <row r="168" spans="1:19" ht="219.4" hidden="1" x14ac:dyDescent="0.2">
      <c r="A168" s="12" t="s">
        <v>950</v>
      </c>
      <c r="B168" s="12" t="s">
        <v>951</v>
      </c>
      <c r="C168" s="37" t="s">
        <v>952</v>
      </c>
      <c r="D168" s="12" t="s">
        <v>953</v>
      </c>
      <c r="E168" s="12" t="s">
        <v>3412</v>
      </c>
      <c r="F168" s="12"/>
      <c r="G168" s="12"/>
      <c r="H168" s="12"/>
      <c r="I168" s="22" t="s">
        <v>2747</v>
      </c>
      <c r="J168" s="18" t="s">
        <v>2748</v>
      </c>
      <c r="K168" s="18"/>
      <c r="L168" s="18"/>
      <c r="M168" s="13" t="e">
        <f>VLOOKUP(#REF!,#REF!, 5)</f>
        <v>#REF!</v>
      </c>
      <c r="N168" s="18" t="s">
        <v>18</v>
      </c>
      <c r="O168" s="12" t="s">
        <v>2700</v>
      </c>
      <c r="S168"/>
    </row>
    <row r="169" spans="1:19" ht="219.4" hidden="1" x14ac:dyDescent="0.2">
      <c r="A169" s="12" t="s">
        <v>955</v>
      </c>
      <c r="B169" s="12" t="s">
        <v>956</v>
      </c>
      <c r="C169" s="37" t="s">
        <v>957</v>
      </c>
      <c r="D169" s="12" t="s">
        <v>958</v>
      </c>
      <c r="E169" s="12" t="s">
        <v>3412</v>
      </c>
      <c r="F169" s="12"/>
      <c r="G169" s="12"/>
      <c r="H169" s="12"/>
      <c r="I169" s="22" t="s">
        <v>2345</v>
      </c>
      <c r="J169" s="18" t="s">
        <v>2749</v>
      </c>
      <c r="K169" s="18"/>
      <c r="L169" s="18"/>
      <c r="M169" s="13" t="e">
        <f>VLOOKUP(#REF!,#REF!, 5)</f>
        <v>#REF!</v>
      </c>
      <c r="N169" s="18" t="s">
        <v>18</v>
      </c>
      <c r="O169" s="12" t="s">
        <v>2700</v>
      </c>
      <c r="S169"/>
    </row>
    <row r="170" spans="1:19" ht="322.64999999999998" hidden="1" x14ac:dyDescent="0.2">
      <c r="A170" s="12" t="s">
        <v>955</v>
      </c>
      <c r="B170" s="12" t="s">
        <v>962</v>
      </c>
      <c r="C170" s="37" t="s">
        <v>963</v>
      </c>
      <c r="D170" s="12" t="s">
        <v>964</v>
      </c>
      <c r="E170" s="12" t="s">
        <v>3412</v>
      </c>
      <c r="F170" s="12"/>
      <c r="G170" s="12"/>
      <c r="H170" s="12"/>
      <c r="I170" s="22" t="s">
        <v>2345</v>
      </c>
      <c r="J170" s="18" t="s">
        <v>2750</v>
      </c>
      <c r="K170" s="18"/>
      <c r="L170" s="18"/>
      <c r="M170" s="13" t="e">
        <f>VLOOKUP(#REF!,#REF!, 5)</f>
        <v>#REF!</v>
      </c>
      <c r="N170" s="18" t="s">
        <v>18</v>
      </c>
      <c r="O170" s="12" t="s">
        <v>2700</v>
      </c>
      <c r="S170"/>
    </row>
    <row r="171" spans="1:19" ht="167.8" hidden="1" x14ac:dyDescent="0.2">
      <c r="A171" s="12" t="s">
        <v>965</v>
      </c>
      <c r="B171" s="12" t="s">
        <v>966</v>
      </c>
      <c r="C171" s="37" t="s">
        <v>967</v>
      </c>
      <c r="D171" s="12" t="s">
        <v>968</v>
      </c>
      <c r="E171" s="12" t="s">
        <v>3412</v>
      </c>
      <c r="F171" s="12"/>
      <c r="G171" s="12"/>
      <c r="H171" s="12"/>
      <c r="I171" s="22" t="s">
        <v>2751</v>
      </c>
      <c r="J171" s="22" t="s">
        <v>2752</v>
      </c>
      <c r="K171" s="19" t="s">
        <v>2753</v>
      </c>
      <c r="L171" s="18"/>
      <c r="M171" s="13" t="e">
        <f>VLOOKUP(#REF!,#REF!, 5)</f>
        <v>#REF!</v>
      </c>
      <c r="N171" s="18" t="s">
        <v>18</v>
      </c>
      <c r="S171"/>
    </row>
    <row r="172" spans="1:19" ht="64.55" hidden="1" x14ac:dyDescent="0.2">
      <c r="A172" s="12" t="s">
        <v>971</v>
      </c>
      <c r="B172" s="12" t="s">
        <v>972</v>
      </c>
      <c r="C172" s="37" t="s">
        <v>973</v>
      </c>
      <c r="D172" s="12" t="s">
        <v>974</v>
      </c>
      <c r="E172" s="12" t="s">
        <v>3412</v>
      </c>
      <c r="F172" s="12"/>
      <c r="G172" s="12"/>
      <c r="H172" s="12"/>
      <c r="I172" s="22" t="s">
        <v>2345</v>
      </c>
      <c r="J172" s="18"/>
      <c r="K172" s="18"/>
      <c r="L172" s="18"/>
      <c r="M172" s="13" t="e">
        <f>VLOOKUP(#REF!,#REF!, 5)</f>
        <v>#REF!</v>
      </c>
      <c r="N172" s="18" t="s">
        <v>18</v>
      </c>
      <c r="S172"/>
    </row>
    <row r="173" spans="1:19" ht="129.1" hidden="1" x14ac:dyDescent="0.2">
      <c r="A173" s="12" t="s">
        <v>971</v>
      </c>
      <c r="B173" s="12" t="s">
        <v>976</v>
      </c>
      <c r="C173" s="37" t="s">
        <v>977</v>
      </c>
      <c r="D173" s="12" t="s">
        <v>978</v>
      </c>
      <c r="E173" s="12" t="s">
        <v>3412</v>
      </c>
      <c r="F173" s="12"/>
      <c r="G173" s="12"/>
      <c r="H173" s="12"/>
      <c r="I173" s="22" t="s">
        <v>2345</v>
      </c>
      <c r="J173" s="18"/>
      <c r="K173" s="18"/>
      <c r="L173" s="18"/>
      <c r="M173" s="13" t="e">
        <f>VLOOKUP(#REF!,#REF!, 5)</f>
        <v>#REF!</v>
      </c>
      <c r="N173" s="18" t="s">
        <v>18</v>
      </c>
      <c r="S173"/>
    </row>
    <row r="174" spans="1:19" ht="38.75" hidden="1" x14ac:dyDescent="0.2">
      <c r="A174" s="12" t="s">
        <v>971</v>
      </c>
      <c r="B174" s="12" t="s">
        <v>979</v>
      </c>
      <c r="C174" s="37" t="s">
        <v>980</v>
      </c>
      <c r="D174" s="12" t="s">
        <v>981</v>
      </c>
      <c r="E174" s="12" t="s">
        <v>3412</v>
      </c>
      <c r="F174" s="12"/>
      <c r="G174" s="12"/>
      <c r="H174" s="12"/>
      <c r="I174" s="22" t="s">
        <v>2345</v>
      </c>
      <c r="J174" s="18"/>
      <c r="K174" s="18"/>
      <c r="L174" s="18"/>
      <c r="M174" s="13" t="e">
        <f>VLOOKUP(#REF!,#REF!, 5)</f>
        <v>#REF!</v>
      </c>
      <c r="N174" s="18" t="s">
        <v>18</v>
      </c>
      <c r="S174"/>
    </row>
    <row r="175" spans="1:19" ht="51.65" hidden="1" x14ac:dyDescent="0.2">
      <c r="A175" s="12" t="s">
        <v>982</v>
      </c>
      <c r="B175" s="12" t="s">
        <v>983</v>
      </c>
      <c r="C175" s="51" t="s">
        <v>984</v>
      </c>
      <c r="D175" s="39" t="s">
        <v>985</v>
      </c>
      <c r="E175" s="12" t="s">
        <v>3412</v>
      </c>
      <c r="F175" s="39"/>
      <c r="G175" s="39"/>
      <c r="H175" s="39"/>
      <c r="I175" s="22" t="s">
        <v>2345</v>
      </c>
      <c r="J175" s="18"/>
      <c r="K175" s="18"/>
      <c r="L175" s="18"/>
      <c r="M175" s="13" t="e">
        <f>VLOOKUP(#REF!,#REF!, 5)</f>
        <v>#REF!</v>
      </c>
      <c r="N175" s="18" t="s">
        <v>18</v>
      </c>
      <c r="S175"/>
    </row>
    <row r="176" spans="1:19" ht="38.75" hidden="1" x14ac:dyDescent="0.2">
      <c r="A176" s="12" t="s">
        <v>982</v>
      </c>
      <c r="B176" s="12" t="s">
        <v>986</v>
      </c>
      <c r="C176" s="37" t="s">
        <v>987</v>
      </c>
      <c r="D176" s="12" t="s">
        <v>988</v>
      </c>
      <c r="E176" s="12" t="s">
        <v>3412</v>
      </c>
      <c r="F176" s="12"/>
      <c r="G176" s="12"/>
      <c r="H176" s="12"/>
      <c r="I176" s="22" t="s">
        <v>2345</v>
      </c>
      <c r="J176" s="18" t="s">
        <v>2755</v>
      </c>
      <c r="K176" s="18"/>
      <c r="L176" s="18"/>
      <c r="M176" s="13" t="e">
        <f>VLOOKUP(#REF!,#REF!, 5)</f>
        <v>#REF!</v>
      </c>
      <c r="N176" s="18" t="s">
        <v>18</v>
      </c>
      <c r="S176"/>
    </row>
    <row r="177" spans="1:19" ht="103.25" hidden="1" x14ac:dyDescent="0.2">
      <c r="A177" s="12" t="s">
        <v>989</v>
      </c>
      <c r="B177" s="12" t="s">
        <v>990</v>
      </c>
      <c r="C177" s="37" t="s">
        <v>991</v>
      </c>
      <c r="D177" s="12" t="s">
        <v>992</v>
      </c>
      <c r="E177" s="12" t="s">
        <v>3412</v>
      </c>
      <c r="F177" s="12"/>
      <c r="G177" s="12"/>
      <c r="H177" s="12"/>
      <c r="I177" s="22" t="s">
        <v>2345</v>
      </c>
      <c r="J177" s="18" t="s">
        <v>2756</v>
      </c>
      <c r="K177" s="18"/>
      <c r="L177" s="18" t="s">
        <v>2757</v>
      </c>
      <c r="M177" s="13" t="e">
        <f>VLOOKUP(#REF!,#REF!, 5)</f>
        <v>#REF!</v>
      </c>
      <c r="N177" s="18" t="s">
        <v>18</v>
      </c>
      <c r="S177"/>
    </row>
    <row r="178" spans="1:19" ht="193.6" hidden="1" x14ac:dyDescent="0.2">
      <c r="A178" s="12" t="s">
        <v>989</v>
      </c>
      <c r="B178" s="12" t="s">
        <v>994</v>
      </c>
      <c r="C178" s="37" t="s">
        <v>995</v>
      </c>
      <c r="D178" s="12" t="s">
        <v>996</v>
      </c>
      <c r="E178" s="12" t="s">
        <v>3412</v>
      </c>
      <c r="F178" s="12"/>
      <c r="G178" s="12"/>
      <c r="H178" s="12"/>
      <c r="I178" s="22" t="s">
        <v>2345</v>
      </c>
      <c r="J178" s="18" t="s">
        <v>2758</v>
      </c>
      <c r="K178" s="18"/>
      <c r="L178" s="18" t="s">
        <v>2759</v>
      </c>
      <c r="M178" s="13" t="e">
        <f>VLOOKUP(#REF!,#REF!, 5)</f>
        <v>#REF!</v>
      </c>
      <c r="N178" s="18" t="s">
        <v>18</v>
      </c>
      <c r="S178"/>
    </row>
    <row r="179" spans="1:19" ht="245.25" hidden="1" x14ac:dyDescent="0.2">
      <c r="A179" s="12" t="s">
        <v>997</v>
      </c>
      <c r="B179" s="12" t="s">
        <v>998</v>
      </c>
      <c r="C179" s="37" t="s">
        <v>999</v>
      </c>
      <c r="D179" s="12" t="s">
        <v>1000</v>
      </c>
      <c r="E179" s="12" t="s">
        <v>3412</v>
      </c>
      <c r="F179" s="12"/>
      <c r="G179" s="12"/>
      <c r="H179" s="12"/>
      <c r="I179" s="22" t="s">
        <v>2760</v>
      </c>
      <c r="J179" s="18" t="s">
        <v>2761</v>
      </c>
      <c r="K179" s="18" t="s">
        <v>2762</v>
      </c>
      <c r="L179" s="18" t="s">
        <v>2763</v>
      </c>
      <c r="M179" s="13" t="e">
        <f>VLOOKUP(#REF!,#REF!, 5)</f>
        <v>#REF!</v>
      </c>
      <c r="N179" s="18" t="s">
        <v>18</v>
      </c>
      <c r="S179"/>
    </row>
    <row r="180" spans="1:19" ht="361.4" hidden="1" x14ac:dyDescent="0.2">
      <c r="A180" s="12" t="s">
        <v>1004</v>
      </c>
      <c r="B180" s="12" t="s">
        <v>1005</v>
      </c>
      <c r="C180" s="37" t="s">
        <v>1006</v>
      </c>
      <c r="D180" s="12" t="s">
        <v>1007</v>
      </c>
      <c r="E180" s="12" t="s">
        <v>3412</v>
      </c>
      <c r="F180" s="12"/>
      <c r="G180" s="12"/>
      <c r="H180" s="12"/>
      <c r="I180" s="22" t="s">
        <v>2765</v>
      </c>
      <c r="J180" s="18" t="s">
        <v>2766</v>
      </c>
      <c r="K180" s="18"/>
      <c r="L180" s="18"/>
      <c r="M180" s="13" t="e">
        <f>VLOOKUP(#REF!,#REF!, 5)</f>
        <v>#REF!</v>
      </c>
      <c r="N180" s="18" t="s">
        <v>18</v>
      </c>
      <c r="S180"/>
    </row>
    <row r="181" spans="1:19" ht="90.35" hidden="1" x14ac:dyDescent="0.2">
      <c r="A181" s="12" t="s">
        <v>1011</v>
      </c>
      <c r="B181" s="12" t="s">
        <v>1012</v>
      </c>
      <c r="C181" s="37" t="s">
        <v>1013</v>
      </c>
      <c r="D181" s="12" t="s">
        <v>1014</v>
      </c>
      <c r="E181" s="12" t="s">
        <v>3412</v>
      </c>
      <c r="F181" s="12"/>
      <c r="G181" s="12"/>
      <c r="H181" s="12"/>
      <c r="I181" s="22" t="s">
        <v>2765</v>
      </c>
      <c r="J181" s="18" t="s">
        <v>2767</v>
      </c>
      <c r="K181" s="18"/>
      <c r="L181" s="18"/>
      <c r="M181" s="13" t="e">
        <f>VLOOKUP(#REF!,#REF!, 5)</f>
        <v>#REF!</v>
      </c>
      <c r="N181" s="18" t="s">
        <v>18</v>
      </c>
      <c r="S181"/>
    </row>
    <row r="182" spans="1:19" ht="103.25" hidden="1" x14ac:dyDescent="0.2">
      <c r="A182" s="12" t="s">
        <v>1015</v>
      </c>
      <c r="B182" s="12" t="s">
        <v>1016</v>
      </c>
      <c r="C182" s="51" t="s">
        <v>1017</v>
      </c>
      <c r="D182" s="39" t="s">
        <v>1018</v>
      </c>
      <c r="E182" s="12" t="s">
        <v>3412</v>
      </c>
      <c r="F182" s="39"/>
      <c r="G182" s="39"/>
      <c r="H182" s="39"/>
      <c r="I182" s="22" t="s">
        <v>2765</v>
      </c>
      <c r="J182" s="18" t="s">
        <v>2768</v>
      </c>
      <c r="K182" s="18"/>
      <c r="L182" s="18"/>
      <c r="M182" s="13" t="e">
        <f>VLOOKUP(#REF!,#REF!, 5)</f>
        <v>#REF!</v>
      </c>
      <c r="N182" s="18" t="s">
        <v>18</v>
      </c>
      <c r="S182"/>
    </row>
    <row r="183" spans="1:19" ht="193.6" hidden="1" x14ac:dyDescent="0.2">
      <c r="A183" s="12" t="s">
        <v>1020</v>
      </c>
      <c r="B183" s="12" t="s">
        <v>1021</v>
      </c>
      <c r="C183" s="37" t="s">
        <v>1022</v>
      </c>
      <c r="D183" s="12" t="s">
        <v>1023</v>
      </c>
      <c r="E183" s="12" t="s">
        <v>3412</v>
      </c>
      <c r="F183" s="12"/>
      <c r="G183" s="12"/>
      <c r="H183" s="12"/>
      <c r="I183" s="22" t="s">
        <v>2765</v>
      </c>
      <c r="J183" s="18" t="s">
        <v>2769</v>
      </c>
      <c r="K183" s="18"/>
      <c r="L183" s="18"/>
      <c r="M183" s="13" t="e">
        <f>VLOOKUP(#REF!,#REF!, 5)</f>
        <v>#REF!</v>
      </c>
      <c r="N183" s="18" t="s">
        <v>18</v>
      </c>
      <c r="S183"/>
    </row>
    <row r="184" spans="1:19" ht="206.5" hidden="1" x14ac:dyDescent="0.2">
      <c r="A184" s="12" t="s">
        <v>1025</v>
      </c>
      <c r="B184" s="12" t="s">
        <v>1026</v>
      </c>
      <c r="C184" s="37" t="s">
        <v>1027</v>
      </c>
      <c r="D184" s="12" t="s">
        <v>1028</v>
      </c>
      <c r="E184" s="12" t="s">
        <v>3412</v>
      </c>
      <c r="F184" s="12"/>
      <c r="G184" s="12"/>
      <c r="H184" s="12"/>
      <c r="I184" s="22" t="s">
        <v>2765</v>
      </c>
      <c r="J184" s="18" t="s">
        <v>2770</v>
      </c>
      <c r="K184" s="18"/>
      <c r="L184" s="18"/>
      <c r="M184" s="13" t="e">
        <f>VLOOKUP(#REF!,#REF!, 5)</f>
        <v>#REF!</v>
      </c>
      <c r="N184" s="18" t="s">
        <v>18</v>
      </c>
      <c r="S184"/>
    </row>
    <row r="185" spans="1:19" ht="271.05" hidden="1" x14ac:dyDescent="0.2">
      <c r="A185" s="12" t="s">
        <v>1030</v>
      </c>
      <c r="B185" s="12" t="s">
        <v>1031</v>
      </c>
      <c r="C185" s="37" t="s">
        <v>1032</v>
      </c>
      <c r="D185" s="12" t="s">
        <v>1033</v>
      </c>
      <c r="E185" s="12" t="s">
        <v>3412</v>
      </c>
      <c r="F185" s="12"/>
      <c r="G185" s="12"/>
      <c r="H185" s="12"/>
      <c r="I185" s="22" t="s">
        <v>2765</v>
      </c>
      <c r="J185" s="18" t="s">
        <v>2771</v>
      </c>
      <c r="K185" s="18"/>
      <c r="L185" s="18"/>
      <c r="M185" s="13" t="e">
        <f>VLOOKUP(#REF!,#REF!, 5)</f>
        <v>#REF!</v>
      </c>
      <c r="N185" s="18" t="s">
        <v>18</v>
      </c>
      <c r="S185"/>
    </row>
    <row r="186" spans="1:19" ht="335.55" hidden="1" x14ac:dyDescent="0.2">
      <c r="A186" s="12" t="s">
        <v>1034</v>
      </c>
      <c r="B186" s="12" t="s">
        <v>1035</v>
      </c>
      <c r="C186" s="37" t="s">
        <v>1036</v>
      </c>
      <c r="D186" s="12" t="s">
        <v>1037</v>
      </c>
      <c r="E186" s="12" t="s">
        <v>3412</v>
      </c>
      <c r="F186" s="12"/>
      <c r="G186" s="12"/>
      <c r="H186" s="12"/>
      <c r="I186" s="22" t="s">
        <v>2345</v>
      </c>
      <c r="J186" s="19" t="s">
        <v>2772</v>
      </c>
      <c r="K186" s="18"/>
      <c r="L186" s="18" t="s">
        <v>2773</v>
      </c>
      <c r="M186" s="13" t="e">
        <f>VLOOKUP(#REF!,#REF!, 5)</f>
        <v>#REF!</v>
      </c>
      <c r="N186" s="18" t="s">
        <v>18</v>
      </c>
      <c r="S186"/>
    </row>
    <row r="187" spans="1:19" ht="219.4" hidden="1" x14ac:dyDescent="0.2">
      <c r="A187" s="12" t="s">
        <v>1040</v>
      </c>
      <c r="B187" s="12" t="s">
        <v>1041</v>
      </c>
      <c r="C187" s="37" t="s">
        <v>1042</v>
      </c>
      <c r="D187" s="12" t="s">
        <v>1043</v>
      </c>
      <c r="E187" s="12" t="s">
        <v>3412</v>
      </c>
      <c r="F187" s="12"/>
      <c r="G187" s="12"/>
      <c r="H187" s="12"/>
      <c r="I187" s="22" t="s">
        <v>2345</v>
      </c>
      <c r="J187" s="18" t="s">
        <v>2774</v>
      </c>
      <c r="K187" s="18" t="s">
        <v>2775</v>
      </c>
      <c r="L187" s="18" t="s">
        <v>2773</v>
      </c>
      <c r="M187" s="13" t="e">
        <f>VLOOKUP(#REF!,#REF!, 5)</f>
        <v>#REF!</v>
      </c>
      <c r="N187" s="18" t="s">
        <v>18</v>
      </c>
      <c r="S187"/>
    </row>
    <row r="188" spans="1:19" ht="129.1" x14ac:dyDescent="0.2">
      <c r="A188" s="12" t="s">
        <v>1046</v>
      </c>
      <c r="B188" s="12" t="s">
        <v>1047</v>
      </c>
      <c r="C188" s="37" t="s">
        <v>1048</v>
      </c>
      <c r="D188" s="12" t="s">
        <v>2776</v>
      </c>
      <c r="E188" s="12" t="s">
        <v>3414</v>
      </c>
      <c r="F188" s="12" t="s">
        <v>3578</v>
      </c>
      <c r="G188" s="12" t="s">
        <v>3579</v>
      </c>
      <c r="H188" s="12" t="s">
        <v>3720</v>
      </c>
      <c r="I188" s="56"/>
      <c r="J188" s="59"/>
      <c r="K188" s="59"/>
      <c r="L188" s="59" t="s">
        <v>2773</v>
      </c>
      <c r="M188" s="57"/>
      <c r="N188" s="12" t="s">
        <v>18</v>
      </c>
      <c r="S188"/>
    </row>
    <row r="189" spans="1:19" ht="245.25" x14ac:dyDescent="0.2">
      <c r="A189" s="12" t="s">
        <v>1051</v>
      </c>
      <c r="B189" s="12" t="s">
        <v>1052</v>
      </c>
      <c r="C189" s="37" t="s">
        <v>1053</v>
      </c>
      <c r="D189" s="12" t="s">
        <v>1054</v>
      </c>
      <c r="E189" s="12" t="s">
        <v>3414</v>
      </c>
      <c r="F189" s="12" t="s">
        <v>3580</v>
      </c>
      <c r="G189" s="12" t="s">
        <v>3721</v>
      </c>
      <c r="H189" s="12" t="s">
        <v>3581</v>
      </c>
      <c r="I189" s="56"/>
      <c r="J189" s="59"/>
      <c r="K189" s="59"/>
      <c r="L189" s="59" t="s">
        <v>2773</v>
      </c>
      <c r="M189" s="57"/>
      <c r="N189" s="12" t="s">
        <v>18</v>
      </c>
      <c r="S189"/>
    </row>
    <row r="190" spans="1:19" ht="129.1" hidden="1" x14ac:dyDescent="0.2">
      <c r="A190" s="12" t="s">
        <v>1057</v>
      </c>
      <c r="B190" s="12" t="s">
        <v>1058</v>
      </c>
      <c r="C190" s="37" t="s">
        <v>1059</v>
      </c>
      <c r="D190" s="12" t="s">
        <v>1060</v>
      </c>
      <c r="E190" s="12" t="s">
        <v>3412</v>
      </c>
      <c r="F190" s="12"/>
      <c r="G190" s="12"/>
      <c r="H190" s="12"/>
      <c r="I190" s="22" t="s">
        <v>2345</v>
      </c>
      <c r="J190" s="18" t="s">
        <v>2779</v>
      </c>
      <c r="K190" s="18"/>
      <c r="L190" s="18" t="s">
        <v>2773</v>
      </c>
      <c r="M190" s="13" t="e">
        <f>VLOOKUP(#REF!,#REF!, 5)</f>
        <v>#REF!</v>
      </c>
      <c r="N190" s="18" t="s">
        <v>18</v>
      </c>
      <c r="S190"/>
    </row>
    <row r="191" spans="1:19" ht="77.45" x14ac:dyDescent="0.2">
      <c r="A191" s="12" t="s">
        <v>1063</v>
      </c>
      <c r="B191" s="12" t="s">
        <v>1064</v>
      </c>
      <c r="C191" s="37" t="s">
        <v>1065</v>
      </c>
      <c r="D191" s="12" t="s">
        <v>3582</v>
      </c>
      <c r="E191" s="12" t="s">
        <v>3414</v>
      </c>
      <c r="F191" s="12" t="s">
        <v>3583</v>
      </c>
      <c r="G191" s="12" t="s">
        <v>3584</v>
      </c>
      <c r="H191" s="12" t="s">
        <v>3585</v>
      </c>
      <c r="I191" s="56"/>
      <c r="J191" s="59"/>
      <c r="K191" s="59"/>
      <c r="L191" s="59" t="s">
        <v>2773</v>
      </c>
      <c r="M191" s="57"/>
      <c r="N191" s="18" t="s">
        <v>18</v>
      </c>
      <c r="S191"/>
    </row>
    <row r="192" spans="1:19" ht="103.25" x14ac:dyDescent="0.2">
      <c r="A192" s="12" t="s">
        <v>1069</v>
      </c>
      <c r="B192" s="12" t="s">
        <v>1070</v>
      </c>
      <c r="C192" s="37" t="s">
        <v>1071</v>
      </c>
      <c r="D192" s="12" t="s">
        <v>1072</v>
      </c>
      <c r="E192" s="12" t="s">
        <v>3414</v>
      </c>
      <c r="F192" s="12" t="s">
        <v>3586</v>
      </c>
      <c r="G192" s="12" t="s">
        <v>3587</v>
      </c>
      <c r="H192" s="12" t="s">
        <v>3588</v>
      </c>
      <c r="I192" s="56"/>
      <c r="J192" s="59"/>
      <c r="K192" s="59"/>
      <c r="L192" s="59" t="s">
        <v>2773</v>
      </c>
      <c r="M192" s="57"/>
      <c r="N192" s="18" t="s">
        <v>18</v>
      </c>
      <c r="S192"/>
    </row>
    <row r="193" spans="1:19" ht="232.3" hidden="1" x14ac:dyDescent="0.2">
      <c r="A193" s="12" t="s">
        <v>1075</v>
      </c>
      <c r="B193" s="12" t="s">
        <v>1076</v>
      </c>
      <c r="C193" s="37" t="s">
        <v>1077</v>
      </c>
      <c r="D193" s="12" t="s">
        <v>1078</v>
      </c>
      <c r="E193" s="12" t="s">
        <v>3412</v>
      </c>
      <c r="F193" s="12"/>
      <c r="G193" s="12"/>
      <c r="H193" s="12"/>
      <c r="I193" s="22" t="s">
        <v>2345</v>
      </c>
      <c r="J193" s="18" t="s">
        <v>2782</v>
      </c>
      <c r="K193" s="18"/>
      <c r="L193" s="18" t="s">
        <v>2773</v>
      </c>
      <c r="M193" s="13" t="e">
        <f>VLOOKUP(#REF!,#REF!, 5)</f>
        <v>#REF!</v>
      </c>
      <c r="N193" s="18" t="s">
        <v>18</v>
      </c>
      <c r="S193"/>
    </row>
    <row r="194" spans="1:19" ht="142" hidden="1" x14ac:dyDescent="0.2">
      <c r="A194" s="12" t="s">
        <v>1081</v>
      </c>
      <c r="B194" s="12" t="s">
        <v>1082</v>
      </c>
      <c r="C194" s="37" t="s">
        <v>1083</v>
      </c>
      <c r="D194" s="12" t="s">
        <v>1084</v>
      </c>
      <c r="E194" s="12" t="s">
        <v>3412</v>
      </c>
      <c r="F194" s="12"/>
      <c r="G194" s="12"/>
      <c r="H194" s="12"/>
      <c r="I194" s="22" t="s">
        <v>2345</v>
      </c>
      <c r="J194" s="18" t="s">
        <v>2783</v>
      </c>
      <c r="K194" s="18"/>
      <c r="L194" s="18" t="s">
        <v>2773</v>
      </c>
      <c r="M194" s="13" t="e">
        <f>VLOOKUP(#REF!,#REF!, 5)</f>
        <v>#REF!</v>
      </c>
      <c r="N194" s="18" t="s">
        <v>18</v>
      </c>
      <c r="S194"/>
    </row>
    <row r="195" spans="1:19" ht="64.55" x14ac:dyDescent="0.2">
      <c r="A195" s="12" t="s">
        <v>1087</v>
      </c>
      <c r="B195" s="12" t="s">
        <v>1088</v>
      </c>
      <c r="C195" s="37" t="s">
        <v>1089</v>
      </c>
      <c r="D195" s="12" t="s">
        <v>1090</v>
      </c>
      <c r="E195" s="12" t="s">
        <v>3414</v>
      </c>
      <c r="F195" s="12" t="s">
        <v>3589</v>
      </c>
      <c r="G195" s="12" t="s">
        <v>3590</v>
      </c>
      <c r="H195" s="12" t="s">
        <v>3591</v>
      </c>
      <c r="I195" s="56"/>
      <c r="J195" s="59"/>
      <c r="K195" s="59"/>
      <c r="L195" s="59" t="s">
        <v>2773</v>
      </c>
      <c r="M195" s="57"/>
      <c r="N195" s="18" t="s">
        <v>18</v>
      </c>
      <c r="S195"/>
    </row>
    <row r="196" spans="1:19" ht="322.64999999999998" hidden="1" x14ac:dyDescent="0.2">
      <c r="A196" s="12" t="s">
        <v>1093</v>
      </c>
      <c r="B196" s="12" t="s">
        <v>1094</v>
      </c>
      <c r="C196" s="37" t="s">
        <v>1095</v>
      </c>
      <c r="D196" s="12" t="s">
        <v>1096</v>
      </c>
      <c r="E196" s="12" t="s">
        <v>3412</v>
      </c>
      <c r="F196" s="12"/>
      <c r="G196" s="12"/>
      <c r="H196" s="12"/>
      <c r="I196" s="22" t="s">
        <v>2345</v>
      </c>
      <c r="J196" s="18" t="s">
        <v>2785</v>
      </c>
      <c r="K196" s="18"/>
      <c r="L196" s="18" t="s">
        <v>2773</v>
      </c>
      <c r="M196" s="13" t="e">
        <f>VLOOKUP(#REF!,#REF!, 5)</f>
        <v>#REF!</v>
      </c>
      <c r="N196" s="18" t="s">
        <v>18</v>
      </c>
      <c r="S196"/>
    </row>
    <row r="197" spans="1:19" ht="38.75" x14ac:dyDescent="0.2">
      <c r="A197" s="12" t="s">
        <v>1099</v>
      </c>
      <c r="B197" s="12" t="s">
        <v>1100</v>
      </c>
      <c r="C197" s="37" t="s">
        <v>1101</v>
      </c>
      <c r="D197" s="12" t="s">
        <v>1102</v>
      </c>
      <c r="E197" s="12" t="s">
        <v>3414</v>
      </c>
      <c r="F197" s="12" t="s">
        <v>3592</v>
      </c>
      <c r="G197" s="12" t="s">
        <v>3593</v>
      </c>
      <c r="H197" s="12" t="s">
        <v>3594</v>
      </c>
      <c r="I197" s="56"/>
      <c r="J197" s="59"/>
      <c r="K197" s="59"/>
      <c r="L197" s="59" t="s">
        <v>2773</v>
      </c>
      <c r="M197" s="57"/>
      <c r="N197" s="18" t="s">
        <v>18</v>
      </c>
      <c r="S197"/>
    </row>
    <row r="198" spans="1:19" ht="142" hidden="1" x14ac:dyDescent="0.2">
      <c r="A198" s="12" t="s">
        <v>1105</v>
      </c>
      <c r="B198" s="12" t="s">
        <v>1106</v>
      </c>
      <c r="C198" s="37" t="s">
        <v>1107</v>
      </c>
      <c r="D198" s="12" t="s">
        <v>1108</v>
      </c>
      <c r="E198" s="12" t="s">
        <v>3412</v>
      </c>
      <c r="F198" s="12"/>
      <c r="G198" s="12"/>
      <c r="H198" s="12"/>
      <c r="I198" s="54" t="s">
        <v>2345</v>
      </c>
      <c r="J198" s="12" t="s">
        <v>2787</v>
      </c>
      <c r="K198" s="12"/>
      <c r="L198" s="12" t="s">
        <v>2773</v>
      </c>
      <c r="M198" s="55" t="e">
        <f>VLOOKUP(#REF!,#REF!, 5)</f>
        <v>#REF!</v>
      </c>
      <c r="N198" s="12" t="s">
        <v>18</v>
      </c>
      <c r="S198"/>
    </row>
    <row r="199" spans="1:19" ht="51.65" x14ac:dyDescent="0.2">
      <c r="A199" s="12" t="s">
        <v>1110</v>
      </c>
      <c r="B199" s="12" t="s">
        <v>1111</v>
      </c>
      <c r="C199" s="37" t="s">
        <v>1112</v>
      </c>
      <c r="D199" s="12" t="s">
        <v>1113</v>
      </c>
      <c r="E199" s="12" t="s">
        <v>3414</v>
      </c>
      <c r="F199" s="12" t="s">
        <v>3595</v>
      </c>
      <c r="G199" s="37" t="s">
        <v>3596</v>
      </c>
      <c r="H199" s="12" t="s">
        <v>3597</v>
      </c>
      <c r="I199" s="56"/>
      <c r="J199" s="59"/>
      <c r="K199" s="59"/>
      <c r="L199" s="59"/>
      <c r="M199" s="57"/>
      <c r="N199" s="18" t="s">
        <v>18</v>
      </c>
      <c r="S199"/>
    </row>
    <row r="200" spans="1:19" ht="51.65" hidden="1" x14ac:dyDescent="0.2">
      <c r="A200" s="12" t="s">
        <v>1110</v>
      </c>
      <c r="B200" s="12" t="s">
        <v>1115</v>
      </c>
      <c r="C200" s="37" t="s">
        <v>1116</v>
      </c>
      <c r="D200" s="12" t="s">
        <v>1117</v>
      </c>
      <c r="E200" s="12" t="s">
        <v>3412</v>
      </c>
      <c r="F200" s="12"/>
      <c r="G200" s="12"/>
      <c r="H200" s="12"/>
      <c r="I200" s="22" t="s">
        <v>2345</v>
      </c>
      <c r="J200" s="18" t="s">
        <v>2789</v>
      </c>
      <c r="K200" s="18"/>
      <c r="L200" s="18"/>
      <c r="M200" s="13" t="e">
        <f>VLOOKUP(#REF!,#REF!, 5)</f>
        <v>#REF!</v>
      </c>
      <c r="N200" s="18" t="s">
        <v>18</v>
      </c>
      <c r="S200"/>
    </row>
    <row r="201" spans="1:19" ht="51.65" hidden="1" x14ac:dyDescent="0.2">
      <c r="A201" s="12" t="s">
        <v>1118</v>
      </c>
      <c r="B201" s="12" t="s">
        <v>1119</v>
      </c>
      <c r="C201" s="37" t="s">
        <v>1120</v>
      </c>
      <c r="D201" s="12" t="s">
        <v>1121</v>
      </c>
      <c r="E201" s="12" t="s">
        <v>3412</v>
      </c>
      <c r="F201" s="12"/>
      <c r="G201" s="12"/>
      <c r="H201" s="12"/>
      <c r="I201" s="22" t="s">
        <v>2345</v>
      </c>
      <c r="J201" s="18" t="s">
        <v>2789</v>
      </c>
      <c r="K201" s="18"/>
      <c r="L201" s="18"/>
      <c r="M201" s="13" t="e">
        <f>VLOOKUP(#REF!,#REF!, 5)</f>
        <v>#REF!</v>
      </c>
      <c r="N201" s="18" t="s">
        <v>18</v>
      </c>
      <c r="S201"/>
    </row>
    <row r="202" spans="1:19" ht="409.6" hidden="1" x14ac:dyDescent="0.2">
      <c r="A202" s="12" t="s">
        <v>1124</v>
      </c>
      <c r="B202" s="12" t="s">
        <v>1125</v>
      </c>
      <c r="C202" s="37" t="s">
        <v>1126</v>
      </c>
      <c r="D202" s="12" t="s">
        <v>2790</v>
      </c>
      <c r="E202" s="12" t="s">
        <v>3412</v>
      </c>
      <c r="F202" s="12"/>
      <c r="G202" s="12"/>
      <c r="H202" s="12"/>
      <c r="I202" s="22" t="s">
        <v>2791</v>
      </c>
      <c r="J202" s="18" t="s">
        <v>2792</v>
      </c>
      <c r="K202" s="18"/>
      <c r="L202" s="18" t="s">
        <v>2793</v>
      </c>
      <c r="M202" s="13" t="e">
        <f>VLOOKUP(#REF!,#REF!, 5)</f>
        <v>#REF!</v>
      </c>
      <c r="N202" s="18" t="s">
        <v>18</v>
      </c>
      <c r="O202" s="4" t="s">
        <v>2547</v>
      </c>
      <c r="S202"/>
    </row>
    <row r="203" spans="1:19" ht="409.6" hidden="1" x14ac:dyDescent="0.2">
      <c r="A203" s="12" t="s">
        <v>1130</v>
      </c>
      <c r="B203" s="12" t="s">
        <v>1131</v>
      </c>
      <c r="C203" s="37" t="s">
        <v>1132</v>
      </c>
      <c r="D203" s="12" t="s">
        <v>2794</v>
      </c>
      <c r="E203" s="12" t="s">
        <v>3412</v>
      </c>
      <c r="F203" s="12"/>
      <c r="G203" s="12"/>
      <c r="H203" s="12"/>
      <c r="I203" s="22" t="s">
        <v>2795</v>
      </c>
      <c r="J203" s="18" t="s">
        <v>2796</v>
      </c>
      <c r="K203" s="18"/>
      <c r="L203" s="18" t="s">
        <v>2793</v>
      </c>
      <c r="M203" s="13" t="e">
        <f>VLOOKUP(#REF!,#REF!, 5)</f>
        <v>#REF!</v>
      </c>
      <c r="N203" s="18" t="s">
        <v>18</v>
      </c>
      <c r="O203" s="4" t="s">
        <v>2547</v>
      </c>
      <c r="S203"/>
    </row>
    <row r="204" spans="1:19" ht="232.3" hidden="1" x14ac:dyDescent="0.2">
      <c r="A204" s="12" t="s">
        <v>1135</v>
      </c>
      <c r="B204" s="12" t="s">
        <v>1136</v>
      </c>
      <c r="C204" s="37" t="s">
        <v>1137</v>
      </c>
      <c r="D204" s="12" t="s">
        <v>2797</v>
      </c>
      <c r="E204" s="12" t="s">
        <v>3412</v>
      </c>
      <c r="F204" s="12"/>
      <c r="G204" s="12"/>
      <c r="H204" s="12"/>
      <c r="I204" s="22" t="s">
        <v>2798</v>
      </c>
      <c r="J204" s="18" t="s">
        <v>2799</v>
      </c>
      <c r="K204" s="18"/>
      <c r="L204" s="18"/>
      <c r="M204" s="13" t="e">
        <f>VLOOKUP(#REF!,#REF!, 5)</f>
        <v>#REF!</v>
      </c>
      <c r="N204" s="18" t="s">
        <v>18</v>
      </c>
      <c r="O204" s="4" t="s">
        <v>2547</v>
      </c>
      <c r="S204"/>
    </row>
    <row r="205" spans="1:19" ht="64.55" x14ac:dyDescent="0.2">
      <c r="A205" s="12" t="s">
        <v>1135</v>
      </c>
      <c r="B205" s="12" t="s">
        <v>1140</v>
      </c>
      <c r="C205" s="37" t="s">
        <v>1141</v>
      </c>
      <c r="D205" s="12" t="s">
        <v>1142</v>
      </c>
      <c r="E205" s="12" t="s">
        <v>3414</v>
      </c>
      <c r="F205" s="37" t="s">
        <v>3598</v>
      </c>
      <c r="G205" s="12" t="s">
        <v>3599</v>
      </c>
      <c r="H205" s="12" t="s">
        <v>3722</v>
      </c>
      <c r="I205" s="56"/>
      <c r="J205" s="59"/>
      <c r="K205" s="59"/>
      <c r="L205" s="59" t="s">
        <v>2802</v>
      </c>
      <c r="M205" s="57"/>
      <c r="N205" s="18" t="s">
        <v>18</v>
      </c>
      <c r="O205" s="4" t="s">
        <v>2547</v>
      </c>
      <c r="S205"/>
    </row>
    <row r="206" spans="1:19" ht="409.6" hidden="1" x14ac:dyDescent="0.2">
      <c r="A206" s="12" t="s">
        <v>1144</v>
      </c>
      <c r="B206" s="12" t="s">
        <v>1145</v>
      </c>
      <c r="C206" s="37" t="s">
        <v>1146</v>
      </c>
      <c r="D206" s="12" t="s">
        <v>2803</v>
      </c>
      <c r="E206" s="12" t="s">
        <v>3412</v>
      </c>
      <c r="F206" s="12"/>
      <c r="G206" s="12"/>
      <c r="H206" s="12"/>
      <c r="I206" s="22" t="s">
        <v>2804</v>
      </c>
      <c r="J206" s="18" t="s">
        <v>2805</v>
      </c>
      <c r="K206" s="18" t="s">
        <v>2806</v>
      </c>
      <c r="L206" s="18"/>
      <c r="M206" s="13" t="e">
        <f>VLOOKUP(#REF!,#REF!, 5)</f>
        <v>#REF!</v>
      </c>
      <c r="N206" s="18" t="s">
        <v>18</v>
      </c>
      <c r="O206" s="4" t="s">
        <v>2547</v>
      </c>
      <c r="S206"/>
    </row>
    <row r="207" spans="1:19" ht="387.2" hidden="1" x14ac:dyDescent="0.2">
      <c r="A207" s="12" t="s">
        <v>1149</v>
      </c>
      <c r="B207" s="12" t="s">
        <v>1150</v>
      </c>
      <c r="C207" s="37" t="s">
        <v>1151</v>
      </c>
      <c r="D207" s="12" t="s">
        <v>1152</v>
      </c>
      <c r="E207" s="12" t="s">
        <v>3412</v>
      </c>
      <c r="F207" s="12"/>
      <c r="G207" s="12"/>
      <c r="H207" s="12"/>
      <c r="I207" s="22" t="s">
        <v>2808</v>
      </c>
      <c r="J207" s="18" t="s">
        <v>2809</v>
      </c>
      <c r="K207" s="18" t="s">
        <v>2810</v>
      </c>
      <c r="L207" s="18"/>
      <c r="M207" s="13" t="e">
        <f>VLOOKUP(#REF!,#REF!, 5)</f>
        <v>#REF!</v>
      </c>
      <c r="N207" s="18" t="s">
        <v>18</v>
      </c>
      <c r="O207" s="4" t="s">
        <v>2547</v>
      </c>
      <c r="S207"/>
    </row>
    <row r="208" spans="1:19" ht="77.45" hidden="1" x14ac:dyDescent="0.2">
      <c r="A208" s="12" t="s">
        <v>1154</v>
      </c>
      <c r="B208" s="12" t="s">
        <v>1155</v>
      </c>
      <c r="C208" s="37" t="s">
        <v>1156</v>
      </c>
      <c r="D208" s="12" t="s">
        <v>2812</v>
      </c>
      <c r="E208" s="12" t="s">
        <v>3412</v>
      </c>
      <c r="F208" s="12"/>
      <c r="G208" s="12"/>
      <c r="H208" s="12"/>
      <c r="I208" s="22" t="s">
        <v>2813</v>
      </c>
      <c r="J208" s="18" t="s">
        <v>2814</v>
      </c>
      <c r="K208" s="18" t="s">
        <v>2815</v>
      </c>
      <c r="L208" s="18"/>
      <c r="M208" s="13" t="e">
        <f>VLOOKUP(#REF!,#REF!, 5)</f>
        <v>#REF!</v>
      </c>
      <c r="N208" s="18" t="s">
        <v>18</v>
      </c>
      <c r="O208" s="4" t="s">
        <v>2547</v>
      </c>
      <c r="S208"/>
    </row>
    <row r="209" spans="1:19" ht="77.45" x14ac:dyDescent="0.2">
      <c r="A209" s="12" t="s">
        <v>1159</v>
      </c>
      <c r="B209" s="12" t="s">
        <v>1160</v>
      </c>
      <c r="C209" s="37" t="s">
        <v>1161</v>
      </c>
      <c r="D209" s="12" t="s">
        <v>1147</v>
      </c>
      <c r="E209" s="12" t="s">
        <v>3414</v>
      </c>
      <c r="F209" s="37" t="s">
        <v>3600</v>
      </c>
      <c r="G209" s="12" t="s">
        <v>3601</v>
      </c>
      <c r="H209" s="12" t="s">
        <v>3723</v>
      </c>
      <c r="I209" s="56"/>
      <c r="J209" s="61"/>
      <c r="K209" s="61"/>
      <c r="L209" s="61"/>
      <c r="M209" s="57"/>
      <c r="N209" s="18" t="s">
        <v>18</v>
      </c>
      <c r="O209" s="4" t="s">
        <v>2547</v>
      </c>
      <c r="S209"/>
    </row>
    <row r="210" spans="1:19" ht="129.1" hidden="1" x14ac:dyDescent="0.2">
      <c r="A210" s="12" t="s">
        <v>1164</v>
      </c>
      <c r="B210" s="12" t="s">
        <v>1165</v>
      </c>
      <c r="C210" s="37" t="s">
        <v>1166</v>
      </c>
      <c r="D210" s="12" t="s">
        <v>2821</v>
      </c>
      <c r="E210" s="12" t="s">
        <v>3412</v>
      </c>
      <c r="F210" s="12"/>
      <c r="G210" s="12"/>
      <c r="H210" s="12"/>
      <c r="I210" s="22" t="s">
        <v>2817</v>
      </c>
      <c r="J210" s="18" t="s">
        <v>2822</v>
      </c>
      <c r="K210" s="19" t="s">
        <v>2823</v>
      </c>
      <c r="L210" s="18"/>
      <c r="M210" s="13" t="e">
        <f>VLOOKUP(#REF!,#REF!, 5)</f>
        <v>#REF!</v>
      </c>
      <c r="N210" s="18" t="s">
        <v>18</v>
      </c>
      <c r="O210" s="4" t="s">
        <v>2547</v>
      </c>
      <c r="S210"/>
    </row>
    <row r="211" spans="1:19" ht="167.8" hidden="1" x14ac:dyDescent="0.2">
      <c r="A211" s="12" t="s">
        <v>1169</v>
      </c>
      <c r="B211" s="12" t="s">
        <v>1170</v>
      </c>
      <c r="C211" s="37" t="s">
        <v>1171</v>
      </c>
      <c r="D211" s="12" t="s">
        <v>1152</v>
      </c>
      <c r="E211" s="12" t="s">
        <v>3412</v>
      </c>
      <c r="F211" s="12"/>
      <c r="G211" s="12"/>
      <c r="H211" s="12"/>
      <c r="I211" s="22" t="s">
        <v>2817</v>
      </c>
      <c r="J211" s="18" t="s">
        <v>2825</v>
      </c>
      <c r="K211" s="18" t="s">
        <v>2826</v>
      </c>
      <c r="L211" s="18"/>
      <c r="M211" s="13" t="e">
        <f>VLOOKUP(#REF!,#REF!, 5)</f>
        <v>#REF!</v>
      </c>
      <c r="N211" s="18" t="s">
        <v>18</v>
      </c>
      <c r="O211" s="4" t="s">
        <v>2547</v>
      </c>
      <c r="S211"/>
    </row>
    <row r="212" spans="1:19" ht="258.14999999999998" hidden="1" x14ac:dyDescent="0.2">
      <c r="A212" s="12" t="s">
        <v>1173</v>
      </c>
      <c r="B212" s="12" t="s">
        <v>1174</v>
      </c>
      <c r="C212" s="37" t="s">
        <v>1175</v>
      </c>
      <c r="D212" s="12" t="s">
        <v>2828</v>
      </c>
      <c r="E212" s="12" t="s">
        <v>3412</v>
      </c>
      <c r="F212" s="12"/>
      <c r="G212" s="12"/>
      <c r="H212" s="12"/>
      <c r="I212" s="22" t="s">
        <v>2817</v>
      </c>
      <c r="J212" s="18" t="s">
        <v>2829</v>
      </c>
      <c r="K212" s="18" t="s">
        <v>2830</v>
      </c>
      <c r="L212" s="18"/>
      <c r="M212" s="13" t="e">
        <f>VLOOKUP(#REF!,#REF!, 5)</f>
        <v>#REF!</v>
      </c>
      <c r="N212" s="18" t="s">
        <v>18</v>
      </c>
      <c r="O212" s="4" t="s">
        <v>2547</v>
      </c>
      <c r="S212"/>
    </row>
    <row r="213" spans="1:19" ht="206.5" hidden="1" x14ac:dyDescent="0.2">
      <c r="A213" s="12" t="s">
        <v>1178</v>
      </c>
      <c r="B213" s="12" t="s">
        <v>1179</v>
      </c>
      <c r="C213" s="37" t="s">
        <v>1180</v>
      </c>
      <c r="D213" s="12" t="s">
        <v>1181</v>
      </c>
      <c r="E213" s="12" t="s">
        <v>3412</v>
      </c>
      <c r="F213" s="12"/>
      <c r="G213" s="12"/>
      <c r="H213" s="12"/>
      <c r="I213" s="22" t="s">
        <v>2831</v>
      </c>
      <c r="J213" s="18" t="s">
        <v>2832</v>
      </c>
      <c r="K213" s="18"/>
      <c r="L213" s="18"/>
      <c r="M213" s="13" t="e">
        <f>VLOOKUP(#REF!,#REF!, 5)</f>
        <v>#REF!</v>
      </c>
      <c r="N213" s="18" t="s">
        <v>18</v>
      </c>
      <c r="O213" s="4" t="s">
        <v>2547</v>
      </c>
      <c r="S213"/>
    </row>
    <row r="214" spans="1:19" ht="77.45" x14ac:dyDescent="0.2">
      <c r="A214" s="12" t="s">
        <v>1184</v>
      </c>
      <c r="B214" s="12" t="s">
        <v>1185</v>
      </c>
      <c r="C214" s="37" t="s">
        <v>1186</v>
      </c>
      <c r="D214" s="12" t="s">
        <v>1187</v>
      </c>
      <c r="E214" s="12" t="s">
        <v>3414</v>
      </c>
      <c r="F214" s="12" t="s">
        <v>3602</v>
      </c>
      <c r="G214" s="12" t="s">
        <v>3603</v>
      </c>
      <c r="H214" s="12" t="s">
        <v>3604</v>
      </c>
      <c r="I214" s="56"/>
      <c r="J214" s="59"/>
      <c r="K214" s="59"/>
      <c r="L214" s="59"/>
      <c r="M214" s="57"/>
      <c r="N214" s="18" t="s">
        <v>18</v>
      </c>
      <c r="S214"/>
    </row>
    <row r="215" spans="1:19" ht="219.4" hidden="1" x14ac:dyDescent="0.2">
      <c r="A215" s="12" t="s">
        <v>1190</v>
      </c>
      <c r="B215" s="12" t="s">
        <v>1191</v>
      </c>
      <c r="C215" s="37" t="s">
        <v>1192</v>
      </c>
      <c r="D215" s="12" t="s">
        <v>1193</v>
      </c>
      <c r="E215" s="12" t="s">
        <v>3412</v>
      </c>
      <c r="F215" s="12"/>
      <c r="G215" s="12"/>
      <c r="H215" s="12"/>
      <c r="I215" s="22" t="s">
        <v>2836</v>
      </c>
      <c r="J215" s="18" t="s">
        <v>2837</v>
      </c>
      <c r="K215" s="18"/>
      <c r="L215" s="18"/>
      <c r="M215" s="13" t="e">
        <f>VLOOKUP(#REF!,#REF!, 5)</f>
        <v>#REF!</v>
      </c>
      <c r="N215" s="18" t="s">
        <v>18</v>
      </c>
      <c r="S215"/>
    </row>
    <row r="216" spans="1:19" ht="309.75" hidden="1" x14ac:dyDescent="0.2">
      <c r="A216" s="12" t="s">
        <v>1196</v>
      </c>
      <c r="B216" s="12" t="s">
        <v>1197</v>
      </c>
      <c r="C216" s="37" t="s">
        <v>1198</v>
      </c>
      <c r="D216" s="12" t="s">
        <v>1199</v>
      </c>
      <c r="E216" s="12" t="s">
        <v>3412</v>
      </c>
      <c r="F216" s="12"/>
      <c r="G216" s="12"/>
      <c r="H216" s="12"/>
      <c r="I216" s="22" t="s">
        <v>2838</v>
      </c>
      <c r="J216" s="18" t="s">
        <v>2839</v>
      </c>
      <c r="K216" s="18"/>
      <c r="L216" s="19" t="s">
        <v>2840</v>
      </c>
      <c r="M216" s="13" t="e">
        <f>VLOOKUP(#REF!,#REF!, 5)</f>
        <v>#REF!</v>
      </c>
      <c r="N216" s="18" t="s">
        <v>18</v>
      </c>
      <c r="S216"/>
    </row>
    <row r="217" spans="1:19" ht="409.6" x14ac:dyDescent="0.2">
      <c r="A217" s="12" t="s">
        <v>1201</v>
      </c>
      <c r="B217" s="12" t="s">
        <v>1202</v>
      </c>
      <c r="C217" s="37" t="s">
        <v>1203</v>
      </c>
      <c r="D217" s="12" t="s">
        <v>1204</v>
      </c>
      <c r="E217" s="12" t="s">
        <v>3414</v>
      </c>
      <c r="F217" s="12" t="s">
        <v>3605</v>
      </c>
      <c r="G217" s="37" t="s">
        <v>3731</v>
      </c>
      <c r="H217" s="12" t="s">
        <v>3732</v>
      </c>
      <c r="I217" s="56"/>
      <c r="J217" s="59"/>
      <c r="K217" s="59"/>
      <c r="L217" s="59"/>
      <c r="M217" s="57"/>
      <c r="N217" s="18" t="s">
        <v>18</v>
      </c>
      <c r="O217" s="12" t="s">
        <v>2845</v>
      </c>
      <c r="S217"/>
    </row>
    <row r="218" spans="1:19" ht="335.55" hidden="1" x14ac:dyDescent="0.2">
      <c r="A218" s="12" t="s">
        <v>1207</v>
      </c>
      <c r="B218" s="12" t="s">
        <v>1208</v>
      </c>
      <c r="C218" s="37" t="s">
        <v>1209</v>
      </c>
      <c r="D218" s="12" t="s">
        <v>2846</v>
      </c>
      <c r="E218" s="12" t="s">
        <v>3412</v>
      </c>
      <c r="F218" s="12"/>
      <c r="G218" s="12"/>
      <c r="H218" s="12"/>
      <c r="I218" s="22" t="s">
        <v>2847</v>
      </c>
      <c r="J218" s="18" t="s">
        <v>2848</v>
      </c>
      <c r="K218" s="18"/>
      <c r="L218" s="19" t="s">
        <v>2849</v>
      </c>
      <c r="M218" s="13" t="e">
        <f>VLOOKUP(#REF!,#REF!, 5)</f>
        <v>#REF!</v>
      </c>
      <c r="N218" s="18" t="s">
        <v>18</v>
      </c>
      <c r="O218" s="12" t="s">
        <v>2845</v>
      </c>
      <c r="S218"/>
    </row>
    <row r="219" spans="1:19" ht="90.35" hidden="1" x14ac:dyDescent="0.2">
      <c r="A219" s="12" t="s">
        <v>1207</v>
      </c>
      <c r="B219" s="12" t="s">
        <v>1213</v>
      </c>
      <c r="C219" s="37" t="s">
        <v>1214</v>
      </c>
      <c r="D219" s="12" t="s">
        <v>1215</v>
      </c>
      <c r="E219" s="12" t="s">
        <v>3412</v>
      </c>
      <c r="F219" s="12"/>
      <c r="G219" s="12"/>
      <c r="H219" s="12"/>
      <c r="I219" s="22" t="s">
        <v>2850</v>
      </c>
      <c r="J219" s="18" t="s">
        <v>2851</v>
      </c>
      <c r="K219" s="18"/>
      <c r="L219" s="19" t="s">
        <v>2849</v>
      </c>
      <c r="M219" s="13" t="e">
        <f>VLOOKUP(#REF!,#REF!, 5)</f>
        <v>#REF!</v>
      </c>
      <c r="N219" s="18" t="s">
        <v>18</v>
      </c>
      <c r="O219" s="12" t="s">
        <v>2845</v>
      </c>
      <c r="S219"/>
    </row>
    <row r="220" spans="1:19" ht="129.1" hidden="1" x14ac:dyDescent="0.2">
      <c r="A220" s="12" t="s">
        <v>1217</v>
      </c>
      <c r="B220" s="12" t="s">
        <v>1218</v>
      </c>
      <c r="C220" s="37" t="s">
        <v>1219</v>
      </c>
      <c r="D220" s="12" t="s">
        <v>1220</v>
      </c>
      <c r="E220" s="12" t="s">
        <v>3412</v>
      </c>
      <c r="F220" s="12"/>
      <c r="G220" s="12"/>
      <c r="H220" s="12"/>
      <c r="I220" s="22" t="s">
        <v>2852</v>
      </c>
      <c r="J220" s="18" t="s">
        <v>2853</v>
      </c>
      <c r="K220" s="18"/>
      <c r="L220" s="19" t="s">
        <v>2854</v>
      </c>
      <c r="M220" s="13" t="e">
        <f>VLOOKUP(#REF!,#REF!, 5)</f>
        <v>#REF!</v>
      </c>
      <c r="N220" s="18" t="s">
        <v>18</v>
      </c>
      <c r="O220" s="12" t="s">
        <v>2845</v>
      </c>
      <c r="S220"/>
    </row>
    <row r="221" spans="1:19" ht="77.45" hidden="1" x14ac:dyDescent="0.2">
      <c r="A221" s="12" t="s">
        <v>1223</v>
      </c>
      <c r="B221" s="12" t="s">
        <v>1224</v>
      </c>
      <c r="C221" s="37" t="s">
        <v>1225</v>
      </c>
      <c r="D221" s="12" t="s">
        <v>1226</v>
      </c>
      <c r="E221" s="12" t="s">
        <v>3412</v>
      </c>
      <c r="F221" s="12"/>
      <c r="G221" s="12"/>
      <c r="H221" s="12"/>
      <c r="I221" s="22" t="s">
        <v>2345</v>
      </c>
      <c r="J221" s="18" t="s">
        <v>2855</v>
      </c>
      <c r="K221" s="18"/>
      <c r="L221" s="18"/>
      <c r="M221" s="13" t="e">
        <f>VLOOKUP(#REF!,#REF!, 5)</f>
        <v>#REF!</v>
      </c>
      <c r="N221" s="18" t="s">
        <v>18</v>
      </c>
      <c r="O221" s="12" t="s">
        <v>2845</v>
      </c>
      <c r="S221"/>
    </row>
    <row r="222" spans="1:19" ht="258.14999999999998" hidden="1" x14ac:dyDescent="0.2">
      <c r="A222" s="12" t="s">
        <v>1228</v>
      </c>
      <c r="B222" s="4" t="s">
        <v>1229</v>
      </c>
      <c r="C222" s="7" t="s">
        <v>1230</v>
      </c>
      <c r="D222" s="4" t="s">
        <v>1231</v>
      </c>
      <c r="E222" s="12" t="s">
        <v>3412</v>
      </c>
      <c r="I222" s="22" t="s">
        <v>2856</v>
      </c>
      <c r="J222" s="18" t="s">
        <v>2857</v>
      </c>
      <c r="K222" s="18" t="s">
        <v>2858</v>
      </c>
      <c r="L222" s="19" t="s">
        <v>2859</v>
      </c>
      <c r="M222" s="13" t="e">
        <f>VLOOKUP(#REF!,#REF!, 5)</f>
        <v>#REF!</v>
      </c>
      <c r="N222" s="18" t="s">
        <v>18</v>
      </c>
      <c r="O222" s="12" t="s">
        <v>2845</v>
      </c>
      <c r="S222"/>
    </row>
    <row r="223" spans="1:19" ht="51.65" hidden="1" x14ac:dyDescent="0.2">
      <c r="A223" s="12" t="s">
        <v>1234</v>
      </c>
      <c r="B223" s="12" t="s">
        <v>1235</v>
      </c>
      <c r="C223" s="37" t="s">
        <v>1236</v>
      </c>
      <c r="D223" s="12" t="s">
        <v>1237</v>
      </c>
      <c r="E223" s="12" t="s">
        <v>3412</v>
      </c>
      <c r="F223" s="12"/>
      <c r="G223" s="12"/>
      <c r="H223" s="12"/>
      <c r="I223" s="22" t="s">
        <v>2345</v>
      </c>
      <c r="J223" s="18" t="s">
        <v>2862</v>
      </c>
      <c r="K223" s="18"/>
      <c r="L223" s="18"/>
      <c r="M223" s="13" t="e">
        <f>VLOOKUP(#REF!,#REF!, 5)</f>
        <v>#REF!</v>
      </c>
      <c r="N223" s="18" t="s">
        <v>18</v>
      </c>
      <c r="O223" s="12" t="s">
        <v>2845</v>
      </c>
      <c r="S223"/>
    </row>
    <row r="224" spans="1:19" ht="64.55" hidden="1" x14ac:dyDescent="0.2">
      <c r="A224" s="12" t="s">
        <v>1239</v>
      </c>
      <c r="B224" s="12" t="s">
        <v>1240</v>
      </c>
      <c r="C224" s="37" t="s">
        <v>1241</v>
      </c>
      <c r="D224" s="12" t="s">
        <v>1242</v>
      </c>
      <c r="E224" s="12" t="s">
        <v>3412</v>
      </c>
      <c r="F224" s="12"/>
      <c r="G224" s="12"/>
      <c r="H224" s="12"/>
      <c r="I224" s="22" t="s">
        <v>2863</v>
      </c>
      <c r="J224" s="18" t="s">
        <v>2864</v>
      </c>
      <c r="K224" s="18"/>
      <c r="L224" s="19" t="s">
        <v>2865</v>
      </c>
      <c r="M224" s="13" t="e">
        <f>VLOOKUP(#REF!,#REF!, 5)</f>
        <v>#REF!</v>
      </c>
      <c r="N224" s="18" t="s">
        <v>18</v>
      </c>
      <c r="O224" s="12" t="s">
        <v>2845</v>
      </c>
      <c r="S224"/>
    </row>
    <row r="225" spans="1:19" ht="103.25" hidden="1" x14ac:dyDescent="0.2">
      <c r="A225" s="12" t="s">
        <v>1244</v>
      </c>
      <c r="B225" s="12" t="s">
        <v>1245</v>
      </c>
      <c r="C225" s="37" t="s">
        <v>1246</v>
      </c>
      <c r="D225" s="12" t="s">
        <v>1247</v>
      </c>
      <c r="E225" s="12" t="s">
        <v>3412</v>
      </c>
      <c r="F225" s="12"/>
      <c r="G225" s="12"/>
      <c r="H225" s="12"/>
      <c r="I225" s="22" t="s">
        <v>2345</v>
      </c>
      <c r="J225" s="18" t="s">
        <v>2866</v>
      </c>
      <c r="K225" s="18"/>
      <c r="L225" s="18"/>
      <c r="M225" s="13" t="e">
        <f>VLOOKUP(#REF!,#REF!, 5)</f>
        <v>#REF!</v>
      </c>
      <c r="N225" s="18" t="s">
        <v>18</v>
      </c>
      <c r="O225" s="12" t="s">
        <v>2845</v>
      </c>
      <c r="S225"/>
    </row>
    <row r="226" spans="1:19" ht="103.25" hidden="1" x14ac:dyDescent="0.2">
      <c r="A226" s="12" t="s">
        <v>1250</v>
      </c>
      <c r="B226" s="12" t="s">
        <v>1251</v>
      </c>
      <c r="C226" s="37" t="s">
        <v>1252</v>
      </c>
      <c r="D226" s="12" t="s">
        <v>1253</v>
      </c>
      <c r="E226" s="12" t="s">
        <v>3412</v>
      </c>
      <c r="F226" s="12"/>
      <c r="G226" s="12"/>
      <c r="H226" s="12"/>
      <c r="I226" s="22" t="s">
        <v>2345</v>
      </c>
      <c r="J226" s="18" t="s">
        <v>2868</v>
      </c>
      <c r="K226" s="18"/>
      <c r="L226" s="18"/>
      <c r="M226" s="13" t="e">
        <f>VLOOKUP(#REF!,#REF!, 5)</f>
        <v>#REF!</v>
      </c>
      <c r="N226" s="18" t="s">
        <v>18</v>
      </c>
      <c r="O226" s="12" t="s">
        <v>2845</v>
      </c>
      <c r="S226"/>
    </row>
    <row r="227" spans="1:19" ht="103.25" hidden="1" x14ac:dyDescent="0.2">
      <c r="A227" s="12" t="s">
        <v>1250</v>
      </c>
      <c r="B227" s="12" t="s">
        <v>1255</v>
      </c>
      <c r="C227" s="37" t="s">
        <v>1256</v>
      </c>
      <c r="D227" s="12" t="s">
        <v>1257</v>
      </c>
      <c r="E227" s="12" t="s">
        <v>3412</v>
      </c>
      <c r="F227" s="12"/>
      <c r="G227" s="12"/>
      <c r="H227" s="12"/>
      <c r="I227" s="22" t="s">
        <v>2345</v>
      </c>
      <c r="J227" s="18" t="s">
        <v>2868</v>
      </c>
      <c r="K227" s="18"/>
      <c r="L227" s="18"/>
      <c r="M227" s="13" t="e">
        <f>VLOOKUP(#REF!,#REF!, 5)</f>
        <v>#REF!</v>
      </c>
      <c r="N227" s="18" t="s">
        <v>18</v>
      </c>
      <c r="O227" s="12" t="s">
        <v>2845</v>
      </c>
      <c r="S227"/>
    </row>
    <row r="228" spans="1:19" ht="409.6" hidden="1" x14ac:dyDescent="0.2">
      <c r="A228" s="12" t="s">
        <v>1259</v>
      </c>
      <c r="B228" s="12" t="s">
        <v>1260</v>
      </c>
      <c r="C228" s="37" t="s">
        <v>1261</v>
      </c>
      <c r="D228" s="12" t="s">
        <v>1262</v>
      </c>
      <c r="E228" s="12" t="s">
        <v>3412</v>
      </c>
      <c r="F228" s="12"/>
      <c r="G228" s="12"/>
      <c r="H228" s="12"/>
      <c r="I228" s="22" t="s">
        <v>2863</v>
      </c>
      <c r="J228" s="18" t="s">
        <v>2870</v>
      </c>
      <c r="K228" s="18"/>
      <c r="L228" s="19" t="s">
        <v>2871</v>
      </c>
      <c r="M228" s="13" t="e">
        <f>VLOOKUP(#REF!,#REF!, 5)</f>
        <v>#REF!</v>
      </c>
      <c r="N228" s="18" t="s">
        <v>18</v>
      </c>
      <c r="O228" s="12" t="s">
        <v>2845</v>
      </c>
      <c r="S228"/>
    </row>
    <row r="229" spans="1:19" ht="77.45" x14ac:dyDescent="0.2">
      <c r="A229" s="12" t="s">
        <v>1266</v>
      </c>
      <c r="B229" s="12" t="s">
        <v>1267</v>
      </c>
      <c r="C229" s="37" t="s">
        <v>1268</v>
      </c>
      <c r="D229" s="12" t="s">
        <v>1269</v>
      </c>
      <c r="E229" s="12" t="s">
        <v>3414</v>
      </c>
      <c r="F229" s="12" t="s">
        <v>3606</v>
      </c>
      <c r="G229" s="12" t="s">
        <v>3607</v>
      </c>
      <c r="H229" s="12" t="s">
        <v>3608</v>
      </c>
      <c r="I229" s="56"/>
      <c r="J229" s="59"/>
      <c r="K229" s="59"/>
      <c r="L229" s="61" t="s">
        <v>2874</v>
      </c>
      <c r="M229" s="57"/>
      <c r="N229" s="12" t="s">
        <v>18</v>
      </c>
      <c r="O229" s="12" t="s">
        <v>2845</v>
      </c>
      <c r="S229"/>
    </row>
    <row r="230" spans="1:19" ht="193.6" hidden="1" x14ac:dyDescent="0.2">
      <c r="A230" s="12" t="s">
        <v>1272</v>
      </c>
      <c r="B230" s="12" t="s">
        <v>1273</v>
      </c>
      <c r="C230" s="37" t="s">
        <v>1274</v>
      </c>
      <c r="D230" s="12" t="s">
        <v>2875</v>
      </c>
      <c r="E230" s="12" t="s">
        <v>3412</v>
      </c>
      <c r="F230" s="12"/>
      <c r="G230" s="12"/>
      <c r="H230" s="12"/>
      <c r="I230" s="22" t="s">
        <v>2876</v>
      </c>
      <c r="J230" s="18" t="s">
        <v>2877</v>
      </c>
      <c r="K230" s="18"/>
      <c r="L230" s="19" t="s">
        <v>2878</v>
      </c>
      <c r="M230" s="13" t="e">
        <f>VLOOKUP(#REF!,#REF!, 5)</f>
        <v>#REF!</v>
      </c>
      <c r="N230" s="18" t="s">
        <v>18</v>
      </c>
      <c r="O230" s="12" t="s">
        <v>2845</v>
      </c>
      <c r="S230"/>
    </row>
    <row r="231" spans="1:19" ht="193.6" hidden="1" x14ac:dyDescent="0.2">
      <c r="A231" s="12" t="s">
        <v>1276</v>
      </c>
      <c r="B231" s="12" t="s">
        <v>1277</v>
      </c>
      <c r="C231" s="37" t="s">
        <v>1278</v>
      </c>
      <c r="D231" s="12" t="s">
        <v>1279</v>
      </c>
      <c r="E231" s="12" t="s">
        <v>3412</v>
      </c>
      <c r="F231" s="12"/>
      <c r="G231" s="12"/>
      <c r="H231" s="12"/>
      <c r="I231" s="22" t="s">
        <v>2879</v>
      </c>
      <c r="J231" s="18" t="s">
        <v>2880</v>
      </c>
      <c r="K231" s="18"/>
      <c r="L231" s="18"/>
      <c r="M231" s="13" t="e">
        <f>VLOOKUP(#REF!,#REF!, 5)</f>
        <v>#REF!</v>
      </c>
      <c r="N231" s="18" t="s">
        <v>18</v>
      </c>
      <c r="S231"/>
    </row>
    <row r="232" spans="1:19" ht="38.75" x14ac:dyDescent="0.2">
      <c r="A232" s="12" t="s">
        <v>1276</v>
      </c>
      <c r="B232" s="12" t="s">
        <v>1282</v>
      </c>
      <c r="C232" s="37" t="s">
        <v>1283</v>
      </c>
      <c r="D232" s="12" t="s">
        <v>1284</v>
      </c>
      <c r="E232" s="12" t="s">
        <v>3414</v>
      </c>
      <c r="F232" s="12" t="s">
        <v>3609</v>
      </c>
      <c r="G232" s="12" t="s">
        <v>3610</v>
      </c>
      <c r="H232" s="12" t="s">
        <v>3611</v>
      </c>
      <c r="I232" s="56"/>
      <c r="J232" s="59"/>
      <c r="K232" s="59"/>
      <c r="L232" s="59"/>
      <c r="M232" s="57"/>
      <c r="N232" s="18" t="s">
        <v>18</v>
      </c>
      <c r="S232"/>
    </row>
    <row r="233" spans="1:19" ht="77.45" x14ac:dyDescent="0.2">
      <c r="A233" s="12" t="s">
        <v>1286</v>
      </c>
      <c r="B233" s="12" t="s">
        <v>1287</v>
      </c>
      <c r="C233" s="37" t="s">
        <v>1288</v>
      </c>
      <c r="D233" s="12" t="s">
        <v>1289</v>
      </c>
      <c r="E233" s="12" t="s">
        <v>3414</v>
      </c>
      <c r="F233" s="12" t="s">
        <v>3612</v>
      </c>
      <c r="G233" s="12" t="s">
        <v>3613</v>
      </c>
      <c r="H233" s="12" t="s">
        <v>3614</v>
      </c>
      <c r="I233" s="56"/>
      <c r="J233" s="59"/>
      <c r="K233" s="59"/>
      <c r="L233" s="59"/>
      <c r="M233" s="57"/>
      <c r="N233" s="12" t="s">
        <v>18</v>
      </c>
      <c r="S233"/>
    </row>
    <row r="234" spans="1:19" ht="142" x14ac:dyDescent="0.2">
      <c r="A234" s="12" t="s">
        <v>1286</v>
      </c>
      <c r="B234" s="12" t="s">
        <v>1291</v>
      </c>
      <c r="C234" s="37" t="s">
        <v>1292</v>
      </c>
      <c r="D234" s="12" t="s">
        <v>2885</v>
      </c>
      <c r="E234" s="12" t="s">
        <v>3414</v>
      </c>
      <c r="F234" s="12" t="s">
        <v>3615</v>
      </c>
      <c r="G234" s="12" t="s">
        <v>3616</v>
      </c>
      <c r="H234" s="12" t="s">
        <v>3617</v>
      </c>
      <c r="I234" s="56"/>
      <c r="J234" s="59"/>
      <c r="K234" s="59"/>
      <c r="L234" s="59"/>
      <c r="M234" s="57"/>
      <c r="N234" s="18" t="s">
        <v>18</v>
      </c>
      <c r="S234"/>
    </row>
    <row r="235" spans="1:19" ht="51.65" hidden="1" x14ac:dyDescent="0.2">
      <c r="A235" s="12" t="s">
        <v>1295</v>
      </c>
      <c r="B235" s="12" t="s">
        <v>1296</v>
      </c>
      <c r="C235" s="37" t="s">
        <v>1297</v>
      </c>
      <c r="D235" s="12" t="s">
        <v>1298</v>
      </c>
      <c r="E235" s="12" t="s">
        <v>3412</v>
      </c>
      <c r="F235" s="12"/>
      <c r="G235" s="12"/>
      <c r="H235" s="12"/>
      <c r="I235" s="22" t="s">
        <v>2888</v>
      </c>
      <c r="J235" s="18" t="s">
        <v>2889</v>
      </c>
      <c r="K235" s="18"/>
      <c r="L235" s="18"/>
      <c r="M235" s="13" t="e">
        <f>VLOOKUP(#REF!,#REF!, 5)</f>
        <v>#REF!</v>
      </c>
      <c r="N235" s="18" t="s">
        <v>18</v>
      </c>
      <c r="S235"/>
    </row>
    <row r="236" spans="1:19" ht="90.35" hidden="1" x14ac:dyDescent="0.2">
      <c r="A236" s="12" t="s">
        <v>1300</v>
      </c>
      <c r="B236" s="12" t="s">
        <v>1301</v>
      </c>
      <c r="C236" s="37" t="s">
        <v>1302</v>
      </c>
      <c r="D236" s="12" t="s">
        <v>2890</v>
      </c>
      <c r="E236" s="12" t="s">
        <v>3412</v>
      </c>
      <c r="F236" s="12"/>
      <c r="G236" s="12"/>
      <c r="H236" s="12"/>
      <c r="I236" s="22" t="s">
        <v>2891</v>
      </c>
      <c r="J236" s="18" t="s">
        <v>2892</v>
      </c>
      <c r="K236" s="18"/>
      <c r="L236" s="18"/>
      <c r="M236" s="13" t="e">
        <f>VLOOKUP(#REF!,#REF!, 5)</f>
        <v>#REF!</v>
      </c>
      <c r="N236" s="18" t="s">
        <v>18</v>
      </c>
      <c r="S236"/>
    </row>
    <row r="237" spans="1:19" ht="90.35" x14ac:dyDescent="0.2">
      <c r="A237" s="32" t="s">
        <v>1306</v>
      </c>
      <c r="B237" s="12" t="s">
        <v>1307</v>
      </c>
      <c r="C237" s="37" t="s">
        <v>1308</v>
      </c>
      <c r="D237" s="12" t="s">
        <v>1309</v>
      </c>
      <c r="E237" s="12" t="s">
        <v>3414</v>
      </c>
      <c r="F237" s="12" t="s">
        <v>3618</v>
      </c>
      <c r="G237" s="37" t="s">
        <v>3619</v>
      </c>
      <c r="H237" s="12" t="s">
        <v>3620</v>
      </c>
      <c r="I237" s="56"/>
      <c r="J237" s="59"/>
      <c r="K237" s="59"/>
      <c r="L237" s="59"/>
      <c r="M237" s="57"/>
      <c r="N237" s="18" t="s">
        <v>18</v>
      </c>
      <c r="S237"/>
    </row>
    <row r="238" spans="1:19" ht="51.65" x14ac:dyDescent="0.2">
      <c r="A238" s="12" t="s">
        <v>1312</v>
      </c>
      <c r="B238" s="12" t="s">
        <v>1313</v>
      </c>
      <c r="C238" s="37" t="s">
        <v>1314</v>
      </c>
      <c r="D238" s="12" t="s">
        <v>1315</v>
      </c>
      <c r="E238" s="12" t="s">
        <v>3414</v>
      </c>
      <c r="F238" s="12" t="s">
        <v>3621</v>
      </c>
      <c r="G238" s="37" t="s">
        <v>3622</v>
      </c>
      <c r="H238" s="12" t="s">
        <v>3623</v>
      </c>
      <c r="I238" s="56"/>
      <c r="J238" s="59"/>
      <c r="K238" s="59"/>
      <c r="L238" s="59"/>
      <c r="M238" s="57"/>
      <c r="N238" s="18" t="s">
        <v>18</v>
      </c>
      <c r="S238"/>
    </row>
    <row r="239" spans="1:19" ht="142" hidden="1" x14ac:dyDescent="0.2">
      <c r="A239" s="12" t="s">
        <v>1318</v>
      </c>
      <c r="B239" s="12" t="s">
        <v>1319</v>
      </c>
      <c r="C239" s="37" t="s">
        <v>1320</v>
      </c>
      <c r="D239" s="12" t="s">
        <v>1321</v>
      </c>
      <c r="E239" s="12" t="s">
        <v>3412</v>
      </c>
      <c r="F239" s="12"/>
      <c r="G239" s="12"/>
      <c r="H239" s="12"/>
      <c r="I239" s="22" t="s">
        <v>2898</v>
      </c>
      <c r="J239" s="18" t="s">
        <v>2899</v>
      </c>
      <c r="K239" s="18" t="s">
        <v>2900</v>
      </c>
      <c r="L239" s="18" t="s">
        <v>2901</v>
      </c>
      <c r="M239" s="13" t="e">
        <f>VLOOKUP(#REF!,#REF!, 5)</f>
        <v>#REF!</v>
      </c>
      <c r="N239" s="18" t="s">
        <v>18</v>
      </c>
      <c r="S239"/>
    </row>
    <row r="240" spans="1:19" ht="38.75" x14ac:dyDescent="0.2">
      <c r="A240" s="12" t="s">
        <v>1325</v>
      </c>
      <c r="B240" s="12" t="s">
        <v>1326</v>
      </c>
      <c r="C240" s="37" t="s">
        <v>1327</v>
      </c>
      <c r="D240" s="12" t="s">
        <v>3624</v>
      </c>
      <c r="E240" s="12" t="s">
        <v>3414</v>
      </c>
      <c r="F240" s="12" t="s">
        <v>3625</v>
      </c>
      <c r="G240" s="12" t="s">
        <v>3626</v>
      </c>
      <c r="H240" s="12" t="s">
        <v>3627</v>
      </c>
      <c r="I240" s="56"/>
      <c r="J240" s="59"/>
      <c r="K240" s="59"/>
      <c r="L240" s="59" t="s">
        <v>2905</v>
      </c>
      <c r="M240" s="57"/>
      <c r="N240" s="18" t="s">
        <v>18</v>
      </c>
      <c r="S240"/>
    </row>
    <row r="241" spans="1:19" ht="25.85" x14ac:dyDescent="0.2">
      <c r="A241" s="12" t="s">
        <v>1332</v>
      </c>
      <c r="B241" s="12" t="s">
        <v>1333</v>
      </c>
      <c r="C241" s="37" t="s">
        <v>1334</v>
      </c>
      <c r="D241" s="12" t="s">
        <v>1335</v>
      </c>
      <c r="E241" s="12" t="s">
        <v>3414</v>
      </c>
      <c r="F241" s="12" t="s">
        <v>3628</v>
      </c>
      <c r="G241" s="12" t="s">
        <v>1335</v>
      </c>
      <c r="H241" s="12" t="s">
        <v>3629</v>
      </c>
      <c r="I241" s="56"/>
      <c r="J241" s="59"/>
      <c r="K241" s="59"/>
      <c r="L241" s="61" t="s">
        <v>2909</v>
      </c>
      <c r="M241" s="57"/>
      <c r="N241" s="18" t="s">
        <v>18</v>
      </c>
      <c r="S241"/>
    </row>
    <row r="242" spans="1:19" ht="77.45" hidden="1" x14ac:dyDescent="0.2">
      <c r="A242" s="12" t="s">
        <v>1338</v>
      </c>
      <c r="B242" s="12" t="s">
        <v>1339</v>
      </c>
      <c r="C242" s="37" t="s">
        <v>1340</v>
      </c>
      <c r="D242" s="12" t="s">
        <v>1341</v>
      </c>
      <c r="E242" s="12" t="s">
        <v>3412</v>
      </c>
      <c r="F242" s="12"/>
      <c r="G242" s="12"/>
      <c r="H242" s="12"/>
      <c r="I242" s="22" t="s">
        <v>2911</v>
      </c>
      <c r="J242" s="18" t="s">
        <v>2912</v>
      </c>
      <c r="K242" s="18"/>
      <c r="L242" s="18" t="s">
        <v>2913</v>
      </c>
      <c r="M242" s="13" t="e">
        <f>VLOOKUP(#REF!,#REF!, 5)</f>
        <v>#REF!</v>
      </c>
      <c r="N242" s="18" t="s">
        <v>18</v>
      </c>
      <c r="S242"/>
    </row>
    <row r="243" spans="1:19" ht="77.45" x14ac:dyDescent="0.2">
      <c r="A243" s="12" t="s">
        <v>1345</v>
      </c>
      <c r="B243" s="12" t="s">
        <v>1346</v>
      </c>
      <c r="C243" s="51" t="s">
        <v>1347</v>
      </c>
      <c r="D243" s="39" t="s">
        <v>3630</v>
      </c>
      <c r="E243" s="39" t="s">
        <v>3414</v>
      </c>
      <c r="F243" s="12" t="s">
        <v>3631</v>
      </c>
      <c r="G243" s="51" t="s">
        <v>3632</v>
      </c>
      <c r="H243" s="39" t="s">
        <v>3726</v>
      </c>
      <c r="I243" s="56"/>
      <c r="J243" s="56"/>
      <c r="K243" s="61"/>
      <c r="L243" s="59"/>
      <c r="M243" s="57"/>
      <c r="N243" s="18" t="s">
        <v>18</v>
      </c>
      <c r="S243"/>
    </row>
    <row r="244" spans="1:19" ht="296.85000000000002" hidden="1" x14ac:dyDescent="0.2">
      <c r="A244" s="12" t="s">
        <v>1351</v>
      </c>
      <c r="B244" s="12" t="s">
        <v>1352</v>
      </c>
      <c r="C244" s="37" t="s">
        <v>1353</v>
      </c>
      <c r="D244" s="12" t="s">
        <v>1354</v>
      </c>
      <c r="E244" s="12" t="s">
        <v>3412</v>
      </c>
      <c r="F244" s="12"/>
      <c r="G244" s="12"/>
      <c r="H244" s="12"/>
      <c r="I244" s="22" t="s">
        <v>2914</v>
      </c>
      <c r="J244" s="22" t="s">
        <v>2917</v>
      </c>
      <c r="K244" s="19" t="s">
        <v>2753</v>
      </c>
      <c r="L244" s="18"/>
      <c r="M244" s="13" t="e">
        <f>VLOOKUP(#REF!,#REF!, 5)</f>
        <v>#REF!</v>
      </c>
      <c r="N244" s="18" t="s">
        <v>18</v>
      </c>
      <c r="S244"/>
    </row>
    <row r="245" spans="1:19" ht="322.64999999999998" hidden="1" x14ac:dyDescent="0.2">
      <c r="A245" s="12" t="s">
        <v>1355</v>
      </c>
      <c r="B245" s="12" t="s">
        <v>1356</v>
      </c>
      <c r="C245" s="37" t="s">
        <v>1357</v>
      </c>
      <c r="D245" s="12" t="s">
        <v>2918</v>
      </c>
      <c r="E245" s="12" t="s">
        <v>3412</v>
      </c>
      <c r="F245" s="12"/>
      <c r="G245" s="12"/>
      <c r="H245" s="12"/>
      <c r="I245" s="22" t="s">
        <v>2914</v>
      </c>
      <c r="J245" s="22" t="s">
        <v>2919</v>
      </c>
      <c r="K245" s="19" t="s">
        <v>2753</v>
      </c>
      <c r="L245" s="18"/>
      <c r="M245" s="13" t="e">
        <f>VLOOKUP(#REF!,#REF!, 5)</f>
        <v>#REF!</v>
      </c>
      <c r="N245" s="18" t="s">
        <v>18</v>
      </c>
      <c r="S245"/>
    </row>
    <row r="246" spans="1:19" ht="219.4" hidden="1" x14ac:dyDescent="0.2">
      <c r="A246" s="12" t="s">
        <v>1359</v>
      </c>
      <c r="B246" s="12" t="s">
        <v>1360</v>
      </c>
      <c r="C246" s="37" t="s">
        <v>1361</v>
      </c>
      <c r="D246" s="12" t="s">
        <v>2920</v>
      </c>
      <c r="E246" s="12" t="s">
        <v>3412</v>
      </c>
      <c r="F246" s="12"/>
      <c r="G246" s="12"/>
      <c r="H246" s="12"/>
      <c r="I246" s="22" t="s">
        <v>2914</v>
      </c>
      <c r="J246" s="22" t="s">
        <v>2921</v>
      </c>
      <c r="K246" s="19" t="s">
        <v>2753</v>
      </c>
      <c r="L246" s="18"/>
      <c r="M246" s="13" t="e">
        <f>VLOOKUP(#REF!,#REF!, 5)</f>
        <v>#REF!</v>
      </c>
      <c r="N246" s="18" t="s">
        <v>18</v>
      </c>
      <c r="S246"/>
    </row>
    <row r="247" spans="1:19" ht="245.25" hidden="1" x14ac:dyDescent="0.2">
      <c r="A247" s="12" t="s">
        <v>1364</v>
      </c>
      <c r="B247" s="12" t="s">
        <v>1365</v>
      </c>
      <c r="C247" s="37" t="s">
        <v>1366</v>
      </c>
      <c r="D247" s="12" t="s">
        <v>1367</v>
      </c>
      <c r="E247" s="12" t="s">
        <v>3412</v>
      </c>
      <c r="F247" s="12"/>
      <c r="G247" s="12"/>
      <c r="H247" s="12"/>
      <c r="I247" s="22" t="s">
        <v>2922</v>
      </c>
      <c r="J247" s="18" t="s">
        <v>2923</v>
      </c>
      <c r="K247" s="18"/>
      <c r="L247" s="18"/>
      <c r="M247" s="13" t="e">
        <f>VLOOKUP(#REF!,#REF!, 5)</f>
        <v>#REF!</v>
      </c>
      <c r="N247" s="18" t="s">
        <v>18</v>
      </c>
      <c r="S247"/>
    </row>
    <row r="248" spans="1:19" ht="309.75" hidden="1" x14ac:dyDescent="0.2">
      <c r="A248" s="12" t="s">
        <v>1369</v>
      </c>
      <c r="B248" s="12" t="s">
        <v>1370</v>
      </c>
      <c r="C248" s="37" t="s">
        <v>1371</v>
      </c>
      <c r="D248" s="12" t="s">
        <v>1372</v>
      </c>
      <c r="E248" s="12" t="s">
        <v>3412</v>
      </c>
      <c r="F248" s="12"/>
      <c r="G248" s="12"/>
      <c r="H248" s="12"/>
      <c r="I248" s="22" t="s">
        <v>2924</v>
      </c>
      <c r="J248" s="18" t="s">
        <v>2925</v>
      </c>
      <c r="K248" s="18"/>
      <c r="L248" s="18"/>
      <c r="M248" s="13" t="e">
        <f>VLOOKUP(#REF!,#REF!, 5)</f>
        <v>#REF!</v>
      </c>
      <c r="N248" s="18" t="s">
        <v>18</v>
      </c>
      <c r="S248"/>
    </row>
    <row r="249" spans="1:19" ht="409.6" hidden="1" x14ac:dyDescent="0.2">
      <c r="A249" s="12" t="s">
        <v>1374</v>
      </c>
      <c r="B249" s="12" t="s">
        <v>1375</v>
      </c>
      <c r="C249" s="37" t="s">
        <v>1376</v>
      </c>
      <c r="D249" s="12" t="s">
        <v>1377</v>
      </c>
      <c r="E249" s="12" t="s">
        <v>3412</v>
      </c>
      <c r="F249" s="12"/>
      <c r="G249" s="12"/>
      <c r="H249" s="12"/>
      <c r="I249" s="22" t="s">
        <v>2926</v>
      </c>
      <c r="J249" s="18" t="s">
        <v>2927</v>
      </c>
      <c r="K249" s="18"/>
      <c r="L249" s="18"/>
      <c r="M249" s="13" t="e">
        <f>VLOOKUP(#REF!,#REF!, 5)</f>
        <v>#REF!</v>
      </c>
      <c r="N249" s="18" t="s">
        <v>18</v>
      </c>
      <c r="S249"/>
    </row>
    <row r="250" spans="1:19" ht="90.35" hidden="1" x14ac:dyDescent="0.2">
      <c r="A250" s="12" t="s">
        <v>1379</v>
      </c>
      <c r="B250" s="12" t="s">
        <v>1380</v>
      </c>
      <c r="C250" s="37" t="s">
        <v>1381</v>
      </c>
      <c r="D250" s="12" t="s">
        <v>1382</v>
      </c>
      <c r="E250" s="12" t="s">
        <v>3412</v>
      </c>
      <c r="F250" s="12"/>
      <c r="G250" s="12"/>
      <c r="H250" s="12"/>
      <c r="I250" s="22" t="s">
        <v>2928</v>
      </c>
      <c r="J250" s="18" t="s">
        <v>2929</v>
      </c>
      <c r="K250" s="18"/>
      <c r="L250" s="18"/>
      <c r="M250" s="13" t="e">
        <f>VLOOKUP(#REF!,#REF!, 5)</f>
        <v>#REF!</v>
      </c>
      <c r="N250" s="18" t="s">
        <v>18</v>
      </c>
      <c r="S250"/>
    </row>
    <row r="251" spans="1:19" ht="409.6" hidden="1" x14ac:dyDescent="0.2">
      <c r="A251" s="12" t="s">
        <v>1384</v>
      </c>
      <c r="B251" s="12" t="s">
        <v>1385</v>
      </c>
      <c r="C251" s="51" t="s">
        <v>1386</v>
      </c>
      <c r="D251" s="39" t="s">
        <v>2930</v>
      </c>
      <c r="E251" s="39" t="s">
        <v>3412</v>
      </c>
      <c r="F251" s="39"/>
      <c r="G251" s="39"/>
      <c r="H251" s="39"/>
      <c r="I251" s="22" t="s">
        <v>2931</v>
      </c>
      <c r="J251" s="18" t="s">
        <v>2932</v>
      </c>
      <c r="K251" s="18"/>
      <c r="L251" s="18"/>
      <c r="M251" s="13" t="e">
        <f>VLOOKUP(#REF!,#REF!, 5)</f>
        <v>#REF!</v>
      </c>
      <c r="N251" s="18" t="s">
        <v>18</v>
      </c>
      <c r="O251" s="12" t="s">
        <v>2845</v>
      </c>
      <c r="S251"/>
    </row>
    <row r="252" spans="1:19" ht="245.25" hidden="1" x14ac:dyDescent="0.2">
      <c r="A252" s="12" t="s">
        <v>1390</v>
      </c>
      <c r="B252" s="12" t="s">
        <v>1391</v>
      </c>
      <c r="C252" s="37" t="s">
        <v>1392</v>
      </c>
      <c r="D252" s="12" t="s">
        <v>1393</v>
      </c>
      <c r="E252" s="12" t="s">
        <v>3412</v>
      </c>
      <c r="F252" s="12"/>
      <c r="G252" s="12"/>
      <c r="H252" s="12"/>
      <c r="I252" s="22" t="s">
        <v>2933</v>
      </c>
      <c r="J252" s="18" t="s">
        <v>2934</v>
      </c>
      <c r="K252" s="18" t="s">
        <v>2935</v>
      </c>
      <c r="L252" s="18" t="s">
        <v>2936</v>
      </c>
      <c r="M252" s="13" t="e">
        <f>VLOOKUP(#REF!,#REF!, 5)</f>
        <v>#REF!</v>
      </c>
      <c r="N252" s="18" t="s">
        <v>18</v>
      </c>
      <c r="O252" s="12" t="s">
        <v>2700</v>
      </c>
      <c r="S252"/>
    </row>
    <row r="253" spans="1:19" ht="129.1" hidden="1" x14ac:dyDescent="0.2">
      <c r="A253" s="12" t="s">
        <v>1390</v>
      </c>
      <c r="B253" s="12" t="s">
        <v>1397</v>
      </c>
      <c r="C253" s="37" t="s">
        <v>1398</v>
      </c>
      <c r="D253" s="12" t="s">
        <v>1399</v>
      </c>
      <c r="E253" s="12" t="s">
        <v>3412</v>
      </c>
      <c r="F253" s="12"/>
      <c r="G253" s="12"/>
      <c r="H253" s="12"/>
      <c r="I253" s="22" t="s">
        <v>2938</v>
      </c>
      <c r="J253" s="18"/>
      <c r="K253" s="18"/>
      <c r="L253" s="18"/>
      <c r="M253" s="13" t="e">
        <f>VLOOKUP(#REF!,#REF!, 5)</f>
        <v>#REF!</v>
      </c>
      <c r="N253" s="18" t="s">
        <v>18</v>
      </c>
      <c r="O253" s="12" t="s">
        <v>2700</v>
      </c>
      <c r="S253"/>
    </row>
    <row r="254" spans="1:19" ht="322.64999999999998" hidden="1" x14ac:dyDescent="0.2">
      <c r="A254" s="12" t="s">
        <v>1390</v>
      </c>
      <c r="B254" s="12" t="s">
        <v>1401</v>
      </c>
      <c r="C254" s="51" t="s">
        <v>1402</v>
      </c>
      <c r="D254" s="39" t="s">
        <v>1403</v>
      </c>
      <c r="E254" s="39" t="s">
        <v>3412</v>
      </c>
      <c r="F254" s="39"/>
      <c r="G254" s="39"/>
      <c r="H254" s="39"/>
      <c r="I254" s="22" t="s">
        <v>2939</v>
      </c>
      <c r="J254" s="19" t="s">
        <v>2940</v>
      </c>
      <c r="K254" s="19" t="s">
        <v>2941</v>
      </c>
      <c r="L254" s="19"/>
      <c r="M254" s="13" t="e">
        <f>VLOOKUP(#REF!,#REF!, 5)</f>
        <v>#REF!</v>
      </c>
      <c r="N254" s="18" t="s">
        <v>18</v>
      </c>
      <c r="O254" s="12" t="s">
        <v>2700</v>
      </c>
      <c r="S254"/>
    </row>
    <row r="255" spans="1:19" ht="206.5" hidden="1" x14ac:dyDescent="0.2">
      <c r="A255" s="12" t="s">
        <v>1390</v>
      </c>
      <c r="B255" s="12" t="s">
        <v>1404</v>
      </c>
      <c r="C255" s="51" t="s">
        <v>1405</v>
      </c>
      <c r="D255" s="39" t="s">
        <v>1406</v>
      </c>
      <c r="E255" s="39" t="s">
        <v>3412</v>
      </c>
      <c r="F255" s="39"/>
      <c r="G255" s="39"/>
      <c r="H255" s="39"/>
      <c r="I255" s="22" t="s">
        <v>2943</v>
      </c>
      <c r="J255" s="18" t="s">
        <v>2944</v>
      </c>
      <c r="K255" s="18"/>
      <c r="L255" s="18"/>
      <c r="M255" s="13" t="e">
        <f>VLOOKUP(#REF!,#REF!, 5)</f>
        <v>#REF!</v>
      </c>
      <c r="N255" s="18" t="s">
        <v>18</v>
      </c>
      <c r="O255" s="12" t="s">
        <v>2700</v>
      </c>
      <c r="S255"/>
    </row>
    <row r="256" spans="1:19" ht="90.35" hidden="1" x14ac:dyDescent="0.2">
      <c r="A256" s="12" t="s">
        <v>1390</v>
      </c>
      <c r="B256" s="12" t="s">
        <v>1407</v>
      </c>
      <c r="C256" s="37" t="s">
        <v>1408</v>
      </c>
      <c r="D256" s="12" t="s">
        <v>1409</v>
      </c>
      <c r="E256" s="12" t="s">
        <v>3412</v>
      </c>
      <c r="F256" s="12"/>
      <c r="G256" s="12"/>
      <c r="H256" s="12"/>
      <c r="I256" s="22" t="s">
        <v>2945</v>
      </c>
      <c r="J256" s="18" t="s">
        <v>2946</v>
      </c>
      <c r="K256" s="18" t="s">
        <v>2947</v>
      </c>
      <c r="L256" s="18"/>
      <c r="M256" s="13" t="e">
        <f>VLOOKUP(#REF!,#REF!, 5)</f>
        <v>#REF!</v>
      </c>
      <c r="N256" s="18" t="s">
        <v>18</v>
      </c>
      <c r="O256" s="12" t="s">
        <v>2700</v>
      </c>
      <c r="S256"/>
    </row>
    <row r="257" spans="1:19" ht="51.65" hidden="1" x14ac:dyDescent="0.2">
      <c r="A257" s="12" t="s">
        <v>1410</v>
      </c>
      <c r="B257" s="12" t="s">
        <v>1411</v>
      </c>
      <c r="C257" s="37" t="s">
        <v>1412</v>
      </c>
      <c r="D257" s="12" t="s">
        <v>1413</v>
      </c>
      <c r="E257" s="12" t="s">
        <v>3412</v>
      </c>
      <c r="F257" s="12"/>
      <c r="G257" s="12"/>
      <c r="H257" s="12"/>
      <c r="I257" s="22" t="s">
        <v>2949</v>
      </c>
      <c r="J257" s="18"/>
      <c r="K257" s="18"/>
      <c r="L257" s="18"/>
      <c r="M257" s="13" t="e">
        <f>VLOOKUP(#REF!,#REF!, 5)</f>
        <v>#REF!</v>
      </c>
      <c r="N257" s="18" t="s">
        <v>18</v>
      </c>
      <c r="O257" s="12" t="s">
        <v>2700</v>
      </c>
      <c r="S257"/>
    </row>
    <row r="258" spans="1:19" ht="245.25" hidden="1" x14ac:dyDescent="0.2">
      <c r="A258" s="12" t="s">
        <v>1415</v>
      </c>
      <c r="B258" s="12" t="s">
        <v>1416</v>
      </c>
      <c r="C258" s="37" t="s">
        <v>1417</v>
      </c>
      <c r="D258" s="12" t="s">
        <v>1418</v>
      </c>
      <c r="E258" s="12" t="s">
        <v>3412</v>
      </c>
      <c r="F258" s="12"/>
      <c r="G258" s="12"/>
      <c r="H258" s="12"/>
      <c r="I258" s="22" t="s">
        <v>2950</v>
      </c>
      <c r="J258" s="18" t="s">
        <v>2951</v>
      </c>
      <c r="K258" s="18"/>
      <c r="L258" s="18"/>
      <c r="M258" s="13" t="e">
        <f>VLOOKUP(#REF!,#REF!, 5)</f>
        <v>#REF!</v>
      </c>
      <c r="N258" s="18" t="s">
        <v>18</v>
      </c>
      <c r="O258" s="12" t="s">
        <v>2700</v>
      </c>
      <c r="S258"/>
    </row>
    <row r="259" spans="1:19" ht="116.15" hidden="1" x14ac:dyDescent="0.2">
      <c r="A259" s="12" t="s">
        <v>1420</v>
      </c>
      <c r="B259" s="12" t="s">
        <v>1421</v>
      </c>
      <c r="C259" s="37" t="s">
        <v>1422</v>
      </c>
      <c r="D259" s="12" t="s">
        <v>1423</v>
      </c>
      <c r="E259" s="12" t="s">
        <v>3412</v>
      </c>
      <c r="F259" s="12"/>
      <c r="G259" s="12"/>
      <c r="H259" s="12"/>
      <c r="I259" s="22" t="s">
        <v>2662</v>
      </c>
      <c r="J259" s="18" t="s">
        <v>2952</v>
      </c>
      <c r="K259" s="18" t="s">
        <v>2953</v>
      </c>
      <c r="L259" s="18"/>
      <c r="M259" s="13" t="e">
        <f>VLOOKUP(#REF!,#REF!, 5)</f>
        <v>#REF!</v>
      </c>
      <c r="N259" s="18" t="s">
        <v>18</v>
      </c>
      <c r="S259"/>
    </row>
    <row r="260" spans="1:19" ht="116.15" hidden="1" x14ac:dyDescent="0.2">
      <c r="A260" s="12" t="s">
        <v>1420</v>
      </c>
      <c r="B260" s="12" t="s">
        <v>1426</v>
      </c>
      <c r="C260" s="37" t="s">
        <v>1427</v>
      </c>
      <c r="D260" s="12" t="s">
        <v>1428</v>
      </c>
      <c r="E260" s="12" t="s">
        <v>3412</v>
      </c>
      <c r="F260" s="12"/>
      <c r="G260" s="12"/>
      <c r="H260" s="12"/>
      <c r="I260" s="22" t="s">
        <v>2345</v>
      </c>
      <c r="J260" s="18" t="s">
        <v>2955</v>
      </c>
      <c r="K260" s="18" t="s">
        <v>2953</v>
      </c>
      <c r="L260" s="18"/>
      <c r="M260" s="13" t="e">
        <f>VLOOKUP(#REF!,#REF!, 5)</f>
        <v>#REF!</v>
      </c>
      <c r="N260" s="18" t="s">
        <v>18</v>
      </c>
      <c r="S260"/>
    </row>
    <row r="261" spans="1:19" ht="409.6" hidden="1" x14ac:dyDescent="0.2">
      <c r="A261" s="12" t="s">
        <v>1430</v>
      </c>
      <c r="B261" s="12" t="s">
        <v>1431</v>
      </c>
      <c r="C261" s="37" t="s">
        <v>1432</v>
      </c>
      <c r="D261" s="12" t="s">
        <v>1433</v>
      </c>
      <c r="E261" s="12" t="s">
        <v>3412</v>
      </c>
      <c r="F261" s="12"/>
      <c r="G261" s="12"/>
      <c r="H261" s="12"/>
      <c r="I261" s="22" t="s">
        <v>2956</v>
      </c>
      <c r="J261" s="18" t="s">
        <v>2957</v>
      </c>
      <c r="K261" s="18"/>
      <c r="L261" s="18"/>
      <c r="M261" s="13" t="e">
        <f>VLOOKUP(#REF!,#REF!, 5)</f>
        <v>#REF!</v>
      </c>
      <c r="N261" s="18" t="s">
        <v>18</v>
      </c>
      <c r="S261"/>
    </row>
    <row r="262" spans="1:19" ht="38.75" hidden="1" x14ac:dyDescent="0.2">
      <c r="A262" s="12" t="s">
        <v>1436</v>
      </c>
      <c r="B262" s="12" t="s">
        <v>1437</v>
      </c>
      <c r="C262" s="37" t="s">
        <v>1438</v>
      </c>
      <c r="D262" s="12" t="s">
        <v>1439</v>
      </c>
      <c r="E262" s="12" t="s">
        <v>3412</v>
      </c>
      <c r="F262" s="12"/>
      <c r="G262" s="12"/>
      <c r="H262" s="12"/>
      <c r="I262" s="22" t="s">
        <v>2956</v>
      </c>
      <c r="J262" s="18" t="s">
        <v>2958</v>
      </c>
      <c r="K262" s="18"/>
      <c r="L262" s="18"/>
      <c r="M262" s="13" t="e">
        <f>VLOOKUP(#REF!,#REF!, 5)</f>
        <v>#REF!</v>
      </c>
      <c r="N262" s="18" t="s">
        <v>18</v>
      </c>
      <c r="S262"/>
    </row>
    <row r="263" spans="1:19" ht="25.85" hidden="1" x14ac:dyDescent="0.2">
      <c r="A263" s="12" t="s">
        <v>1441</v>
      </c>
      <c r="B263" s="12" t="s">
        <v>1442</v>
      </c>
      <c r="C263" s="37" t="s">
        <v>1443</v>
      </c>
      <c r="D263" s="12" t="s">
        <v>1444</v>
      </c>
      <c r="E263" s="12" t="s">
        <v>3412</v>
      </c>
      <c r="F263" s="12"/>
      <c r="G263" s="12"/>
      <c r="H263" s="12"/>
      <c r="I263" s="22" t="s">
        <v>2959</v>
      </c>
      <c r="J263" s="18" t="s">
        <v>2960</v>
      </c>
      <c r="K263" s="18"/>
      <c r="L263" s="18" t="s">
        <v>2961</v>
      </c>
      <c r="M263" s="13" t="e">
        <f>VLOOKUP(#REF!,#REF!, 5)</f>
        <v>#REF!</v>
      </c>
      <c r="N263" s="18" t="s">
        <v>18</v>
      </c>
      <c r="O263" s="4" t="s">
        <v>2547</v>
      </c>
      <c r="S263"/>
    </row>
    <row r="264" spans="1:19" ht="77.45" hidden="1" x14ac:dyDescent="0.2">
      <c r="A264" s="12" t="s">
        <v>1441</v>
      </c>
      <c r="B264" s="12" t="s">
        <v>1447</v>
      </c>
      <c r="C264" s="37" t="s">
        <v>1448</v>
      </c>
      <c r="D264" s="12" t="s">
        <v>1449</v>
      </c>
      <c r="E264" s="12" t="s">
        <v>3412</v>
      </c>
      <c r="F264" s="12"/>
      <c r="G264" s="12"/>
      <c r="H264" s="12"/>
      <c r="I264" s="22" t="s">
        <v>2962</v>
      </c>
      <c r="J264" s="18" t="s">
        <v>2963</v>
      </c>
      <c r="K264" s="18"/>
      <c r="L264" s="18"/>
      <c r="M264" s="13" t="e">
        <f>VLOOKUP(#REF!,#REF!, 5)</f>
        <v>#REF!</v>
      </c>
      <c r="N264" s="18" t="s">
        <v>18</v>
      </c>
      <c r="O264" s="4" t="s">
        <v>2547</v>
      </c>
      <c r="S264"/>
    </row>
    <row r="265" spans="1:19" ht="77.45" hidden="1" x14ac:dyDescent="0.2">
      <c r="A265" s="12" t="s">
        <v>1441</v>
      </c>
      <c r="B265" s="12" t="s">
        <v>1451</v>
      </c>
      <c r="C265" s="37" t="s">
        <v>1452</v>
      </c>
      <c r="D265" s="12" t="s">
        <v>1453</v>
      </c>
      <c r="E265" s="12" t="s">
        <v>3412</v>
      </c>
      <c r="F265" s="12"/>
      <c r="G265" s="12"/>
      <c r="H265" s="12"/>
      <c r="I265" s="22" t="s">
        <v>2965</v>
      </c>
      <c r="J265" s="19" t="s">
        <v>2966</v>
      </c>
      <c r="K265" s="19" t="s">
        <v>2967</v>
      </c>
      <c r="L265" s="19" t="s">
        <v>2961</v>
      </c>
      <c r="M265" s="13" t="e">
        <f>VLOOKUP(#REF!,#REF!, 5)</f>
        <v>#REF!</v>
      </c>
      <c r="N265" s="18" t="s">
        <v>18</v>
      </c>
      <c r="O265" s="4" t="s">
        <v>2547</v>
      </c>
      <c r="S265"/>
    </row>
    <row r="266" spans="1:19" ht="64.55" x14ac:dyDescent="0.2">
      <c r="A266" s="12" t="s">
        <v>1455</v>
      </c>
      <c r="B266" s="12" t="s">
        <v>1456</v>
      </c>
      <c r="C266" s="37" t="s">
        <v>1457</v>
      </c>
      <c r="D266" s="12" t="s">
        <v>3633</v>
      </c>
      <c r="E266" s="12" t="s">
        <v>3414</v>
      </c>
      <c r="F266" s="12" t="s">
        <v>3634</v>
      </c>
      <c r="G266" s="12" t="s">
        <v>3635</v>
      </c>
      <c r="H266" s="12" t="s">
        <v>3636</v>
      </c>
      <c r="I266" s="56"/>
      <c r="J266" s="59"/>
      <c r="K266" s="59"/>
      <c r="L266" s="59"/>
      <c r="M266" s="57"/>
      <c r="N266" s="18" t="s">
        <v>18</v>
      </c>
      <c r="O266" s="4" t="s">
        <v>2547</v>
      </c>
      <c r="S266"/>
    </row>
    <row r="267" spans="1:19" ht="193.6" hidden="1" x14ac:dyDescent="0.2">
      <c r="A267" s="12" t="s">
        <v>1459</v>
      </c>
      <c r="B267" s="12" t="s">
        <v>1460</v>
      </c>
      <c r="C267" s="37" t="s">
        <v>1461</v>
      </c>
      <c r="D267" s="12" t="s">
        <v>2973</v>
      </c>
      <c r="E267" s="12" t="s">
        <v>3412</v>
      </c>
      <c r="F267" s="12"/>
      <c r="G267" s="12"/>
      <c r="H267" s="12"/>
      <c r="I267" s="22" t="s">
        <v>2974</v>
      </c>
      <c r="J267" s="19" t="s">
        <v>2975</v>
      </c>
      <c r="K267" s="19" t="s">
        <v>2976</v>
      </c>
      <c r="L267" s="19" t="s">
        <v>2977</v>
      </c>
      <c r="M267" s="13" t="e">
        <f>VLOOKUP(#REF!,#REF!, 5)</f>
        <v>#REF!</v>
      </c>
      <c r="N267" s="18" t="s">
        <v>18</v>
      </c>
      <c r="O267" s="4" t="s">
        <v>2547</v>
      </c>
      <c r="S267"/>
    </row>
    <row r="268" spans="1:19" ht="409.6" hidden="1" x14ac:dyDescent="0.2">
      <c r="A268" s="12" t="s">
        <v>1465</v>
      </c>
      <c r="B268" s="12" t="s">
        <v>1466</v>
      </c>
      <c r="C268" s="37" t="s">
        <v>1467</v>
      </c>
      <c r="D268" s="12" t="s">
        <v>2978</v>
      </c>
      <c r="E268" s="12" t="s">
        <v>3412</v>
      </c>
      <c r="F268" s="12"/>
      <c r="G268" s="12"/>
      <c r="H268" s="12"/>
      <c r="I268" s="22" t="s">
        <v>2979</v>
      </c>
      <c r="J268" s="18" t="s">
        <v>2980</v>
      </c>
      <c r="K268" s="18"/>
      <c r="L268" s="18" t="s">
        <v>2981</v>
      </c>
      <c r="M268" s="13" t="e">
        <f>VLOOKUP(#REF!,#REF!, 5)</f>
        <v>#REF!</v>
      </c>
      <c r="N268" s="18" t="s">
        <v>18</v>
      </c>
      <c r="O268" s="4" t="s">
        <v>2547</v>
      </c>
      <c r="S268"/>
    </row>
    <row r="269" spans="1:19" ht="77.45" hidden="1" x14ac:dyDescent="0.2">
      <c r="A269" s="12" t="s">
        <v>1470</v>
      </c>
      <c r="B269" s="12" t="s">
        <v>1471</v>
      </c>
      <c r="C269" s="37" t="s">
        <v>1472</v>
      </c>
      <c r="D269" s="12" t="s">
        <v>2982</v>
      </c>
      <c r="E269" s="12" t="s">
        <v>3412</v>
      </c>
      <c r="F269" s="12"/>
      <c r="G269" s="12"/>
      <c r="H269" s="12"/>
      <c r="I269" s="22" t="s">
        <v>2983</v>
      </c>
      <c r="J269" s="18"/>
      <c r="K269" s="18"/>
      <c r="L269" s="18" t="s">
        <v>2984</v>
      </c>
      <c r="M269" s="13" t="e">
        <f>VLOOKUP(#REF!,#REF!, 5)</f>
        <v>#REF!</v>
      </c>
      <c r="N269" s="18" t="s">
        <v>18</v>
      </c>
      <c r="O269" s="4" t="s">
        <v>2547</v>
      </c>
      <c r="S269"/>
    </row>
    <row r="270" spans="1:19" ht="409.6" hidden="1" x14ac:dyDescent="0.2">
      <c r="A270" s="12" t="s">
        <v>1475</v>
      </c>
      <c r="B270" s="12" t="s">
        <v>1476</v>
      </c>
      <c r="C270" s="51" t="s">
        <v>1477</v>
      </c>
      <c r="D270" s="39" t="s">
        <v>1478</v>
      </c>
      <c r="E270" s="39" t="s">
        <v>3412</v>
      </c>
      <c r="F270" s="39"/>
      <c r="G270" s="39"/>
      <c r="H270" s="39"/>
      <c r="I270" s="22" t="s">
        <v>2986</v>
      </c>
      <c r="J270" s="18" t="s">
        <v>2987</v>
      </c>
      <c r="K270" s="18"/>
      <c r="L270" s="18"/>
      <c r="M270" s="13" t="e">
        <f>VLOOKUP(#REF!,#REF!, 5)</f>
        <v>#REF!</v>
      </c>
      <c r="N270" s="18" t="s">
        <v>18</v>
      </c>
      <c r="O270" s="4" t="s">
        <v>2547</v>
      </c>
      <c r="S270"/>
    </row>
    <row r="271" spans="1:19" ht="51.65" x14ac:dyDescent="0.2">
      <c r="A271" s="12" t="s">
        <v>1475</v>
      </c>
      <c r="B271" s="12" t="s">
        <v>1480</v>
      </c>
      <c r="C271" s="51" t="s">
        <v>1481</v>
      </c>
      <c r="D271" s="39" t="s">
        <v>3637</v>
      </c>
      <c r="E271" s="39" t="s">
        <v>3414</v>
      </c>
      <c r="F271" s="12" t="s">
        <v>3638</v>
      </c>
      <c r="G271" s="51" t="s">
        <v>3639</v>
      </c>
      <c r="H271" s="39" t="s">
        <v>3640</v>
      </c>
      <c r="I271" s="56"/>
      <c r="J271" s="59"/>
      <c r="K271" s="59"/>
      <c r="L271" s="59"/>
      <c r="M271" s="57"/>
      <c r="N271" s="18" t="s">
        <v>18</v>
      </c>
      <c r="O271" s="4" t="s">
        <v>2547</v>
      </c>
      <c r="S271"/>
    </row>
    <row r="272" spans="1:19" ht="129.1" hidden="1" x14ac:dyDescent="0.2">
      <c r="A272" s="12" t="s">
        <v>1484</v>
      </c>
      <c r="B272" s="12" t="s">
        <v>1485</v>
      </c>
      <c r="C272" s="37" t="s">
        <v>1486</v>
      </c>
      <c r="D272" s="12" t="s">
        <v>1487</v>
      </c>
      <c r="E272" s="12" t="s">
        <v>3412</v>
      </c>
      <c r="F272" s="12"/>
      <c r="G272" s="12"/>
      <c r="H272" s="12"/>
      <c r="I272" s="22" t="s">
        <v>2345</v>
      </c>
      <c r="J272" s="18" t="s">
        <v>2992</v>
      </c>
      <c r="K272" s="18"/>
      <c r="L272" s="18"/>
      <c r="M272" s="13" t="e">
        <f>VLOOKUP(#REF!,#REF!, 5)</f>
        <v>#REF!</v>
      </c>
      <c r="N272" s="18" t="s">
        <v>18</v>
      </c>
      <c r="O272" s="4" t="s">
        <v>2547</v>
      </c>
      <c r="S272"/>
    </row>
    <row r="273" spans="1:19" ht="206.5" hidden="1" x14ac:dyDescent="0.2">
      <c r="A273" s="18" t="s">
        <v>1489</v>
      </c>
      <c r="B273" s="18" t="s">
        <v>1490</v>
      </c>
      <c r="C273" s="18" t="s">
        <v>1491</v>
      </c>
      <c r="D273" s="18" t="s">
        <v>2993</v>
      </c>
      <c r="E273" s="18" t="s">
        <v>3412</v>
      </c>
      <c r="F273" s="18"/>
      <c r="G273" s="18"/>
      <c r="H273" s="18"/>
      <c r="I273" s="18" t="s">
        <v>2831</v>
      </c>
      <c r="J273" s="18" t="s">
        <v>2994</v>
      </c>
      <c r="K273" s="18" t="s">
        <v>2967</v>
      </c>
      <c r="L273" s="18"/>
      <c r="M273" s="41" t="e">
        <f>VLOOKUP(#REF!,#REF!, 5)</f>
        <v>#REF!</v>
      </c>
      <c r="N273" s="40" t="s">
        <v>18</v>
      </c>
      <c r="O273" s="4" t="s">
        <v>2547</v>
      </c>
      <c r="S273"/>
    </row>
    <row r="274" spans="1:19" ht="322.64999999999998" hidden="1" x14ac:dyDescent="0.2">
      <c r="A274" s="12" t="s">
        <v>1494</v>
      </c>
      <c r="B274" s="12" t="s">
        <v>1495</v>
      </c>
      <c r="C274" s="37" t="s">
        <v>1496</v>
      </c>
      <c r="D274" s="12" t="s">
        <v>1497</v>
      </c>
      <c r="E274" s="12" t="s">
        <v>3412</v>
      </c>
      <c r="F274" s="12"/>
      <c r="G274" s="12"/>
      <c r="H274" s="12"/>
      <c r="I274" s="22" t="s">
        <v>2831</v>
      </c>
      <c r="J274" s="18" t="s">
        <v>2996</v>
      </c>
      <c r="K274" s="19" t="s">
        <v>2997</v>
      </c>
      <c r="L274" s="18"/>
      <c r="M274" s="13" t="e">
        <f>VLOOKUP(#REF!,#REF!, 5)</f>
        <v>#REF!</v>
      </c>
      <c r="N274" s="18" t="s">
        <v>18</v>
      </c>
      <c r="O274" s="4" t="s">
        <v>2547</v>
      </c>
      <c r="S274"/>
    </row>
    <row r="275" spans="1:19" ht="167.8" hidden="1" x14ac:dyDescent="0.2">
      <c r="A275" s="12" t="s">
        <v>1494</v>
      </c>
      <c r="B275" s="12" t="s">
        <v>1498</v>
      </c>
      <c r="C275" s="37" t="s">
        <v>1499</v>
      </c>
      <c r="D275" s="12" t="s">
        <v>1500</v>
      </c>
      <c r="E275" s="12" t="s">
        <v>3412</v>
      </c>
      <c r="F275" s="12"/>
      <c r="G275" s="12"/>
      <c r="H275" s="12"/>
      <c r="I275" s="22" t="s">
        <v>2999</v>
      </c>
      <c r="J275" s="18" t="s">
        <v>3000</v>
      </c>
      <c r="K275" s="18" t="s">
        <v>3001</v>
      </c>
      <c r="L275" s="18"/>
      <c r="M275" s="13" t="e">
        <f>VLOOKUP(#REF!,#REF!, 5)</f>
        <v>#REF!</v>
      </c>
      <c r="N275" s="18" t="s">
        <v>18</v>
      </c>
      <c r="O275" s="4" t="s">
        <v>2547</v>
      </c>
      <c r="S275"/>
    </row>
    <row r="276" spans="1:19" ht="167.8" hidden="1" x14ac:dyDescent="0.2">
      <c r="A276" s="12" t="s">
        <v>1501</v>
      </c>
      <c r="B276" s="12" t="s">
        <v>1502</v>
      </c>
      <c r="C276" s="37" t="s">
        <v>1503</v>
      </c>
      <c r="D276" s="12" t="s">
        <v>1504</v>
      </c>
      <c r="E276" s="12" t="s">
        <v>3412</v>
      </c>
      <c r="F276" s="12"/>
      <c r="G276" s="12"/>
      <c r="H276" s="12"/>
      <c r="I276" s="22" t="s">
        <v>2345</v>
      </c>
      <c r="J276" s="18" t="s">
        <v>3003</v>
      </c>
      <c r="K276" s="18"/>
      <c r="L276" s="18"/>
      <c r="M276" s="13" t="e">
        <f>VLOOKUP(#REF!,#REF!, 5)</f>
        <v>#REF!</v>
      </c>
      <c r="N276" s="18" t="s">
        <v>18</v>
      </c>
      <c r="O276" s="4" t="s">
        <v>2547</v>
      </c>
      <c r="S276"/>
    </row>
    <row r="277" spans="1:19" ht="309.75" hidden="1" x14ac:dyDescent="0.2">
      <c r="A277" s="12" t="s">
        <v>1507</v>
      </c>
      <c r="B277" s="12" t="s">
        <v>1508</v>
      </c>
      <c r="C277" s="51" t="s">
        <v>1509</v>
      </c>
      <c r="D277" s="39" t="s">
        <v>1510</v>
      </c>
      <c r="E277" s="39" t="s">
        <v>3412</v>
      </c>
      <c r="F277" s="39"/>
      <c r="G277" s="39"/>
      <c r="H277" s="39"/>
      <c r="I277" s="22" t="s">
        <v>3004</v>
      </c>
      <c r="J277" s="18" t="s">
        <v>3005</v>
      </c>
      <c r="K277" s="18"/>
      <c r="L277" s="18"/>
      <c r="M277" s="13" t="e">
        <f>VLOOKUP(#REF!,#REF!, 5)</f>
        <v>#REF!</v>
      </c>
      <c r="N277" s="18" t="s">
        <v>18</v>
      </c>
      <c r="O277" s="4" t="s">
        <v>2547</v>
      </c>
      <c r="S277"/>
    </row>
    <row r="278" spans="1:19" ht="90.35" hidden="1" x14ac:dyDescent="0.2">
      <c r="A278" s="12" t="s">
        <v>1513</v>
      </c>
      <c r="B278" s="12" t="s">
        <v>1514</v>
      </c>
      <c r="C278" s="37" t="s">
        <v>1515</v>
      </c>
      <c r="D278" s="12" t="s">
        <v>1516</v>
      </c>
      <c r="E278" s="12" t="s">
        <v>3412</v>
      </c>
      <c r="F278" s="12"/>
      <c r="G278" s="12"/>
      <c r="H278" s="12"/>
      <c r="I278" s="22" t="s">
        <v>3007</v>
      </c>
      <c r="J278" s="18" t="s">
        <v>3008</v>
      </c>
      <c r="K278" s="18"/>
      <c r="L278" s="18"/>
      <c r="M278" s="13" t="e">
        <f>VLOOKUP(#REF!,#REF!, 5)</f>
        <v>#REF!</v>
      </c>
      <c r="N278" s="18" t="s">
        <v>18</v>
      </c>
      <c r="S278"/>
    </row>
    <row r="279" spans="1:19" ht="64.55" hidden="1" x14ac:dyDescent="0.2">
      <c r="A279" s="12" t="s">
        <v>1520</v>
      </c>
      <c r="B279" s="12" t="s">
        <v>1521</v>
      </c>
      <c r="C279" s="37" t="s">
        <v>1522</v>
      </c>
      <c r="D279" s="12" t="s">
        <v>1523</v>
      </c>
      <c r="E279" s="12" t="s">
        <v>3412</v>
      </c>
      <c r="F279" s="12"/>
      <c r="G279" s="12"/>
      <c r="H279" s="12"/>
      <c r="I279" s="22" t="s">
        <v>2914</v>
      </c>
      <c r="J279" s="18" t="s">
        <v>3009</v>
      </c>
      <c r="K279" s="18" t="s">
        <v>3010</v>
      </c>
      <c r="L279" s="18"/>
      <c r="M279" s="13" t="e">
        <f>VLOOKUP(#REF!,#REF!, 5)</f>
        <v>#REF!</v>
      </c>
      <c r="N279" s="18" t="s">
        <v>18</v>
      </c>
      <c r="S279"/>
    </row>
    <row r="280" spans="1:19" ht="193.6" hidden="1" x14ac:dyDescent="0.2">
      <c r="A280" s="12" t="s">
        <v>1526</v>
      </c>
      <c r="B280" s="12" t="s">
        <v>1527</v>
      </c>
      <c r="C280" s="37" t="s">
        <v>1528</v>
      </c>
      <c r="D280" s="12" t="s">
        <v>1529</v>
      </c>
      <c r="E280" s="12" t="s">
        <v>3412</v>
      </c>
      <c r="F280" s="12"/>
      <c r="G280" s="12"/>
      <c r="H280" s="12"/>
      <c r="I280" s="22" t="s">
        <v>2345</v>
      </c>
      <c r="J280" s="18" t="s">
        <v>3012</v>
      </c>
      <c r="K280" s="18"/>
      <c r="L280" s="18"/>
      <c r="M280" s="13" t="e">
        <f>VLOOKUP(#REF!,#REF!, 5)</f>
        <v>#REF!</v>
      </c>
      <c r="N280" s="18" t="s">
        <v>18</v>
      </c>
      <c r="S280"/>
    </row>
    <row r="281" spans="1:19" ht="103.25" hidden="1" x14ac:dyDescent="0.2">
      <c r="A281" s="12" t="s">
        <v>1532</v>
      </c>
      <c r="B281" s="12" t="s">
        <v>1533</v>
      </c>
      <c r="C281" s="37" t="s">
        <v>1534</v>
      </c>
      <c r="D281" s="12" t="s">
        <v>1535</v>
      </c>
      <c r="E281" s="12" t="s">
        <v>3412</v>
      </c>
      <c r="F281" s="12"/>
      <c r="G281" s="12"/>
      <c r="H281" s="12"/>
      <c r="I281" s="22" t="s">
        <v>2345</v>
      </c>
      <c r="J281" s="18" t="s">
        <v>3013</v>
      </c>
      <c r="K281" s="18"/>
      <c r="L281" s="18"/>
      <c r="M281" s="13" t="e">
        <f>VLOOKUP(#REF!,#REF!, 5)</f>
        <v>#REF!</v>
      </c>
      <c r="N281" s="18" t="s">
        <v>18</v>
      </c>
      <c r="S281"/>
    </row>
    <row r="282" spans="1:19" ht="232.3" hidden="1" x14ac:dyDescent="0.2">
      <c r="A282" s="12" t="s">
        <v>1536</v>
      </c>
      <c r="B282" s="12" t="s">
        <v>1537</v>
      </c>
      <c r="C282" s="37" t="s">
        <v>1538</v>
      </c>
      <c r="D282" s="12" t="s">
        <v>1539</v>
      </c>
      <c r="E282" s="12" t="s">
        <v>3412</v>
      </c>
      <c r="F282" s="12"/>
      <c r="G282" s="12"/>
      <c r="H282" s="12"/>
      <c r="I282" s="22" t="s">
        <v>3014</v>
      </c>
      <c r="J282" s="18" t="s">
        <v>3015</v>
      </c>
      <c r="K282" s="18"/>
      <c r="L282" s="18"/>
      <c r="M282" s="13" t="e">
        <f>VLOOKUP(#REF!,#REF!, 5)</f>
        <v>#REF!</v>
      </c>
      <c r="N282" s="18" t="s">
        <v>18</v>
      </c>
      <c r="S282"/>
    </row>
    <row r="283" spans="1:19" ht="51.65" hidden="1" x14ac:dyDescent="0.2">
      <c r="A283" s="12" t="s">
        <v>1540</v>
      </c>
      <c r="B283" s="12" t="s">
        <v>1541</v>
      </c>
      <c r="C283" s="37" t="s">
        <v>1542</v>
      </c>
      <c r="D283" s="12" t="s">
        <v>3016</v>
      </c>
      <c r="E283" s="12" t="s">
        <v>3412</v>
      </c>
      <c r="F283" s="12"/>
      <c r="G283" s="12"/>
      <c r="H283" s="12"/>
      <c r="I283" s="22" t="s">
        <v>3014</v>
      </c>
      <c r="J283" s="18" t="s">
        <v>3017</v>
      </c>
      <c r="K283" s="18"/>
      <c r="L283" s="18"/>
      <c r="M283" s="13" t="e">
        <f>VLOOKUP(#REF!,#REF!, 5)</f>
        <v>#REF!</v>
      </c>
      <c r="N283" s="18" t="s">
        <v>18</v>
      </c>
      <c r="S283"/>
    </row>
    <row r="284" spans="1:19" ht="116.15" hidden="1" x14ac:dyDescent="0.2">
      <c r="A284" s="12" t="s">
        <v>1545</v>
      </c>
      <c r="B284" s="12" t="s">
        <v>1546</v>
      </c>
      <c r="C284" s="37" t="s">
        <v>1547</v>
      </c>
      <c r="D284" s="12" t="s">
        <v>1548</v>
      </c>
      <c r="E284" s="12" t="s">
        <v>3412</v>
      </c>
      <c r="F284" s="12"/>
      <c r="G284" s="12"/>
      <c r="H284" s="12"/>
      <c r="I284" s="22" t="s">
        <v>3018</v>
      </c>
      <c r="J284" s="18" t="s">
        <v>3019</v>
      </c>
      <c r="K284" s="18"/>
      <c r="L284" s="18"/>
      <c r="M284" s="13" t="e">
        <f>VLOOKUP(#REF!,#REF!, 5)</f>
        <v>#REF!</v>
      </c>
      <c r="N284" s="18" t="s">
        <v>18</v>
      </c>
      <c r="S284"/>
    </row>
    <row r="285" spans="1:19" ht="38.75" hidden="1" x14ac:dyDescent="0.2">
      <c r="A285" s="12" t="s">
        <v>1549</v>
      </c>
      <c r="B285" s="12" t="s">
        <v>1550</v>
      </c>
      <c r="C285" s="37" t="s">
        <v>1551</v>
      </c>
      <c r="D285" s="12" t="s">
        <v>1552</v>
      </c>
      <c r="E285" s="12" t="s">
        <v>3412</v>
      </c>
      <c r="F285" s="12"/>
      <c r="G285" s="12"/>
      <c r="H285" s="12"/>
      <c r="I285" s="22" t="s">
        <v>2345</v>
      </c>
      <c r="J285" s="18" t="s">
        <v>3020</v>
      </c>
      <c r="K285" s="18"/>
      <c r="L285" s="18"/>
      <c r="M285" s="13" t="e">
        <f>VLOOKUP(#REF!,#REF!, 5)</f>
        <v>#REF!</v>
      </c>
      <c r="N285" s="18" t="s">
        <v>18</v>
      </c>
      <c r="S285"/>
    </row>
    <row r="286" spans="1:19" ht="142" hidden="1" x14ac:dyDescent="0.2">
      <c r="A286" s="12" t="s">
        <v>1555</v>
      </c>
      <c r="B286" s="12" t="s">
        <v>1556</v>
      </c>
      <c r="C286" s="37" t="s">
        <v>1557</v>
      </c>
      <c r="D286" s="12" t="s">
        <v>1558</v>
      </c>
      <c r="E286" s="12" t="s">
        <v>3412</v>
      </c>
      <c r="F286" s="12"/>
      <c r="G286" s="12"/>
      <c r="H286" s="12"/>
      <c r="I286" s="22" t="s">
        <v>2728</v>
      </c>
      <c r="J286" s="18" t="s">
        <v>3021</v>
      </c>
      <c r="K286" s="18"/>
      <c r="L286" s="18" t="s">
        <v>3022</v>
      </c>
      <c r="M286" s="13" t="e">
        <f>VLOOKUP(#REF!,#REF!, 5)</f>
        <v>#REF!</v>
      </c>
      <c r="N286" s="18" t="s">
        <v>18</v>
      </c>
      <c r="S286"/>
    </row>
    <row r="287" spans="1:19" ht="142" hidden="1" x14ac:dyDescent="0.2">
      <c r="A287" s="12" t="s">
        <v>1561</v>
      </c>
      <c r="B287" s="12" t="s">
        <v>1562</v>
      </c>
      <c r="C287" s="37" t="s">
        <v>1563</v>
      </c>
      <c r="D287" s="12" t="s">
        <v>1564</v>
      </c>
      <c r="E287" s="12" t="s">
        <v>3412</v>
      </c>
      <c r="F287" s="12"/>
      <c r="G287" s="12"/>
      <c r="H287" s="12"/>
      <c r="I287" s="22" t="s">
        <v>2345</v>
      </c>
      <c r="J287" s="18" t="s">
        <v>3023</v>
      </c>
      <c r="K287" s="18"/>
      <c r="L287" s="18"/>
      <c r="M287" s="13" t="e">
        <f>VLOOKUP(#REF!,#REF!, 5)</f>
        <v>#REF!</v>
      </c>
      <c r="N287" s="18" t="s">
        <v>18</v>
      </c>
      <c r="O287" s="12" t="s">
        <v>2845</v>
      </c>
      <c r="S287"/>
    </row>
    <row r="288" spans="1:19" ht="64.55" hidden="1" x14ac:dyDescent="0.2">
      <c r="A288" s="12" t="s">
        <v>1561</v>
      </c>
      <c r="B288" s="12" t="s">
        <v>1567</v>
      </c>
      <c r="C288" s="37" t="s">
        <v>1568</v>
      </c>
      <c r="D288" s="12" t="s">
        <v>1569</v>
      </c>
      <c r="E288" s="12" t="s">
        <v>3412</v>
      </c>
      <c r="F288" s="12"/>
      <c r="G288" s="12"/>
      <c r="H288" s="12"/>
      <c r="I288" s="22" t="s">
        <v>2345</v>
      </c>
      <c r="J288" s="18" t="s">
        <v>3024</v>
      </c>
      <c r="K288" s="18"/>
      <c r="L288" s="18"/>
      <c r="M288" s="13" t="e">
        <f>VLOOKUP(#REF!,#REF!, 5)</f>
        <v>#REF!</v>
      </c>
      <c r="N288" s="18" t="s">
        <v>18</v>
      </c>
      <c r="S288"/>
    </row>
    <row r="289" spans="1:19" ht="116.15" hidden="1" x14ac:dyDescent="0.2">
      <c r="A289" s="12" t="s">
        <v>1571</v>
      </c>
      <c r="B289" s="12" t="s">
        <v>1572</v>
      </c>
      <c r="C289" s="37" t="s">
        <v>1573</v>
      </c>
      <c r="D289" s="12" t="s">
        <v>1574</v>
      </c>
      <c r="E289" s="12" t="s">
        <v>3412</v>
      </c>
      <c r="F289" s="12"/>
      <c r="G289" s="12"/>
      <c r="H289" s="12"/>
      <c r="I289" s="22" t="s">
        <v>2345</v>
      </c>
      <c r="J289" s="18" t="s">
        <v>3025</v>
      </c>
      <c r="K289" s="18"/>
      <c r="L289" s="18"/>
      <c r="M289" s="13" t="e">
        <f>VLOOKUP(#REF!,#REF!, 5)</f>
        <v>#REF!</v>
      </c>
      <c r="N289" s="18" t="s">
        <v>18</v>
      </c>
      <c r="O289" s="12" t="s">
        <v>2845</v>
      </c>
      <c r="S289"/>
    </row>
    <row r="290" spans="1:19" ht="51.65" hidden="1" x14ac:dyDescent="0.2">
      <c r="A290" s="12" t="s">
        <v>1577</v>
      </c>
      <c r="B290" s="12" t="s">
        <v>1578</v>
      </c>
      <c r="C290" s="37" t="s">
        <v>1579</v>
      </c>
      <c r="D290" s="12" t="s">
        <v>1580</v>
      </c>
      <c r="E290" s="12" t="s">
        <v>3412</v>
      </c>
      <c r="F290" s="12"/>
      <c r="G290" s="12"/>
      <c r="H290" s="12"/>
      <c r="I290" s="22" t="s">
        <v>2345</v>
      </c>
      <c r="J290" s="18" t="s">
        <v>3026</v>
      </c>
      <c r="K290" s="18"/>
      <c r="L290" s="18"/>
      <c r="M290" s="13" t="e">
        <f>VLOOKUP(#REF!,#REF!, 5)</f>
        <v>#REF!</v>
      </c>
      <c r="N290" s="18" t="s">
        <v>18</v>
      </c>
      <c r="S290"/>
    </row>
    <row r="291" spans="1:19" ht="51.65" hidden="1" x14ac:dyDescent="0.2">
      <c r="A291" s="12" t="s">
        <v>1583</v>
      </c>
      <c r="B291" s="12" t="s">
        <v>1584</v>
      </c>
      <c r="C291" s="37" t="s">
        <v>1585</v>
      </c>
      <c r="D291" s="12" t="s">
        <v>1586</v>
      </c>
      <c r="E291" s="12" t="s">
        <v>3412</v>
      </c>
      <c r="F291" s="12"/>
      <c r="G291" s="12"/>
      <c r="H291" s="12"/>
      <c r="I291" s="22" t="s">
        <v>2345</v>
      </c>
      <c r="J291" s="18" t="s">
        <v>3027</v>
      </c>
      <c r="K291" s="18"/>
      <c r="L291" s="18"/>
      <c r="M291" s="13" t="e">
        <f>VLOOKUP(#REF!,#REF!, 5)</f>
        <v>#REF!</v>
      </c>
      <c r="N291" s="18" t="s">
        <v>18</v>
      </c>
      <c r="S291"/>
    </row>
    <row r="292" spans="1:19" ht="116.15" hidden="1" x14ac:dyDescent="0.2">
      <c r="A292" s="12" t="s">
        <v>1587</v>
      </c>
      <c r="B292" s="12" t="s">
        <v>1588</v>
      </c>
      <c r="C292" s="37" t="s">
        <v>1589</v>
      </c>
      <c r="D292" s="12" t="s">
        <v>1590</v>
      </c>
      <c r="E292" s="12" t="s">
        <v>3412</v>
      </c>
      <c r="F292" s="12"/>
      <c r="G292" s="12"/>
      <c r="H292" s="12"/>
      <c r="I292" s="18" t="s">
        <v>3014</v>
      </c>
      <c r="J292" s="18" t="s">
        <v>3028</v>
      </c>
      <c r="K292" s="18"/>
      <c r="L292" s="18"/>
      <c r="M292" s="13" t="e">
        <f>VLOOKUP(#REF!,#REF!, 5)</f>
        <v>#REF!</v>
      </c>
      <c r="N292" s="18" t="s">
        <v>18</v>
      </c>
      <c r="S292"/>
    </row>
    <row r="293" spans="1:19" ht="129.1" hidden="1" x14ac:dyDescent="0.2">
      <c r="A293" s="12" t="s">
        <v>1592</v>
      </c>
      <c r="B293" s="12" t="s">
        <v>1593</v>
      </c>
      <c r="C293" s="37" t="s">
        <v>1594</v>
      </c>
      <c r="D293" s="12" t="s">
        <v>1595</v>
      </c>
      <c r="E293" s="12" t="s">
        <v>3412</v>
      </c>
      <c r="F293" s="12"/>
      <c r="G293" s="12"/>
      <c r="H293" s="12"/>
      <c r="I293" s="22" t="s">
        <v>2345</v>
      </c>
      <c r="J293" s="18" t="s">
        <v>3029</v>
      </c>
      <c r="K293" s="18"/>
      <c r="L293" s="18"/>
      <c r="M293" s="13" t="e">
        <f>VLOOKUP(#REF!,#REF!, 5)</f>
        <v>#REF!</v>
      </c>
      <c r="N293" s="18" t="s">
        <v>18</v>
      </c>
      <c r="O293" s="12" t="s">
        <v>2845</v>
      </c>
      <c r="S293"/>
    </row>
    <row r="294" spans="1:19" ht="116.15" hidden="1" x14ac:dyDescent="0.2">
      <c r="A294" s="12" t="s">
        <v>1597</v>
      </c>
      <c r="B294" s="12" t="s">
        <v>1598</v>
      </c>
      <c r="C294" s="37" t="s">
        <v>1599</v>
      </c>
      <c r="D294" s="12" t="s">
        <v>1600</v>
      </c>
      <c r="E294" s="12" t="s">
        <v>3412</v>
      </c>
      <c r="F294" s="12"/>
      <c r="G294" s="12"/>
      <c r="H294" s="12"/>
      <c r="I294" s="22" t="s">
        <v>2345</v>
      </c>
      <c r="J294" s="18" t="s">
        <v>3030</v>
      </c>
      <c r="K294" s="18"/>
      <c r="L294" s="18"/>
      <c r="M294" s="13" t="e">
        <f>VLOOKUP(#REF!,#REF!, 5)</f>
        <v>#REF!</v>
      </c>
      <c r="N294" s="18" t="s">
        <v>18</v>
      </c>
      <c r="O294" s="12" t="s">
        <v>2845</v>
      </c>
      <c r="S294"/>
    </row>
    <row r="295" spans="1:19" ht="77.45" hidden="1" x14ac:dyDescent="0.2">
      <c r="A295" s="12" t="s">
        <v>1602</v>
      </c>
      <c r="B295" s="12" t="s">
        <v>1603</v>
      </c>
      <c r="C295" s="37" t="s">
        <v>1604</v>
      </c>
      <c r="D295" s="12" t="s">
        <v>1605</v>
      </c>
      <c r="E295" s="12" t="s">
        <v>3412</v>
      </c>
      <c r="F295" s="12"/>
      <c r="G295" s="12"/>
      <c r="H295" s="12"/>
      <c r="I295" s="22" t="s">
        <v>3031</v>
      </c>
      <c r="J295" s="18" t="s">
        <v>3032</v>
      </c>
      <c r="K295" s="18"/>
      <c r="L295" s="18"/>
      <c r="M295" s="13" t="e">
        <f>VLOOKUP(#REF!,#REF!, 5)</f>
        <v>#REF!</v>
      </c>
      <c r="N295" s="18" t="s">
        <v>18</v>
      </c>
      <c r="S295"/>
    </row>
    <row r="296" spans="1:19" ht="77.45" hidden="1" x14ac:dyDescent="0.2">
      <c r="A296" s="12" t="s">
        <v>1606</v>
      </c>
      <c r="B296" s="12" t="s">
        <v>1607</v>
      </c>
      <c r="C296" s="37" t="s">
        <v>1608</v>
      </c>
      <c r="D296" s="12" t="s">
        <v>1609</v>
      </c>
      <c r="E296" s="12" t="s">
        <v>3412</v>
      </c>
      <c r="F296" s="12"/>
      <c r="G296" s="12"/>
      <c r="H296" s="12"/>
      <c r="I296" s="22" t="s">
        <v>3033</v>
      </c>
      <c r="J296" s="18" t="s">
        <v>3034</v>
      </c>
      <c r="K296" s="18"/>
      <c r="L296" s="18"/>
      <c r="M296" s="13" t="e">
        <f>VLOOKUP(#REF!,#REF!, 5)</f>
        <v>#REF!</v>
      </c>
      <c r="N296" s="18" t="s">
        <v>18</v>
      </c>
      <c r="S296"/>
    </row>
    <row r="297" spans="1:19" ht="90.35" hidden="1" x14ac:dyDescent="0.2">
      <c r="A297" s="12" t="s">
        <v>1610</v>
      </c>
      <c r="B297" s="12" t="s">
        <v>1611</v>
      </c>
      <c r="C297" s="37" t="s">
        <v>1612</v>
      </c>
      <c r="D297" s="12" t="s">
        <v>1613</v>
      </c>
      <c r="E297" s="12" t="s">
        <v>3412</v>
      </c>
      <c r="F297" s="12"/>
      <c r="G297" s="12"/>
      <c r="H297" s="12"/>
      <c r="I297" s="22" t="s">
        <v>3035</v>
      </c>
      <c r="J297" s="18" t="s">
        <v>3036</v>
      </c>
      <c r="K297" s="18"/>
      <c r="L297" s="18"/>
      <c r="M297" s="13" t="e">
        <f>VLOOKUP(#REF!,#REF!, 5)</f>
        <v>#REF!</v>
      </c>
      <c r="N297" s="18" t="s">
        <v>18</v>
      </c>
      <c r="S297"/>
    </row>
    <row r="298" spans="1:19" ht="77.45" hidden="1" x14ac:dyDescent="0.2">
      <c r="A298" s="12" t="s">
        <v>1615</v>
      </c>
      <c r="B298" s="12" t="s">
        <v>1616</v>
      </c>
      <c r="C298" s="37" t="s">
        <v>1617</v>
      </c>
      <c r="D298" s="12" t="s">
        <v>1618</v>
      </c>
      <c r="E298" s="12" t="s">
        <v>3412</v>
      </c>
      <c r="F298" s="12"/>
      <c r="G298" s="12"/>
      <c r="H298" s="12"/>
      <c r="I298" s="22" t="s">
        <v>3037</v>
      </c>
      <c r="J298" s="18" t="s">
        <v>3038</v>
      </c>
      <c r="K298" s="18"/>
      <c r="L298" s="18"/>
      <c r="M298" s="13" t="e">
        <f>VLOOKUP(#REF!,#REF!, 5)</f>
        <v>#REF!</v>
      </c>
      <c r="N298" s="18" t="s">
        <v>18</v>
      </c>
      <c r="S298"/>
    </row>
    <row r="299" spans="1:19" ht="77.45" hidden="1" x14ac:dyDescent="0.2">
      <c r="A299" s="12" t="s">
        <v>1620</v>
      </c>
      <c r="B299" s="12" t="s">
        <v>1621</v>
      </c>
      <c r="C299" s="37" t="s">
        <v>1622</v>
      </c>
      <c r="D299" s="12" t="s">
        <v>1623</v>
      </c>
      <c r="E299" s="12" t="s">
        <v>3412</v>
      </c>
      <c r="F299" s="12"/>
      <c r="G299" s="12"/>
      <c r="H299" s="12"/>
      <c r="I299" s="22" t="s">
        <v>3039</v>
      </c>
      <c r="J299" s="18" t="s">
        <v>3040</v>
      </c>
      <c r="K299" s="18"/>
      <c r="L299" s="18"/>
      <c r="M299" s="13" t="e">
        <f>VLOOKUP(#REF!,#REF!, 5)</f>
        <v>#REF!</v>
      </c>
      <c r="N299" s="18" t="s">
        <v>18</v>
      </c>
      <c r="S299"/>
    </row>
    <row r="300" spans="1:19" ht="90.35" hidden="1" x14ac:dyDescent="0.2">
      <c r="A300" s="12" t="s">
        <v>1625</v>
      </c>
      <c r="B300" s="12" t="s">
        <v>1626</v>
      </c>
      <c r="C300" s="37" t="s">
        <v>1627</v>
      </c>
      <c r="D300" s="12" t="s">
        <v>1628</v>
      </c>
      <c r="E300" s="12" t="s">
        <v>3412</v>
      </c>
      <c r="F300" s="12"/>
      <c r="G300" s="12"/>
      <c r="H300" s="12"/>
      <c r="I300" s="22" t="s">
        <v>3041</v>
      </c>
      <c r="J300" s="18" t="s">
        <v>3042</v>
      </c>
      <c r="K300" s="18"/>
      <c r="L300" s="18"/>
      <c r="M300" s="13" t="e">
        <f>VLOOKUP(#REF!,#REF!, 5)</f>
        <v>#REF!</v>
      </c>
      <c r="N300" s="18" t="s">
        <v>18</v>
      </c>
      <c r="S300"/>
    </row>
    <row r="301" spans="1:19" ht="271.05" hidden="1" x14ac:dyDescent="0.2">
      <c r="A301" s="12" t="s">
        <v>1630</v>
      </c>
      <c r="B301" s="12" t="s">
        <v>1631</v>
      </c>
      <c r="C301" s="37" t="s">
        <v>1632</v>
      </c>
      <c r="D301" s="12" t="s">
        <v>1633</v>
      </c>
      <c r="E301" s="12" t="s">
        <v>3412</v>
      </c>
      <c r="F301" s="12"/>
      <c r="G301" s="12"/>
      <c r="H301" s="12"/>
      <c r="I301" s="22" t="s">
        <v>3043</v>
      </c>
      <c r="J301" s="18" t="s">
        <v>3044</v>
      </c>
      <c r="K301" s="18" t="s">
        <v>3045</v>
      </c>
      <c r="L301" s="18" t="s">
        <v>3046</v>
      </c>
      <c r="M301" s="13" t="e">
        <f>VLOOKUP(#REF!,#REF!, 5)</f>
        <v>#REF!</v>
      </c>
      <c r="N301" s="18" t="s">
        <v>18</v>
      </c>
      <c r="S301"/>
    </row>
    <row r="302" spans="1:19" ht="77.45" hidden="1" x14ac:dyDescent="0.2">
      <c r="A302" s="12" t="s">
        <v>1636</v>
      </c>
      <c r="B302" s="12" t="s">
        <v>1637</v>
      </c>
      <c r="C302" s="37" t="s">
        <v>1638</v>
      </c>
      <c r="D302" s="12" t="s">
        <v>1639</v>
      </c>
      <c r="E302" s="12" t="s">
        <v>3412</v>
      </c>
      <c r="F302" s="12"/>
      <c r="G302" s="12"/>
      <c r="H302" s="12"/>
      <c r="I302" s="22" t="s">
        <v>2345</v>
      </c>
      <c r="J302" s="18" t="s">
        <v>3049</v>
      </c>
      <c r="K302" s="18"/>
      <c r="L302" s="18"/>
      <c r="M302" s="13" t="e">
        <f>VLOOKUP(#REF!,#REF!, 5)</f>
        <v>#REF!</v>
      </c>
      <c r="N302" s="18" t="s">
        <v>18</v>
      </c>
      <c r="S302"/>
    </row>
    <row r="303" spans="1:19" ht="142" hidden="1" x14ac:dyDescent="0.2">
      <c r="A303" s="12" t="s">
        <v>1641</v>
      </c>
      <c r="B303" s="12" t="s">
        <v>1642</v>
      </c>
      <c r="C303" s="37" t="s">
        <v>1643</v>
      </c>
      <c r="D303" s="12" t="s">
        <v>1644</v>
      </c>
      <c r="E303" s="12" t="s">
        <v>3412</v>
      </c>
      <c r="F303" s="12"/>
      <c r="G303" s="12"/>
      <c r="H303" s="12"/>
      <c r="I303" s="22" t="s">
        <v>3043</v>
      </c>
      <c r="J303" s="19" t="s">
        <v>3050</v>
      </c>
      <c r="K303" s="18" t="s">
        <v>3051</v>
      </c>
      <c r="L303" s="18" t="s">
        <v>3052</v>
      </c>
      <c r="M303" s="13" t="e">
        <f>VLOOKUP(#REF!,#REF!, 5)</f>
        <v>#REF!</v>
      </c>
      <c r="N303" s="18" t="s">
        <v>18</v>
      </c>
      <c r="S303"/>
    </row>
    <row r="304" spans="1:19" ht="77.45" x14ac:dyDescent="0.2">
      <c r="A304" s="12" t="s">
        <v>1646</v>
      </c>
      <c r="B304" s="12" t="s">
        <v>1647</v>
      </c>
      <c r="C304" s="37" t="s">
        <v>1648</v>
      </c>
      <c r="D304" s="12" t="s">
        <v>1649</v>
      </c>
      <c r="E304" s="12" t="s">
        <v>3414</v>
      </c>
      <c r="F304" s="12" t="s">
        <v>3641</v>
      </c>
      <c r="G304" s="37" t="s">
        <v>3642</v>
      </c>
      <c r="H304" s="39" t="s">
        <v>3643</v>
      </c>
      <c r="I304" s="56"/>
      <c r="J304" s="59"/>
      <c r="K304" s="59"/>
      <c r="L304" s="59"/>
      <c r="M304" s="57"/>
      <c r="N304" s="18" t="s">
        <v>18</v>
      </c>
      <c r="S304"/>
    </row>
    <row r="305" spans="1:19" ht="219.4" hidden="1" x14ac:dyDescent="0.2">
      <c r="A305" s="12" t="s">
        <v>1646</v>
      </c>
      <c r="B305" s="12" t="s">
        <v>1652</v>
      </c>
      <c r="C305" s="37" t="s">
        <v>1653</v>
      </c>
      <c r="D305" s="12" t="s">
        <v>1654</v>
      </c>
      <c r="E305" s="12" t="s">
        <v>3412</v>
      </c>
      <c r="F305" s="12"/>
      <c r="G305" s="12"/>
      <c r="H305" s="12"/>
      <c r="I305" s="22" t="s">
        <v>3056</v>
      </c>
      <c r="J305" s="18" t="s">
        <v>3057</v>
      </c>
      <c r="K305" s="18" t="s">
        <v>3058</v>
      </c>
      <c r="L305" s="18"/>
      <c r="M305" s="13" t="e">
        <f>VLOOKUP(#REF!,#REF!, 5)</f>
        <v>#REF!</v>
      </c>
      <c r="N305" s="18" t="s">
        <v>18</v>
      </c>
      <c r="S305"/>
    </row>
    <row r="306" spans="1:19" ht="51.65" x14ac:dyDescent="0.2">
      <c r="A306" s="12" t="s">
        <v>1656</v>
      </c>
      <c r="B306" s="12" t="s">
        <v>1657</v>
      </c>
      <c r="C306" s="37" t="s">
        <v>1658</v>
      </c>
      <c r="D306" s="12" t="s">
        <v>1659</v>
      </c>
      <c r="E306" s="12" t="s">
        <v>3414</v>
      </c>
      <c r="F306" s="12" t="s">
        <v>3644</v>
      </c>
      <c r="G306" s="37" t="s">
        <v>3645</v>
      </c>
      <c r="H306" s="12" t="s">
        <v>3646</v>
      </c>
      <c r="I306" s="56"/>
      <c r="J306" s="61"/>
      <c r="K306" s="59"/>
      <c r="L306" s="59" t="s">
        <v>3062</v>
      </c>
      <c r="M306" s="57"/>
      <c r="N306" s="18" t="s">
        <v>18</v>
      </c>
      <c r="S306"/>
    </row>
    <row r="307" spans="1:19" ht="90.35" hidden="1" x14ac:dyDescent="0.2">
      <c r="A307" s="12" t="s">
        <v>1661</v>
      </c>
      <c r="B307" s="12" t="s">
        <v>1662</v>
      </c>
      <c r="C307" s="37" t="s">
        <v>1663</v>
      </c>
      <c r="D307" s="12" t="s">
        <v>1664</v>
      </c>
      <c r="E307" s="12" t="s">
        <v>3412</v>
      </c>
      <c r="F307" s="12"/>
      <c r="G307" s="12"/>
      <c r="H307" s="12"/>
      <c r="I307" s="22" t="s">
        <v>2345</v>
      </c>
      <c r="J307" s="18" t="s">
        <v>3065</v>
      </c>
      <c r="K307" s="18"/>
      <c r="L307" s="18"/>
      <c r="M307" s="13" t="e">
        <f>VLOOKUP(#REF!,#REF!, 5)</f>
        <v>#REF!</v>
      </c>
      <c r="N307" s="18" t="s">
        <v>18</v>
      </c>
      <c r="S307"/>
    </row>
    <row r="308" spans="1:19" ht="90.35" hidden="1" x14ac:dyDescent="0.2">
      <c r="A308" s="12" t="s">
        <v>1667</v>
      </c>
      <c r="B308" s="12" t="s">
        <v>1668</v>
      </c>
      <c r="C308" s="37" t="s">
        <v>1669</v>
      </c>
      <c r="D308" s="12" t="s">
        <v>1670</v>
      </c>
      <c r="E308" s="12" t="s">
        <v>3412</v>
      </c>
      <c r="F308" s="12"/>
      <c r="G308" s="12"/>
      <c r="H308" s="12"/>
      <c r="I308" s="22" t="s">
        <v>2345</v>
      </c>
      <c r="J308" s="18" t="s">
        <v>3065</v>
      </c>
      <c r="K308" s="18"/>
      <c r="L308" s="18"/>
      <c r="M308" s="13" t="e">
        <f>VLOOKUP(#REF!,#REF!, 5)</f>
        <v>#REF!</v>
      </c>
      <c r="N308" s="18" t="s">
        <v>18</v>
      </c>
      <c r="S308"/>
    </row>
    <row r="309" spans="1:19" ht="90.35" hidden="1" x14ac:dyDescent="0.2">
      <c r="A309" s="12" t="s">
        <v>1672</v>
      </c>
      <c r="B309" s="12" t="s">
        <v>1673</v>
      </c>
      <c r="C309" s="37" t="s">
        <v>1674</v>
      </c>
      <c r="D309" s="12" t="s">
        <v>1675</v>
      </c>
      <c r="E309" s="12" t="s">
        <v>3412</v>
      </c>
      <c r="F309" s="12"/>
      <c r="G309" s="12"/>
      <c r="H309" s="12"/>
      <c r="I309" s="22" t="s">
        <v>2345</v>
      </c>
      <c r="J309" s="18" t="s">
        <v>3065</v>
      </c>
      <c r="K309" s="18"/>
      <c r="L309" s="18"/>
      <c r="M309" s="13" t="e">
        <f>VLOOKUP(#REF!,#REF!, 5)</f>
        <v>#REF!</v>
      </c>
      <c r="N309" s="18" t="s">
        <v>18</v>
      </c>
      <c r="S309"/>
    </row>
    <row r="310" spans="1:19" ht="77.45" x14ac:dyDescent="0.2">
      <c r="A310" s="12" t="s">
        <v>1676</v>
      </c>
      <c r="B310" s="12" t="s">
        <v>1677</v>
      </c>
      <c r="C310" s="37" t="s">
        <v>1678</v>
      </c>
      <c r="D310" s="12" t="s">
        <v>3066</v>
      </c>
      <c r="E310" s="12" t="s">
        <v>3414</v>
      </c>
      <c r="F310" s="12" t="s">
        <v>3647</v>
      </c>
      <c r="G310" s="37" t="s">
        <v>3648</v>
      </c>
      <c r="H310" s="12" t="s">
        <v>3649</v>
      </c>
      <c r="I310" s="56"/>
      <c r="J310" s="61"/>
      <c r="K310" s="59"/>
      <c r="L310" s="59"/>
      <c r="M310" s="57"/>
      <c r="N310" s="18" t="s">
        <v>18</v>
      </c>
      <c r="S310"/>
    </row>
    <row r="311" spans="1:19" ht="180.7" hidden="1" x14ac:dyDescent="0.2">
      <c r="A311" s="12" t="s">
        <v>1682</v>
      </c>
      <c r="B311" s="12" t="s">
        <v>1683</v>
      </c>
      <c r="C311" s="37" t="s">
        <v>1684</v>
      </c>
      <c r="D311" s="12" t="s">
        <v>1685</v>
      </c>
      <c r="E311" s="12" t="s">
        <v>3412</v>
      </c>
      <c r="F311" s="12"/>
      <c r="G311" s="12"/>
      <c r="H311" s="12"/>
      <c r="I311" s="22" t="s">
        <v>3067</v>
      </c>
      <c r="J311" s="18" t="s">
        <v>3069</v>
      </c>
      <c r="K311" s="18"/>
      <c r="L311" s="18"/>
      <c r="M311" s="13" t="e">
        <f>VLOOKUP(#REF!,#REF!, 5)</f>
        <v>#REF!</v>
      </c>
      <c r="N311" s="18" t="s">
        <v>18</v>
      </c>
      <c r="S311"/>
    </row>
    <row r="312" spans="1:19" ht="283.95" hidden="1" x14ac:dyDescent="0.2">
      <c r="A312" s="12" t="s">
        <v>1686</v>
      </c>
      <c r="B312" s="12" t="s">
        <v>1687</v>
      </c>
      <c r="C312" s="37" t="s">
        <v>1688</v>
      </c>
      <c r="D312" s="12" t="s">
        <v>3070</v>
      </c>
      <c r="E312" s="12" t="s">
        <v>3412</v>
      </c>
      <c r="F312" s="12"/>
      <c r="G312" s="12"/>
      <c r="H312" s="12"/>
      <c r="I312" s="22" t="s">
        <v>3067</v>
      </c>
      <c r="J312" s="18" t="s">
        <v>3071</v>
      </c>
      <c r="K312" s="18"/>
      <c r="L312" s="18"/>
      <c r="M312" s="13" t="e">
        <f>VLOOKUP(#REF!,#REF!, 5)</f>
        <v>#REF!</v>
      </c>
      <c r="N312" s="18" t="s">
        <v>18</v>
      </c>
      <c r="S312"/>
    </row>
    <row r="313" spans="1:19" ht="387.2" hidden="1" x14ac:dyDescent="0.2">
      <c r="A313" s="12" t="s">
        <v>1690</v>
      </c>
      <c r="B313" s="12" t="s">
        <v>1691</v>
      </c>
      <c r="C313" s="37" t="s">
        <v>1692</v>
      </c>
      <c r="D313" s="12" t="s">
        <v>1693</v>
      </c>
      <c r="E313" s="12" t="s">
        <v>3412</v>
      </c>
      <c r="F313" s="12"/>
      <c r="G313" s="12"/>
      <c r="H313" s="12"/>
      <c r="I313" s="22" t="s">
        <v>3067</v>
      </c>
      <c r="J313" s="18" t="s">
        <v>3072</v>
      </c>
      <c r="K313" s="18"/>
      <c r="L313" s="18"/>
      <c r="M313" s="13" t="e">
        <f>VLOOKUP(#REF!,#REF!, 5)</f>
        <v>#REF!</v>
      </c>
      <c r="N313" s="18" t="s">
        <v>18</v>
      </c>
      <c r="S313"/>
    </row>
    <row r="314" spans="1:19" ht="193.6" hidden="1" x14ac:dyDescent="0.2">
      <c r="A314" s="12" t="s">
        <v>1690</v>
      </c>
      <c r="B314" s="12" t="s">
        <v>1695</v>
      </c>
      <c r="C314" s="37" t="s">
        <v>1696</v>
      </c>
      <c r="D314" s="12" t="s">
        <v>1697</v>
      </c>
      <c r="E314" s="12" t="s">
        <v>3412</v>
      </c>
      <c r="F314" s="12"/>
      <c r="G314" s="12"/>
      <c r="H314" s="12"/>
      <c r="I314" s="22" t="s">
        <v>3067</v>
      </c>
      <c r="J314" s="19" t="s">
        <v>3073</v>
      </c>
      <c r="K314" s="18"/>
      <c r="L314" s="18"/>
      <c r="M314" s="13" t="e">
        <f>VLOOKUP(#REF!,#REF!, 5)</f>
        <v>#REF!</v>
      </c>
      <c r="N314" s="18" t="s">
        <v>18</v>
      </c>
      <c r="S314"/>
    </row>
    <row r="315" spans="1:19" ht="193.6" hidden="1" x14ac:dyDescent="0.2">
      <c r="A315" s="12" t="s">
        <v>1690</v>
      </c>
      <c r="B315" s="12" t="s">
        <v>1698</v>
      </c>
      <c r="C315" s="37" t="s">
        <v>1699</v>
      </c>
      <c r="D315" s="12" t="s">
        <v>1700</v>
      </c>
      <c r="E315" s="12" t="s">
        <v>3412</v>
      </c>
      <c r="F315" s="12"/>
      <c r="G315" s="12"/>
      <c r="H315" s="12"/>
      <c r="I315" s="22" t="s">
        <v>3067</v>
      </c>
      <c r="J315" s="19" t="s">
        <v>3074</v>
      </c>
      <c r="K315" s="18"/>
      <c r="L315" s="18"/>
      <c r="M315" s="13" t="e">
        <f>VLOOKUP(#REF!,#REF!, 5)</f>
        <v>#REF!</v>
      </c>
      <c r="N315" s="18" t="s">
        <v>18</v>
      </c>
      <c r="S315"/>
    </row>
    <row r="316" spans="1:19" ht="400.1" hidden="1" x14ac:dyDescent="0.2">
      <c r="A316" s="12" t="s">
        <v>1690</v>
      </c>
      <c r="B316" s="12" t="s">
        <v>1701</v>
      </c>
      <c r="C316" s="37" t="s">
        <v>1702</v>
      </c>
      <c r="D316" s="12" t="s">
        <v>1703</v>
      </c>
      <c r="E316" s="12" t="s">
        <v>3412</v>
      </c>
      <c r="F316" s="12"/>
      <c r="G316" s="12"/>
      <c r="H316" s="12"/>
      <c r="I316" s="22" t="s">
        <v>3067</v>
      </c>
      <c r="J316" s="19" t="s">
        <v>3075</v>
      </c>
      <c r="K316" s="18"/>
      <c r="L316" s="18"/>
      <c r="M316" s="13" t="e">
        <f>VLOOKUP(#REF!,#REF!, 5)</f>
        <v>#REF!</v>
      </c>
      <c r="N316" s="18" t="s">
        <v>18</v>
      </c>
      <c r="S316"/>
    </row>
    <row r="317" spans="1:19" ht="64.55" x14ac:dyDescent="0.2">
      <c r="A317" s="12" t="s">
        <v>1704</v>
      </c>
      <c r="B317" s="12" t="s">
        <v>1705</v>
      </c>
      <c r="C317" s="37" t="s">
        <v>1706</v>
      </c>
      <c r="D317" s="12" t="s">
        <v>3650</v>
      </c>
      <c r="E317" s="12" t="s">
        <v>3414</v>
      </c>
      <c r="F317" s="12" t="s">
        <v>3651</v>
      </c>
      <c r="G317" s="37" t="s">
        <v>3652</v>
      </c>
      <c r="H317" s="12" t="s">
        <v>3653</v>
      </c>
      <c r="I317" s="56"/>
      <c r="J317" s="59"/>
      <c r="K317" s="59"/>
      <c r="L317" s="59" t="s">
        <v>3077</v>
      </c>
      <c r="M317" s="57"/>
      <c r="N317" s="18" t="s">
        <v>18</v>
      </c>
      <c r="S317"/>
    </row>
    <row r="318" spans="1:19" ht="51.65" hidden="1" x14ac:dyDescent="0.2">
      <c r="A318" s="12" t="s">
        <v>1704</v>
      </c>
      <c r="B318" s="12" t="s">
        <v>1711</v>
      </c>
      <c r="C318" s="37" t="s">
        <v>1712</v>
      </c>
      <c r="D318" s="12" t="s">
        <v>1713</v>
      </c>
      <c r="E318" s="12" t="s">
        <v>3412</v>
      </c>
      <c r="F318" s="12"/>
      <c r="G318" s="12"/>
      <c r="H318" s="12"/>
      <c r="I318" s="22" t="s">
        <v>2345</v>
      </c>
      <c r="J318" s="18" t="s">
        <v>3078</v>
      </c>
      <c r="K318" s="18"/>
      <c r="L318" s="18"/>
      <c r="M318" s="13" t="e">
        <f>VLOOKUP(#REF!,#REF!, 5)</f>
        <v>#REF!</v>
      </c>
      <c r="N318" s="18" t="s">
        <v>18</v>
      </c>
      <c r="S318"/>
    </row>
    <row r="319" spans="1:19" ht="77.45" hidden="1" x14ac:dyDescent="0.2">
      <c r="A319" s="12" t="s">
        <v>1704</v>
      </c>
      <c r="B319" s="12" t="s">
        <v>1715</v>
      </c>
      <c r="C319" s="37" t="s">
        <v>1716</v>
      </c>
      <c r="D319" s="12" t="s">
        <v>1717</v>
      </c>
      <c r="E319" s="12" t="s">
        <v>3412</v>
      </c>
      <c r="F319" s="12"/>
      <c r="G319" s="12"/>
      <c r="H319" s="12"/>
      <c r="I319" s="22" t="s">
        <v>2345</v>
      </c>
      <c r="J319" s="18" t="s">
        <v>3079</v>
      </c>
      <c r="K319" s="18"/>
      <c r="L319" s="18"/>
      <c r="M319" s="13" t="e">
        <f>VLOOKUP(#REF!,#REF!, 5)</f>
        <v>#REF!</v>
      </c>
      <c r="N319" s="18" t="s">
        <v>18</v>
      </c>
      <c r="S319"/>
    </row>
    <row r="320" spans="1:19" ht="77.45" hidden="1" x14ac:dyDescent="0.2">
      <c r="A320" s="12" t="s">
        <v>1719</v>
      </c>
      <c r="B320" s="12" t="s">
        <v>1720</v>
      </c>
      <c r="C320" s="37" t="s">
        <v>1721</v>
      </c>
      <c r="D320" s="12" t="s">
        <v>1722</v>
      </c>
      <c r="E320" s="12" t="s">
        <v>3412</v>
      </c>
      <c r="F320" s="12"/>
      <c r="G320" s="12"/>
      <c r="H320" s="12"/>
      <c r="I320" s="22" t="s">
        <v>2345</v>
      </c>
      <c r="J320" s="18" t="s">
        <v>3080</v>
      </c>
      <c r="K320" s="18"/>
      <c r="L320" s="18"/>
      <c r="M320" s="13" t="e">
        <f>VLOOKUP(#REF!,#REF!, 5)</f>
        <v>#REF!</v>
      </c>
      <c r="N320" s="18" t="s">
        <v>18</v>
      </c>
      <c r="S320"/>
    </row>
    <row r="321" spans="1:19" ht="38.75" hidden="1" x14ac:dyDescent="0.2">
      <c r="A321" s="12" t="s">
        <v>1724</v>
      </c>
      <c r="B321" s="12" t="s">
        <v>1725</v>
      </c>
      <c r="C321" s="37" t="s">
        <v>1726</v>
      </c>
      <c r="D321" s="12" t="s">
        <v>1727</v>
      </c>
      <c r="E321" s="12" t="s">
        <v>3412</v>
      </c>
      <c r="F321" s="12"/>
      <c r="G321" s="12"/>
      <c r="H321" s="12"/>
      <c r="I321" s="22" t="s">
        <v>2345</v>
      </c>
      <c r="J321" s="18" t="s">
        <v>3081</v>
      </c>
      <c r="K321" s="18"/>
      <c r="L321" s="18"/>
      <c r="M321" s="13" t="e">
        <f>VLOOKUP(#REF!,#REF!, 5)</f>
        <v>#REF!</v>
      </c>
      <c r="N321" s="18" t="s">
        <v>18</v>
      </c>
      <c r="S321"/>
    </row>
    <row r="322" spans="1:19" ht="64.55" hidden="1" x14ac:dyDescent="0.2">
      <c r="A322" s="12" t="s">
        <v>1724</v>
      </c>
      <c r="B322" s="12" t="s">
        <v>1730</v>
      </c>
      <c r="C322" s="37" t="s">
        <v>1731</v>
      </c>
      <c r="D322" s="12" t="s">
        <v>1732</v>
      </c>
      <c r="E322" s="12" t="s">
        <v>3412</v>
      </c>
      <c r="F322" s="12"/>
      <c r="G322" s="12"/>
      <c r="H322" s="12"/>
      <c r="I322" s="22" t="s">
        <v>2345</v>
      </c>
      <c r="J322" s="18" t="s">
        <v>3082</v>
      </c>
      <c r="K322" s="18"/>
      <c r="L322" s="18"/>
      <c r="M322" s="13" t="e">
        <f>VLOOKUP(#REF!,#REF!, 5)</f>
        <v>#REF!</v>
      </c>
      <c r="N322" s="18" t="s">
        <v>18</v>
      </c>
      <c r="S322"/>
    </row>
    <row r="323" spans="1:19" ht="38.75" hidden="1" x14ac:dyDescent="0.2">
      <c r="A323" s="12" t="s">
        <v>1724</v>
      </c>
      <c r="B323" s="12" t="s">
        <v>1734</v>
      </c>
      <c r="C323" s="37" t="s">
        <v>1735</v>
      </c>
      <c r="D323" s="12" t="s">
        <v>1736</v>
      </c>
      <c r="E323" s="12" t="s">
        <v>3412</v>
      </c>
      <c r="F323" s="12"/>
      <c r="G323" s="12"/>
      <c r="H323" s="12"/>
      <c r="I323" s="22" t="s">
        <v>2345</v>
      </c>
      <c r="J323" s="18" t="s">
        <v>3083</v>
      </c>
      <c r="K323" s="18"/>
      <c r="L323" s="18"/>
      <c r="M323" s="13" t="e">
        <f>VLOOKUP(#REF!,#REF!, 5)</f>
        <v>#REF!</v>
      </c>
      <c r="N323" s="18" t="s">
        <v>18</v>
      </c>
      <c r="S323"/>
    </row>
    <row r="324" spans="1:19" ht="116.15" hidden="1" x14ac:dyDescent="0.2">
      <c r="A324" s="12" t="s">
        <v>1738</v>
      </c>
      <c r="B324" s="12" t="s">
        <v>1739</v>
      </c>
      <c r="C324" s="37" t="s">
        <v>1740</v>
      </c>
      <c r="D324" s="12" t="s">
        <v>1741</v>
      </c>
      <c r="E324" s="12" t="s">
        <v>3412</v>
      </c>
      <c r="F324" s="12"/>
      <c r="G324" s="12"/>
      <c r="H324" s="12"/>
      <c r="I324" s="22" t="s">
        <v>2345</v>
      </c>
      <c r="J324" s="18" t="s">
        <v>3084</v>
      </c>
      <c r="K324" s="18"/>
      <c r="L324" s="18"/>
      <c r="M324" s="13" t="e">
        <f>VLOOKUP(#REF!,#REF!, 5)</f>
        <v>#REF!</v>
      </c>
      <c r="N324" s="18" t="s">
        <v>18</v>
      </c>
      <c r="S324"/>
    </row>
    <row r="325" spans="1:19" ht="374.3" hidden="1" x14ac:dyDescent="0.2">
      <c r="A325" s="12" t="s">
        <v>1745</v>
      </c>
      <c r="B325" s="12" t="s">
        <v>1746</v>
      </c>
      <c r="C325" s="37" t="s">
        <v>1747</v>
      </c>
      <c r="D325" s="12" t="s">
        <v>1748</v>
      </c>
      <c r="E325" s="12" t="s">
        <v>3412</v>
      </c>
      <c r="F325" s="12"/>
      <c r="G325" s="12"/>
      <c r="H325" s="12"/>
      <c r="I325" s="22" t="s">
        <v>2345</v>
      </c>
      <c r="J325" s="18" t="s">
        <v>3086</v>
      </c>
      <c r="K325" s="18"/>
      <c r="L325" s="18"/>
      <c r="M325" s="13" t="e">
        <f>VLOOKUP(#REF!,#REF!, 5)</f>
        <v>#REF!</v>
      </c>
      <c r="N325" s="18" t="s">
        <v>18</v>
      </c>
      <c r="S325"/>
    </row>
    <row r="326" spans="1:19" ht="38.75" x14ac:dyDescent="0.2">
      <c r="A326" s="12" t="s">
        <v>1752</v>
      </c>
      <c r="B326" s="12" t="s">
        <v>1753</v>
      </c>
      <c r="C326" s="37" t="s">
        <v>1754</v>
      </c>
      <c r="D326" s="12" t="s">
        <v>1755</v>
      </c>
      <c r="E326" s="12" t="s">
        <v>3414</v>
      </c>
      <c r="F326" s="12" t="s">
        <v>3654</v>
      </c>
      <c r="G326" s="37" t="s">
        <v>3655</v>
      </c>
      <c r="H326" s="12" t="s">
        <v>3656</v>
      </c>
      <c r="I326" s="56"/>
      <c r="J326" s="59"/>
      <c r="K326" s="59"/>
      <c r="L326" s="59" t="s">
        <v>3088</v>
      </c>
      <c r="M326" s="57"/>
      <c r="N326" s="18" t="s">
        <v>18</v>
      </c>
      <c r="S326"/>
    </row>
    <row r="327" spans="1:19" ht="103.25" hidden="1" x14ac:dyDescent="0.2">
      <c r="A327" s="12" t="s">
        <v>1757</v>
      </c>
      <c r="B327" s="12" t="s">
        <v>1758</v>
      </c>
      <c r="C327" s="37" t="s">
        <v>1759</v>
      </c>
      <c r="D327" s="12" t="s">
        <v>1760</v>
      </c>
      <c r="E327" s="12" t="s">
        <v>3412</v>
      </c>
      <c r="F327" s="12"/>
      <c r="G327" s="12"/>
      <c r="H327" s="12"/>
      <c r="I327" s="22" t="s">
        <v>2345</v>
      </c>
      <c r="J327" s="18" t="s">
        <v>3089</v>
      </c>
      <c r="K327" s="18"/>
      <c r="L327" s="18"/>
      <c r="M327" s="13" t="e">
        <f>VLOOKUP(#REF!,#REF!, 5)</f>
        <v>#REF!</v>
      </c>
      <c r="N327" s="18" t="s">
        <v>18</v>
      </c>
      <c r="S327"/>
    </row>
    <row r="328" spans="1:19" ht="116.15" hidden="1" x14ac:dyDescent="0.2">
      <c r="A328" s="12" t="s">
        <v>1757</v>
      </c>
      <c r="B328" s="12" t="s">
        <v>1762</v>
      </c>
      <c r="C328" s="37" t="s">
        <v>1763</v>
      </c>
      <c r="D328" s="12" t="s">
        <v>1764</v>
      </c>
      <c r="E328" s="12" t="s">
        <v>3412</v>
      </c>
      <c r="F328" s="12"/>
      <c r="G328" s="12"/>
      <c r="H328" s="12"/>
      <c r="I328" s="22" t="s">
        <v>2345</v>
      </c>
      <c r="J328" s="18" t="s">
        <v>3090</v>
      </c>
      <c r="K328" s="18"/>
      <c r="L328" s="18"/>
      <c r="M328" s="13" t="e">
        <f>VLOOKUP(#REF!,#REF!, 5)</f>
        <v>#REF!</v>
      </c>
      <c r="N328" s="18" t="s">
        <v>18</v>
      </c>
      <c r="S328"/>
    </row>
    <row r="329" spans="1:19" ht="116.15" hidden="1" x14ac:dyDescent="0.2">
      <c r="A329" s="12" t="s">
        <v>1765</v>
      </c>
      <c r="B329" s="12" t="s">
        <v>1766</v>
      </c>
      <c r="C329" s="37" t="s">
        <v>1767</v>
      </c>
      <c r="D329" s="12" t="s">
        <v>1768</v>
      </c>
      <c r="E329" s="12" t="s">
        <v>3412</v>
      </c>
      <c r="F329" s="12"/>
      <c r="G329" s="12"/>
      <c r="H329" s="12"/>
      <c r="I329" s="22" t="s">
        <v>2345</v>
      </c>
      <c r="J329" s="18" t="s">
        <v>3091</v>
      </c>
      <c r="K329" s="18"/>
      <c r="L329" s="18" t="s">
        <v>3092</v>
      </c>
      <c r="M329" s="13" t="e">
        <f>VLOOKUP(#REF!,#REF!, 5)</f>
        <v>#REF!</v>
      </c>
      <c r="N329" s="18" t="s">
        <v>18</v>
      </c>
      <c r="S329"/>
    </row>
    <row r="330" spans="1:19" ht="154.9" hidden="1" x14ac:dyDescent="0.2">
      <c r="A330" s="12" t="s">
        <v>1770</v>
      </c>
      <c r="B330" s="12" t="s">
        <v>1771</v>
      </c>
      <c r="C330" s="37" t="s">
        <v>1772</v>
      </c>
      <c r="D330" s="12" t="s">
        <v>3093</v>
      </c>
      <c r="E330" s="12" t="s">
        <v>3412</v>
      </c>
      <c r="F330" s="12"/>
      <c r="G330" s="12"/>
      <c r="H330" s="12"/>
      <c r="I330" s="22" t="s">
        <v>2345</v>
      </c>
      <c r="J330" s="18" t="s">
        <v>3094</v>
      </c>
      <c r="K330" s="18"/>
      <c r="L330" s="18"/>
      <c r="M330" s="13" t="e">
        <f>VLOOKUP(#REF!,#REF!, 5)</f>
        <v>#REF!</v>
      </c>
      <c r="N330" s="18" t="s">
        <v>18</v>
      </c>
      <c r="S330"/>
    </row>
    <row r="331" spans="1:19" ht="129.1" hidden="1" x14ac:dyDescent="0.2">
      <c r="A331" s="12" t="s">
        <v>1777</v>
      </c>
      <c r="B331" s="12" t="s">
        <v>1778</v>
      </c>
      <c r="C331" s="37" t="s">
        <v>1779</v>
      </c>
      <c r="D331" s="12" t="s">
        <v>1780</v>
      </c>
      <c r="E331" s="12" t="s">
        <v>3412</v>
      </c>
      <c r="F331" s="12"/>
      <c r="G331" s="12"/>
      <c r="H331" s="12"/>
      <c r="I331" s="22" t="s">
        <v>3095</v>
      </c>
      <c r="J331" s="18" t="s">
        <v>3096</v>
      </c>
      <c r="K331" s="18" t="s">
        <v>3097</v>
      </c>
      <c r="L331" s="18" t="s">
        <v>3098</v>
      </c>
      <c r="M331" s="13" t="e">
        <f>VLOOKUP(#REF!,#REF!, 5)</f>
        <v>#REF!</v>
      </c>
      <c r="N331" s="18" t="s">
        <v>18</v>
      </c>
      <c r="S331"/>
    </row>
    <row r="332" spans="1:19" ht="64.55" x14ac:dyDescent="0.2">
      <c r="A332" s="12" t="s">
        <v>1777</v>
      </c>
      <c r="B332" s="12" t="s">
        <v>1783</v>
      </c>
      <c r="C332" s="37" t="s">
        <v>1784</v>
      </c>
      <c r="D332" s="12" t="s">
        <v>1785</v>
      </c>
      <c r="E332" s="12" t="s">
        <v>3414</v>
      </c>
      <c r="F332" s="12" t="s">
        <v>3657</v>
      </c>
      <c r="G332" s="37" t="s">
        <v>3658</v>
      </c>
      <c r="H332" s="12" t="s">
        <v>3659</v>
      </c>
      <c r="I332" s="56"/>
      <c r="J332" s="59"/>
      <c r="K332" s="59"/>
      <c r="L332" s="59" t="s">
        <v>3102</v>
      </c>
      <c r="M332" s="57"/>
      <c r="N332" s="18" t="s">
        <v>18</v>
      </c>
      <c r="S332"/>
    </row>
    <row r="333" spans="1:19" ht="51.65" hidden="1" x14ac:dyDescent="0.2">
      <c r="A333" s="12" t="s">
        <v>1777</v>
      </c>
      <c r="B333" s="12" t="s">
        <v>1787</v>
      </c>
      <c r="C333" s="37" t="s">
        <v>1788</v>
      </c>
      <c r="D333" s="12" t="s">
        <v>3103</v>
      </c>
      <c r="E333" s="12" t="s">
        <v>3412</v>
      </c>
      <c r="F333" s="12"/>
      <c r="G333" s="12"/>
      <c r="H333" s="12"/>
      <c r="I333" s="22" t="s">
        <v>3104</v>
      </c>
      <c r="J333" s="18" t="s">
        <v>3105</v>
      </c>
      <c r="K333" s="18"/>
      <c r="L333" s="18" t="s">
        <v>3106</v>
      </c>
      <c r="M333" s="13" t="e">
        <f>VLOOKUP(#REF!,#REF!, 5)</f>
        <v>#REF!</v>
      </c>
      <c r="N333" s="18" t="s">
        <v>18</v>
      </c>
      <c r="S333"/>
    </row>
    <row r="334" spans="1:19" ht="258.14999999999998" hidden="1" x14ac:dyDescent="0.2">
      <c r="A334" s="12" t="s">
        <v>1791</v>
      </c>
      <c r="B334" s="12" t="s">
        <v>1792</v>
      </c>
      <c r="C334" s="37" t="s">
        <v>1793</v>
      </c>
      <c r="D334" s="12" t="s">
        <v>1794</v>
      </c>
      <c r="E334" s="12" t="s">
        <v>3412</v>
      </c>
      <c r="F334" s="12"/>
      <c r="G334" s="12"/>
      <c r="H334" s="12"/>
      <c r="I334" s="22" t="s">
        <v>3107</v>
      </c>
      <c r="J334" s="18" t="s">
        <v>3108</v>
      </c>
      <c r="K334" s="18"/>
      <c r="L334" s="18"/>
      <c r="M334" s="13" t="e">
        <f>VLOOKUP(#REF!,#REF!, 5)</f>
        <v>#REF!</v>
      </c>
      <c r="N334" s="18" t="s">
        <v>18</v>
      </c>
      <c r="S334"/>
    </row>
    <row r="335" spans="1:19" ht="409.6" hidden="1" x14ac:dyDescent="0.2">
      <c r="A335" s="12" t="s">
        <v>1797</v>
      </c>
      <c r="B335" s="12" t="s">
        <v>1798</v>
      </c>
      <c r="C335" s="37" t="s">
        <v>1799</v>
      </c>
      <c r="D335" s="12" t="s">
        <v>1800</v>
      </c>
      <c r="E335" s="12" t="s">
        <v>3412</v>
      </c>
      <c r="F335" s="12"/>
      <c r="G335" s="12"/>
      <c r="H335" s="12"/>
      <c r="I335" s="22" t="s">
        <v>3109</v>
      </c>
      <c r="J335" s="18" t="s">
        <v>3110</v>
      </c>
      <c r="K335" s="18"/>
      <c r="L335" s="18"/>
      <c r="M335" s="13" t="e">
        <f>VLOOKUP(#REF!,#REF!, 5)</f>
        <v>#REF!</v>
      </c>
      <c r="N335" s="18" t="s">
        <v>18</v>
      </c>
      <c r="S335"/>
    </row>
    <row r="336" spans="1:19" ht="283.95" hidden="1" x14ac:dyDescent="0.2">
      <c r="A336" s="12" t="s">
        <v>1804</v>
      </c>
      <c r="B336" s="12" t="s">
        <v>1805</v>
      </c>
      <c r="C336" s="37" t="s">
        <v>1806</v>
      </c>
      <c r="D336" s="12" t="s">
        <v>1807</v>
      </c>
      <c r="E336" s="12" t="s">
        <v>3412</v>
      </c>
      <c r="F336" s="12"/>
      <c r="G336" s="12"/>
      <c r="H336" s="12"/>
      <c r="I336" s="22" t="s">
        <v>3111</v>
      </c>
      <c r="J336" s="18" t="s">
        <v>3112</v>
      </c>
      <c r="K336" s="18"/>
      <c r="L336" s="18"/>
      <c r="M336" s="13" t="e">
        <f>VLOOKUP(#REF!,#REF!, 5)</f>
        <v>#REF!</v>
      </c>
      <c r="N336" s="18" t="s">
        <v>18</v>
      </c>
      <c r="S336"/>
    </row>
    <row r="337" spans="1:19" ht="348.45" hidden="1" x14ac:dyDescent="0.2">
      <c r="A337" s="12" t="s">
        <v>1810</v>
      </c>
      <c r="B337" s="12" t="s">
        <v>1811</v>
      </c>
      <c r="C337" s="37" t="s">
        <v>1812</v>
      </c>
      <c r="D337" s="12" t="s">
        <v>1813</v>
      </c>
      <c r="E337" s="12" t="s">
        <v>3412</v>
      </c>
      <c r="F337" s="12"/>
      <c r="G337" s="12"/>
      <c r="H337" s="12"/>
      <c r="I337" s="22" t="s">
        <v>3113</v>
      </c>
      <c r="J337" s="18" t="s">
        <v>3114</v>
      </c>
      <c r="K337" s="18"/>
      <c r="L337" s="18" t="s">
        <v>3115</v>
      </c>
      <c r="M337" s="13" t="e">
        <f>VLOOKUP(#REF!,#REF!, 5)</f>
        <v>#REF!</v>
      </c>
      <c r="N337" s="18" t="s">
        <v>18</v>
      </c>
      <c r="S337"/>
    </row>
    <row r="338" spans="1:19" ht="296.85000000000002" hidden="1" x14ac:dyDescent="0.2">
      <c r="A338" s="12" t="s">
        <v>1815</v>
      </c>
      <c r="B338" s="12" t="s">
        <v>1816</v>
      </c>
      <c r="C338" s="37" t="s">
        <v>1817</v>
      </c>
      <c r="D338" s="12" t="s">
        <v>1818</v>
      </c>
      <c r="E338" s="12" t="s">
        <v>3412</v>
      </c>
      <c r="F338" s="12"/>
      <c r="G338" s="12"/>
      <c r="H338" s="12"/>
      <c r="I338" s="22" t="s">
        <v>3116</v>
      </c>
      <c r="J338" s="18" t="s">
        <v>3117</v>
      </c>
      <c r="K338" s="18" t="s">
        <v>3118</v>
      </c>
      <c r="L338" s="18"/>
      <c r="M338" s="13" t="e">
        <f>VLOOKUP(#REF!,#REF!, 5)</f>
        <v>#REF!</v>
      </c>
      <c r="N338" s="18" t="s">
        <v>18</v>
      </c>
      <c r="S338"/>
    </row>
    <row r="339" spans="1:19" ht="38.75" x14ac:dyDescent="0.2">
      <c r="A339" s="12" t="s">
        <v>1821</v>
      </c>
      <c r="B339" s="12" t="s">
        <v>1822</v>
      </c>
      <c r="C339" s="37" t="s">
        <v>1823</v>
      </c>
      <c r="D339" s="12" t="s">
        <v>1824</v>
      </c>
      <c r="E339" s="12" t="s">
        <v>3414</v>
      </c>
      <c r="F339" s="12" t="s">
        <v>3660</v>
      </c>
      <c r="G339" s="12" t="s">
        <v>3661</v>
      </c>
      <c r="H339" s="12" t="s">
        <v>3662</v>
      </c>
      <c r="I339" s="56"/>
      <c r="J339" s="59"/>
      <c r="K339" s="59"/>
      <c r="L339" s="59"/>
      <c r="M339" s="57"/>
      <c r="N339" s="18" t="s">
        <v>18</v>
      </c>
      <c r="S339"/>
    </row>
    <row r="340" spans="1:19" ht="38.75" x14ac:dyDescent="0.2">
      <c r="A340" s="12" t="s">
        <v>1826</v>
      </c>
      <c r="B340" s="12" t="s">
        <v>1827</v>
      </c>
      <c r="C340" s="37" t="s">
        <v>1828</v>
      </c>
      <c r="D340" s="12" t="s">
        <v>1829</v>
      </c>
      <c r="E340" s="12" t="s">
        <v>3414</v>
      </c>
      <c r="F340" s="12" t="s">
        <v>3663</v>
      </c>
      <c r="G340" s="12" t="s">
        <v>3664</v>
      </c>
      <c r="H340" s="12" t="s">
        <v>3662</v>
      </c>
      <c r="I340" s="56"/>
      <c r="J340" s="59"/>
      <c r="K340" s="59"/>
      <c r="L340" s="59"/>
      <c r="M340" s="57"/>
      <c r="N340" s="18" t="s">
        <v>18</v>
      </c>
      <c r="S340"/>
    </row>
    <row r="341" spans="1:19" ht="38.75" x14ac:dyDescent="0.2">
      <c r="A341" s="12" t="s">
        <v>1831</v>
      </c>
      <c r="B341" s="12" t="s">
        <v>1832</v>
      </c>
      <c r="C341" s="37" t="s">
        <v>1833</v>
      </c>
      <c r="D341" s="12" t="s">
        <v>1834</v>
      </c>
      <c r="E341" s="12" t="s">
        <v>3414</v>
      </c>
      <c r="F341" s="12" t="s">
        <v>3665</v>
      </c>
      <c r="G341" s="12" t="s">
        <v>3666</v>
      </c>
      <c r="H341" s="12" t="s">
        <v>3662</v>
      </c>
      <c r="I341" s="56"/>
      <c r="J341" s="59"/>
      <c r="K341" s="59"/>
      <c r="L341" s="59"/>
      <c r="M341" s="57"/>
      <c r="N341" s="18" t="s">
        <v>18</v>
      </c>
      <c r="S341"/>
    </row>
    <row r="342" spans="1:19" ht="206.5" hidden="1" x14ac:dyDescent="0.2">
      <c r="A342" s="12" t="s">
        <v>1837</v>
      </c>
      <c r="B342" s="12" t="s">
        <v>1838</v>
      </c>
      <c r="C342" s="37" t="s">
        <v>1839</v>
      </c>
      <c r="D342" s="12" t="s">
        <v>1840</v>
      </c>
      <c r="E342" s="12" t="s">
        <v>3412</v>
      </c>
      <c r="F342" s="12"/>
      <c r="G342" s="12"/>
      <c r="H342" s="12"/>
      <c r="I342" s="22" t="s">
        <v>3129</v>
      </c>
      <c r="J342" s="18" t="s">
        <v>3130</v>
      </c>
      <c r="K342" s="18" t="s">
        <v>3131</v>
      </c>
      <c r="L342" s="18" t="s">
        <v>3132</v>
      </c>
      <c r="M342" s="13" t="e">
        <f>VLOOKUP(#REF!,#REF!, 5)</f>
        <v>#REF!</v>
      </c>
      <c r="N342" s="18" t="s">
        <v>18</v>
      </c>
      <c r="S342"/>
    </row>
    <row r="343" spans="1:19" ht="129.1" hidden="1" x14ac:dyDescent="0.2">
      <c r="A343" s="12" t="s">
        <v>1843</v>
      </c>
      <c r="B343" s="12" t="s">
        <v>1844</v>
      </c>
      <c r="C343" s="37" t="s">
        <v>1845</v>
      </c>
      <c r="D343" s="12" t="s">
        <v>1846</v>
      </c>
      <c r="E343" s="12" t="s">
        <v>3412</v>
      </c>
      <c r="F343" s="12"/>
      <c r="G343" s="12"/>
      <c r="H343" s="12"/>
      <c r="I343" s="22" t="s">
        <v>3136</v>
      </c>
      <c r="J343" s="18" t="s">
        <v>3137</v>
      </c>
      <c r="K343" s="19" t="s">
        <v>3138</v>
      </c>
      <c r="L343" s="18" t="s">
        <v>3139</v>
      </c>
      <c r="M343" s="13" t="e">
        <f>VLOOKUP(#REF!,#REF!, 5)</f>
        <v>#REF!</v>
      </c>
      <c r="N343" s="18" t="s">
        <v>18</v>
      </c>
      <c r="S343"/>
    </row>
    <row r="344" spans="1:19" ht="38.75" x14ac:dyDescent="0.2">
      <c r="A344" s="12" t="s">
        <v>1849</v>
      </c>
      <c r="B344" s="12" t="s">
        <v>1850</v>
      </c>
      <c r="C344" s="37" t="s">
        <v>1851</v>
      </c>
      <c r="D344" s="12" t="s">
        <v>1852</v>
      </c>
      <c r="E344" s="12" t="s">
        <v>3414</v>
      </c>
      <c r="F344" s="12" t="s">
        <v>3667</v>
      </c>
      <c r="G344" s="12" t="s">
        <v>3668</v>
      </c>
      <c r="H344" s="12" t="s">
        <v>3669</v>
      </c>
      <c r="I344" s="56"/>
      <c r="J344" s="59"/>
      <c r="K344" s="59"/>
      <c r="L344" s="59" t="s">
        <v>3142</v>
      </c>
      <c r="M344" s="57"/>
      <c r="N344" s="18" t="s">
        <v>18</v>
      </c>
      <c r="S344"/>
    </row>
    <row r="345" spans="1:19" ht="142" hidden="1" x14ac:dyDescent="0.2">
      <c r="A345" s="12" t="s">
        <v>1849</v>
      </c>
      <c r="B345" s="12" t="s">
        <v>1854</v>
      </c>
      <c r="C345" s="37" t="s">
        <v>1855</v>
      </c>
      <c r="D345" s="12" t="s">
        <v>1856</v>
      </c>
      <c r="E345" s="12" t="s">
        <v>3412</v>
      </c>
      <c r="F345" s="12"/>
      <c r="G345" s="12"/>
      <c r="H345" s="12"/>
      <c r="I345" s="22" t="s">
        <v>3143</v>
      </c>
      <c r="J345" s="18" t="s">
        <v>3144</v>
      </c>
      <c r="K345" s="18"/>
      <c r="L345" s="18" t="s">
        <v>3145</v>
      </c>
      <c r="M345" s="13" t="e">
        <f>VLOOKUP(#REF!,#REF!, 5)</f>
        <v>#REF!</v>
      </c>
      <c r="N345" s="18" t="s">
        <v>18</v>
      </c>
      <c r="S345"/>
    </row>
    <row r="346" spans="1:19" ht="25.85" x14ac:dyDescent="0.2">
      <c r="A346" s="12" t="s">
        <v>1858</v>
      </c>
      <c r="B346" s="12" t="s">
        <v>1859</v>
      </c>
      <c r="C346" s="37" t="s">
        <v>1860</v>
      </c>
      <c r="D346" s="12" t="s">
        <v>1861</v>
      </c>
      <c r="E346" s="12" t="s">
        <v>3414</v>
      </c>
      <c r="F346" s="12" t="s">
        <v>3670</v>
      </c>
      <c r="G346" s="37" t="s">
        <v>3671</v>
      </c>
      <c r="H346" s="12" t="s">
        <v>3672</v>
      </c>
      <c r="I346" s="56"/>
      <c r="J346" s="59"/>
      <c r="K346" s="59"/>
      <c r="L346" s="59" t="s">
        <v>3148</v>
      </c>
      <c r="M346" s="57"/>
      <c r="N346" s="18" t="s">
        <v>18</v>
      </c>
      <c r="S346"/>
    </row>
    <row r="347" spans="1:19" ht="64.55" hidden="1" x14ac:dyDescent="0.2">
      <c r="A347" s="12" t="s">
        <v>1863</v>
      </c>
      <c r="B347" s="12" t="s">
        <v>1864</v>
      </c>
      <c r="C347" s="37" t="s">
        <v>1865</v>
      </c>
      <c r="D347" s="12" t="s">
        <v>1866</v>
      </c>
      <c r="E347" s="12" t="s">
        <v>3412</v>
      </c>
      <c r="F347" s="12"/>
      <c r="G347" s="37"/>
      <c r="H347" s="12"/>
      <c r="I347" s="22" t="s">
        <v>3149</v>
      </c>
      <c r="J347" s="18" t="s">
        <v>3150</v>
      </c>
      <c r="K347" s="18"/>
      <c r="L347" s="18" t="s">
        <v>3151</v>
      </c>
      <c r="M347" s="13" t="e">
        <f>VLOOKUP(#REF!,#REF!, 5)</f>
        <v>#REF!</v>
      </c>
      <c r="N347" s="18" t="s">
        <v>18</v>
      </c>
      <c r="S347"/>
    </row>
    <row r="348" spans="1:19" ht="103.25" hidden="1" x14ac:dyDescent="0.2">
      <c r="A348" s="12" t="s">
        <v>1868</v>
      </c>
      <c r="B348" s="12" t="s">
        <v>1869</v>
      </c>
      <c r="C348" s="37" t="s">
        <v>1870</v>
      </c>
      <c r="D348" s="12" t="s">
        <v>1871</v>
      </c>
      <c r="E348" s="12" t="s">
        <v>3412</v>
      </c>
      <c r="F348" s="12"/>
      <c r="G348" s="12"/>
      <c r="H348" s="12"/>
      <c r="I348" s="22" t="s">
        <v>3152</v>
      </c>
      <c r="J348" s="18" t="s">
        <v>3153</v>
      </c>
      <c r="K348" s="19" t="s">
        <v>3154</v>
      </c>
      <c r="L348" s="18" t="s">
        <v>3155</v>
      </c>
      <c r="M348" s="13" t="e">
        <f>VLOOKUP(#REF!,#REF!, 5)</f>
        <v>#REF!</v>
      </c>
      <c r="N348" s="18" t="s">
        <v>18</v>
      </c>
      <c r="S348"/>
    </row>
    <row r="349" spans="1:19" ht="103.25" hidden="1" x14ac:dyDescent="0.2">
      <c r="A349" s="12" t="s">
        <v>1873</v>
      </c>
      <c r="B349" s="12" t="s">
        <v>1874</v>
      </c>
      <c r="C349" s="37" t="s">
        <v>1875</v>
      </c>
      <c r="D349" s="12" t="s">
        <v>1876</v>
      </c>
      <c r="E349" s="12" t="s">
        <v>3412</v>
      </c>
      <c r="F349" s="12"/>
      <c r="G349" s="12"/>
      <c r="H349" s="12"/>
      <c r="I349" s="22" t="s">
        <v>3157</v>
      </c>
      <c r="J349" s="18" t="s">
        <v>3153</v>
      </c>
      <c r="K349" s="19" t="s">
        <v>3154</v>
      </c>
      <c r="L349" s="18" t="s">
        <v>3158</v>
      </c>
      <c r="M349" s="13" t="e">
        <f>VLOOKUP(#REF!,#REF!, 5)</f>
        <v>#REF!</v>
      </c>
      <c r="N349" s="18" t="s">
        <v>18</v>
      </c>
      <c r="S349"/>
    </row>
    <row r="350" spans="1:19" ht="129.1" hidden="1" x14ac:dyDescent="0.2">
      <c r="A350" s="12" t="s">
        <v>1877</v>
      </c>
      <c r="B350" s="12" t="s">
        <v>1878</v>
      </c>
      <c r="C350" s="37" t="s">
        <v>1879</v>
      </c>
      <c r="D350" s="12" t="s">
        <v>1880</v>
      </c>
      <c r="E350" s="12" t="s">
        <v>3412</v>
      </c>
      <c r="F350" s="12"/>
      <c r="G350" s="12"/>
      <c r="H350" s="12"/>
      <c r="I350" s="22" t="s">
        <v>3160</v>
      </c>
      <c r="J350" s="18" t="s">
        <v>3161</v>
      </c>
      <c r="K350" s="19" t="s">
        <v>3162</v>
      </c>
      <c r="L350" s="18" t="s">
        <v>3163</v>
      </c>
      <c r="M350" s="13" t="e">
        <f>VLOOKUP(#REF!,#REF!, 5)</f>
        <v>#REF!</v>
      </c>
      <c r="N350" s="18" t="s">
        <v>18</v>
      </c>
      <c r="S350"/>
    </row>
    <row r="351" spans="1:19" ht="103.25" hidden="1" x14ac:dyDescent="0.2">
      <c r="A351" s="12" t="s">
        <v>1882</v>
      </c>
      <c r="B351" s="12" t="s">
        <v>1883</v>
      </c>
      <c r="C351" s="37" t="s">
        <v>1884</v>
      </c>
      <c r="D351" s="12" t="s">
        <v>1885</v>
      </c>
      <c r="E351" s="12" t="s">
        <v>3412</v>
      </c>
      <c r="F351" s="12"/>
      <c r="G351" s="12"/>
      <c r="H351" s="12"/>
      <c r="I351" s="22" t="s">
        <v>3165</v>
      </c>
      <c r="J351" s="18" t="s">
        <v>3153</v>
      </c>
      <c r="K351" s="18" t="s">
        <v>3162</v>
      </c>
      <c r="L351" s="18" t="s">
        <v>3166</v>
      </c>
      <c r="M351" s="13" t="e">
        <f>VLOOKUP(#REF!,#REF!, 5)</f>
        <v>#REF!</v>
      </c>
      <c r="N351" s="18" t="s">
        <v>18</v>
      </c>
      <c r="S351"/>
    </row>
    <row r="352" spans="1:19" ht="142" hidden="1" x14ac:dyDescent="0.2">
      <c r="A352" s="12" t="s">
        <v>1882</v>
      </c>
      <c r="B352" s="12" t="s">
        <v>1887</v>
      </c>
      <c r="C352" s="37" t="s">
        <v>1888</v>
      </c>
      <c r="D352" s="12" t="s">
        <v>1889</v>
      </c>
      <c r="E352" s="12" t="s">
        <v>3412</v>
      </c>
      <c r="F352" s="12"/>
      <c r="G352" s="12"/>
      <c r="H352" s="12"/>
      <c r="I352" s="22" t="s">
        <v>3168</v>
      </c>
      <c r="J352" s="18" t="s">
        <v>3144</v>
      </c>
      <c r="K352" s="18"/>
      <c r="L352" s="18" t="s">
        <v>3169</v>
      </c>
      <c r="M352" s="13" t="e">
        <f>VLOOKUP(#REF!,#REF!, 5)</f>
        <v>#REF!</v>
      </c>
      <c r="N352" s="18" t="s">
        <v>18</v>
      </c>
      <c r="S352"/>
    </row>
    <row r="353" spans="1:19" ht="51.65" x14ac:dyDescent="0.2">
      <c r="A353" s="12" t="s">
        <v>1891</v>
      </c>
      <c r="B353" s="12" t="s">
        <v>1892</v>
      </c>
      <c r="C353" s="37" t="s">
        <v>1893</v>
      </c>
      <c r="D353" s="12" t="s">
        <v>1894</v>
      </c>
      <c r="E353" s="12" t="s">
        <v>3414</v>
      </c>
      <c r="F353" s="12" t="s">
        <v>3673</v>
      </c>
      <c r="G353" s="37" t="s">
        <v>1893</v>
      </c>
      <c r="H353" s="12" t="s">
        <v>3672</v>
      </c>
      <c r="I353" s="56"/>
      <c r="J353" s="59"/>
      <c r="K353" s="59"/>
      <c r="L353" s="59" t="s">
        <v>3172</v>
      </c>
      <c r="M353" s="57"/>
      <c r="N353" s="18" t="s">
        <v>18</v>
      </c>
      <c r="S353"/>
    </row>
    <row r="354" spans="1:19" ht="25.85" x14ac:dyDescent="0.2">
      <c r="A354" s="12" t="s">
        <v>1897</v>
      </c>
      <c r="B354" s="12" t="s">
        <v>1898</v>
      </c>
      <c r="C354" s="37" t="s">
        <v>1899</v>
      </c>
      <c r="D354" s="12" t="s">
        <v>1900</v>
      </c>
      <c r="E354" s="12" t="s">
        <v>3414</v>
      </c>
      <c r="F354" s="12" t="s">
        <v>3674</v>
      </c>
      <c r="G354" s="37" t="s">
        <v>1899</v>
      </c>
      <c r="H354" s="12" t="s">
        <v>3675</v>
      </c>
      <c r="I354" s="56"/>
      <c r="J354" s="59"/>
      <c r="K354" s="59"/>
      <c r="L354" s="59" t="s">
        <v>3175</v>
      </c>
      <c r="M354" s="57"/>
      <c r="N354" s="18" t="s">
        <v>18</v>
      </c>
      <c r="S354"/>
    </row>
    <row r="355" spans="1:19" ht="77.45" hidden="1" x14ac:dyDescent="0.2">
      <c r="A355" s="12" t="s">
        <v>1897</v>
      </c>
      <c r="B355" s="12" t="s">
        <v>1903</v>
      </c>
      <c r="C355" s="37" t="s">
        <v>1904</v>
      </c>
      <c r="D355" s="12" t="s">
        <v>1905</v>
      </c>
      <c r="E355" s="12" t="s">
        <v>3412</v>
      </c>
      <c r="F355" s="12"/>
      <c r="G355" s="12"/>
      <c r="H355" s="12"/>
      <c r="I355" s="22" t="s">
        <v>3176</v>
      </c>
      <c r="J355" s="18" t="s">
        <v>3177</v>
      </c>
      <c r="K355" s="18"/>
      <c r="L355" s="18" t="s">
        <v>3178</v>
      </c>
      <c r="M355" s="13" t="e">
        <f>VLOOKUP(#REF!,#REF!, 5)</f>
        <v>#REF!</v>
      </c>
      <c r="N355" s="18" t="s">
        <v>18</v>
      </c>
      <c r="S355"/>
    </row>
    <row r="356" spans="1:19" ht="90.35" hidden="1" x14ac:dyDescent="0.2">
      <c r="A356" s="12" t="s">
        <v>1897</v>
      </c>
      <c r="B356" s="12" t="s">
        <v>1907</v>
      </c>
      <c r="C356" s="37" t="s">
        <v>1908</v>
      </c>
      <c r="D356" s="12" t="s">
        <v>1909</v>
      </c>
      <c r="E356" s="12" t="s">
        <v>3412</v>
      </c>
      <c r="F356" s="12"/>
      <c r="G356" s="12"/>
      <c r="H356" s="12"/>
      <c r="I356" s="22" t="s">
        <v>3179</v>
      </c>
      <c r="J356" s="22" t="s">
        <v>3180</v>
      </c>
      <c r="K356" s="19" t="s">
        <v>3181</v>
      </c>
      <c r="L356" s="18" t="s">
        <v>3182</v>
      </c>
      <c r="M356" s="13" t="e">
        <f>VLOOKUP(#REF!,#REF!, 5)</f>
        <v>#REF!</v>
      </c>
      <c r="N356" s="18" t="s">
        <v>18</v>
      </c>
      <c r="S356"/>
    </row>
    <row r="357" spans="1:19" ht="38.75" hidden="1" x14ac:dyDescent="0.2">
      <c r="A357" s="12" t="s">
        <v>1897</v>
      </c>
      <c r="B357" s="12" t="s">
        <v>1911</v>
      </c>
      <c r="C357" s="37" t="s">
        <v>1912</v>
      </c>
      <c r="D357" s="12" t="s">
        <v>1913</v>
      </c>
      <c r="E357" s="12" t="s">
        <v>3412</v>
      </c>
      <c r="F357" s="12"/>
      <c r="G357" s="12"/>
      <c r="H357" s="12"/>
      <c r="I357" s="22" t="s">
        <v>3173</v>
      </c>
      <c r="J357" s="18" t="s">
        <v>3184</v>
      </c>
      <c r="K357" s="18"/>
      <c r="L357" s="18" t="s">
        <v>3185</v>
      </c>
      <c r="M357" s="13" t="e">
        <f>VLOOKUP(#REF!,#REF!, 5)</f>
        <v>#REF!</v>
      </c>
      <c r="N357" s="18" t="s">
        <v>18</v>
      </c>
      <c r="S357"/>
    </row>
    <row r="358" spans="1:19" ht="64.55" x14ac:dyDescent="0.2">
      <c r="A358" s="12" t="s">
        <v>1915</v>
      </c>
      <c r="B358" s="12" t="s">
        <v>1916</v>
      </c>
      <c r="C358" s="37" t="s">
        <v>1917</v>
      </c>
      <c r="D358" s="12" t="s">
        <v>1918</v>
      </c>
      <c r="E358" s="12" t="s">
        <v>3414</v>
      </c>
      <c r="F358" s="12" t="s">
        <v>3676</v>
      </c>
      <c r="G358" s="37" t="s">
        <v>1917</v>
      </c>
      <c r="H358" s="12" t="s">
        <v>3672</v>
      </c>
      <c r="I358" s="56"/>
      <c r="J358" s="59"/>
      <c r="K358" s="59"/>
      <c r="L358" s="59" t="s">
        <v>3187</v>
      </c>
      <c r="M358" s="57"/>
      <c r="N358" s="18" t="s">
        <v>18</v>
      </c>
      <c r="S358"/>
    </row>
    <row r="359" spans="1:19" ht="90.35" hidden="1" x14ac:dyDescent="0.2">
      <c r="A359" s="12" t="s">
        <v>1920</v>
      </c>
      <c r="B359" s="12" t="s">
        <v>1921</v>
      </c>
      <c r="C359" s="37" t="s">
        <v>1922</v>
      </c>
      <c r="D359" s="12" t="s">
        <v>1923</v>
      </c>
      <c r="E359" s="12" t="s">
        <v>3412</v>
      </c>
      <c r="F359" s="12"/>
      <c r="G359" s="37"/>
      <c r="H359" s="12"/>
      <c r="I359" s="22" t="s">
        <v>3188</v>
      </c>
      <c r="J359" s="18" t="s">
        <v>3189</v>
      </c>
      <c r="K359" s="18"/>
      <c r="L359" s="18" t="s">
        <v>3190</v>
      </c>
      <c r="M359" s="13" t="e">
        <f>VLOOKUP(#REF!,#REF!, 5)</f>
        <v>#REF!</v>
      </c>
      <c r="N359" s="18" t="s">
        <v>18</v>
      </c>
      <c r="S359"/>
    </row>
    <row r="360" spans="1:19" ht="51.65" hidden="1" x14ac:dyDescent="0.2">
      <c r="A360" s="12" t="s">
        <v>1926</v>
      </c>
      <c r="B360" s="12" t="s">
        <v>1927</v>
      </c>
      <c r="C360" s="37" t="s">
        <v>1928</v>
      </c>
      <c r="D360" s="12" t="s">
        <v>1929</v>
      </c>
      <c r="E360" s="12" t="s">
        <v>3412</v>
      </c>
      <c r="F360" s="12"/>
      <c r="G360" s="12"/>
      <c r="H360" s="12"/>
      <c r="I360" s="22" t="s">
        <v>3191</v>
      </c>
      <c r="J360" s="18" t="s">
        <v>3186</v>
      </c>
      <c r="K360" s="18"/>
      <c r="L360" s="18" t="s">
        <v>3192</v>
      </c>
      <c r="M360" s="13" t="e">
        <f>VLOOKUP(#REF!,#REF!, 5)</f>
        <v>#REF!</v>
      </c>
      <c r="N360" s="18" t="s">
        <v>18</v>
      </c>
      <c r="S360"/>
    </row>
    <row r="361" spans="1:19" ht="51.65" hidden="1" x14ac:dyDescent="0.2">
      <c r="A361" s="12" t="s">
        <v>1926</v>
      </c>
      <c r="B361" s="12" t="s">
        <v>1932</v>
      </c>
      <c r="C361" s="37" t="s">
        <v>1933</v>
      </c>
      <c r="D361" s="12" t="s">
        <v>1934</v>
      </c>
      <c r="E361" s="12" t="s">
        <v>3412</v>
      </c>
      <c r="F361" s="12"/>
      <c r="G361" s="12"/>
      <c r="H361" s="12"/>
      <c r="I361" s="22" t="s">
        <v>3193</v>
      </c>
      <c r="J361" s="18" t="s">
        <v>3194</v>
      </c>
      <c r="K361" s="18"/>
      <c r="L361" s="18" t="s">
        <v>3195</v>
      </c>
      <c r="M361" s="13" t="e">
        <f>VLOOKUP(#REF!,#REF!, 5)</f>
        <v>#REF!</v>
      </c>
      <c r="N361" s="18" t="s">
        <v>18</v>
      </c>
      <c r="S361"/>
    </row>
    <row r="362" spans="1:19" ht="51.65" x14ac:dyDescent="0.2">
      <c r="A362" s="12" t="s">
        <v>1936</v>
      </c>
      <c r="B362" s="12" t="s">
        <v>1937</v>
      </c>
      <c r="C362" s="37" t="s">
        <v>1938</v>
      </c>
      <c r="D362" s="12" t="s">
        <v>1939</v>
      </c>
      <c r="E362" s="12" t="s">
        <v>3414</v>
      </c>
      <c r="F362" s="12" t="s">
        <v>3677</v>
      </c>
      <c r="G362" s="37" t="s">
        <v>1938</v>
      </c>
      <c r="H362" s="12" t="s">
        <v>3678</v>
      </c>
      <c r="I362" s="56"/>
      <c r="J362" s="59"/>
      <c r="K362" s="59"/>
      <c r="L362" s="59" t="s">
        <v>3197</v>
      </c>
      <c r="M362" s="57"/>
      <c r="N362" s="18" t="s">
        <v>18</v>
      </c>
      <c r="S362"/>
    </row>
    <row r="363" spans="1:19" ht="64.55" x14ac:dyDescent="0.2">
      <c r="A363" s="12" t="s">
        <v>1941</v>
      </c>
      <c r="B363" s="12" t="s">
        <v>1942</v>
      </c>
      <c r="C363" s="37" t="s">
        <v>1943</v>
      </c>
      <c r="D363" s="12" t="s">
        <v>1944</v>
      </c>
      <c r="E363" s="12" t="s">
        <v>3414</v>
      </c>
      <c r="F363" s="12" t="s">
        <v>3679</v>
      </c>
      <c r="G363" s="37" t="s">
        <v>3680</v>
      </c>
      <c r="H363" s="12" t="s">
        <v>3678</v>
      </c>
      <c r="I363" s="56"/>
      <c r="J363" s="59"/>
      <c r="K363" s="59"/>
      <c r="L363" s="59" t="s">
        <v>3198</v>
      </c>
      <c r="M363" s="57"/>
      <c r="N363" s="18" t="s">
        <v>18</v>
      </c>
      <c r="S363"/>
    </row>
    <row r="364" spans="1:19" ht="64.55" hidden="1" x14ac:dyDescent="0.2">
      <c r="A364" s="12" t="s">
        <v>1946</v>
      </c>
      <c r="B364" s="12" t="s">
        <v>1947</v>
      </c>
      <c r="C364" s="37" t="s">
        <v>1948</v>
      </c>
      <c r="D364" s="12" t="s">
        <v>1949</v>
      </c>
      <c r="E364" s="12" t="s">
        <v>3412</v>
      </c>
      <c r="F364" s="12"/>
      <c r="G364" s="12"/>
      <c r="H364" s="12"/>
      <c r="I364" s="22" t="s">
        <v>3199</v>
      </c>
      <c r="J364" s="18" t="s">
        <v>3200</v>
      </c>
      <c r="K364" s="18"/>
      <c r="L364" s="18" t="s">
        <v>3201</v>
      </c>
      <c r="M364" s="13" t="e">
        <f>VLOOKUP(#REF!,#REF!, 5)</f>
        <v>#REF!</v>
      </c>
      <c r="N364" s="18" t="s">
        <v>18</v>
      </c>
      <c r="S364"/>
    </row>
    <row r="365" spans="1:19" ht="90.35" hidden="1" x14ac:dyDescent="0.2">
      <c r="A365" s="12" t="s">
        <v>1946</v>
      </c>
      <c r="B365" s="12" t="s">
        <v>1952</v>
      </c>
      <c r="C365" s="37" t="s">
        <v>1953</v>
      </c>
      <c r="D365" s="12" t="s">
        <v>1954</v>
      </c>
      <c r="E365" s="12" t="s">
        <v>3412</v>
      </c>
      <c r="F365" s="12"/>
      <c r="G365" s="12"/>
      <c r="H365" s="12"/>
      <c r="I365" s="22" t="s">
        <v>2345</v>
      </c>
      <c r="J365" s="18" t="s">
        <v>3202</v>
      </c>
      <c r="K365" s="18"/>
      <c r="L365" s="18" t="s">
        <v>3203</v>
      </c>
      <c r="M365" s="13" t="e">
        <f>VLOOKUP(#REF!,#REF!, 5)</f>
        <v>#REF!</v>
      </c>
      <c r="N365" s="18" t="s">
        <v>18</v>
      </c>
      <c r="S365"/>
    </row>
    <row r="366" spans="1:19" ht="154.9" hidden="1" x14ac:dyDescent="0.2">
      <c r="A366" s="12" t="s">
        <v>1946</v>
      </c>
      <c r="B366" s="12" t="s">
        <v>1955</v>
      </c>
      <c r="C366" s="37" t="s">
        <v>1956</v>
      </c>
      <c r="D366" s="12" t="s">
        <v>3204</v>
      </c>
      <c r="E366" s="12" t="s">
        <v>3412</v>
      </c>
      <c r="F366" s="12"/>
      <c r="G366" s="12"/>
      <c r="H366" s="12"/>
      <c r="I366" s="22" t="s">
        <v>3205</v>
      </c>
      <c r="J366" s="18" t="s">
        <v>3206</v>
      </c>
      <c r="K366" s="18"/>
      <c r="L366" s="18" t="s">
        <v>3207</v>
      </c>
      <c r="M366" s="13" t="e">
        <f>VLOOKUP(#REF!,#REF!, 5)</f>
        <v>#REF!</v>
      </c>
      <c r="N366" s="18" t="s">
        <v>18</v>
      </c>
      <c r="S366"/>
    </row>
    <row r="367" spans="1:19" ht="51.65" x14ac:dyDescent="0.2">
      <c r="A367" s="12" t="s">
        <v>1959</v>
      </c>
      <c r="B367" s="12" t="s">
        <v>1960</v>
      </c>
      <c r="C367" s="37" t="s">
        <v>1961</v>
      </c>
      <c r="D367" s="12" t="s">
        <v>1962</v>
      </c>
      <c r="E367" s="12" t="s">
        <v>3414</v>
      </c>
      <c r="F367" s="12" t="s">
        <v>3681</v>
      </c>
      <c r="G367" s="37" t="s">
        <v>1961</v>
      </c>
      <c r="H367" s="12" t="s">
        <v>3682</v>
      </c>
      <c r="I367" s="56"/>
      <c r="J367" s="59"/>
      <c r="K367" s="59"/>
      <c r="L367" s="59" t="s">
        <v>3210</v>
      </c>
      <c r="M367" s="57"/>
      <c r="N367" s="18" t="s">
        <v>18</v>
      </c>
      <c r="S367"/>
    </row>
    <row r="368" spans="1:19" ht="25.85" x14ac:dyDescent="0.2">
      <c r="A368" s="12" t="s">
        <v>1965</v>
      </c>
      <c r="B368" s="12" t="s">
        <v>1966</v>
      </c>
      <c r="C368" s="37" t="s">
        <v>1967</v>
      </c>
      <c r="D368" s="12" t="s">
        <v>1968</v>
      </c>
      <c r="E368" s="12" t="s">
        <v>3414</v>
      </c>
      <c r="F368" s="12" t="s">
        <v>3683</v>
      </c>
      <c r="G368" s="37" t="s">
        <v>3684</v>
      </c>
      <c r="H368" s="12" t="s">
        <v>3653</v>
      </c>
      <c r="I368" s="56"/>
      <c r="J368" s="59"/>
      <c r="K368" s="59"/>
      <c r="L368" s="59" t="s">
        <v>3213</v>
      </c>
      <c r="M368" s="57"/>
      <c r="N368" s="18" t="s">
        <v>18</v>
      </c>
      <c r="S368"/>
    </row>
    <row r="369" spans="1:19" ht="38.75" x14ac:dyDescent="0.2">
      <c r="A369" s="12" t="s">
        <v>1965</v>
      </c>
      <c r="B369" s="12" t="s">
        <v>1971</v>
      </c>
      <c r="C369" s="37" t="s">
        <v>1972</v>
      </c>
      <c r="D369" s="12" t="s">
        <v>1973</v>
      </c>
      <c r="E369" s="12" t="s">
        <v>3414</v>
      </c>
      <c r="F369" s="12" t="s">
        <v>3685</v>
      </c>
      <c r="G369" s="37" t="s">
        <v>3686</v>
      </c>
      <c r="H369" s="12" t="s">
        <v>3653</v>
      </c>
      <c r="I369" s="56"/>
      <c r="J369" s="59"/>
      <c r="K369" s="59"/>
      <c r="L369" s="59" t="s">
        <v>3216</v>
      </c>
      <c r="M369" s="57"/>
      <c r="N369" s="18" t="s">
        <v>18</v>
      </c>
      <c r="S369"/>
    </row>
    <row r="370" spans="1:19" ht="25.85" x14ac:dyDescent="0.2">
      <c r="A370" s="12" t="s">
        <v>1975</v>
      </c>
      <c r="B370" s="12" t="s">
        <v>1976</v>
      </c>
      <c r="C370" s="37" t="s">
        <v>1977</v>
      </c>
      <c r="D370" s="12" t="s">
        <v>1978</v>
      </c>
      <c r="E370" s="12" t="s">
        <v>3414</v>
      </c>
      <c r="F370" s="12" t="s">
        <v>3687</v>
      </c>
      <c r="G370" s="37" t="s">
        <v>3688</v>
      </c>
      <c r="H370" s="12" t="s">
        <v>3653</v>
      </c>
      <c r="I370" s="56"/>
      <c r="J370" s="59"/>
      <c r="K370" s="61"/>
      <c r="L370" s="59" t="s">
        <v>3220</v>
      </c>
      <c r="M370" s="57"/>
      <c r="N370" s="18" t="s">
        <v>18</v>
      </c>
      <c r="S370"/>
    </row>
    <row r="371" spans="1:19" ht="25.85" x14ac:dyDescent="0.2">
      <c r="A371" s="12" t="s">
        <v>1975</v>
      </c>
      <c r="B371" s="12" t="s">
        <v>1981</v>
      </c>
      <c r="C371" s="37" t="s">
        <v>1982</v>
      </c>
      <c r="D371" s="12" t="s">
        <v>1983</v>
      </c>
      <c r="E371" s="12" t="s">
        <v>3414</v>
      </c>
      <c r="F371" s="12" t="s">
        <v>3689</v>
      </c>
      <c r="G371" s="37" t="s">
        <v>3690</v>
      </c>
      <c r="H371" s="12" t="s">
        <v>3653</v>
      </c>
      <c r="I371" s="56"/>
      <c r="J371" s="59"/>
      <c r="K371" s="61"/>
      <c r="L371" s="59" t="s">
        <v>3225</v>
      </c>
      <c r="M371" s="57"/>
      <c r="N371" s="18" t="s">
        <v>18</v>
      </c>
      <c r="S371"/>
    </row>
    <row r="372" spans="1:19" ht="232.3" hidden="1" x14ac:dyDescent="0.2">
      <c r="A372" s="12" t="s">
        <v>1985</v>
      </c>
      <c r="B372" s="12" t="s">
        <v>1986</v>
      </c>
      <c r="C372" s="37" t="s">
        <v>1987</v>
      </c>
      <c r="D372" s="12" t="s">
        <v>1988</v>
      </c>
      <c r="E372" s="12" t="s">
        <v>3412</v>
      </c>
      <c r="F372" s="12"/>
      <c r="G372" s="12"/>
      <c r="H372" s="12"/>
      <c r="I372" s="22" t="s">
        <v>3129</v>
      </c>
      <c r="J372" s="19" t="s">
        <v>3227</v>
      </c>
      <c r="K372" s="18" t="s">
        <v>3228</v>
      </c>
      <c r="L372" s="18" t="s">
        <v>3229</v>
      </c>
      <c r="M372" s="13" t="e">
        <f>VLOOKUP(#REF!,#REF!, 5)</f>
        <v>#REF!</v>
      </c>
      <c r="N372" s="18" t="s">
        <v>18</v>
      </c>
      <c r="S372"/>
    </row>
    <row r="373" spans="1:19" ht="64.55" hidden="1" x14ac:dyDescent="0.2">
      <c r="A373" s="12" t="s">
        <v>1985</v>
      </c>
      <c r="B373" s="12" t="s">
        <v>1991</v>
      </c>
      <c r="C373" s="37" t="s">
        <v>1992</v>
      </c>
      <c r="D373" s="12" t="s">
        <v>1993</v>
      </c>
      <c r="E373" s="12" t="s">
        <v>3412</v>
      </c>
      <c r="F373" s="12"/>
      <c r="G373" s="12"/>
      <c r="H373" s="12"/>
      <c r="I373" s="22" t="s">
        <v>3231</v>
      </c>
      <c r="J373" s="18" t="s">
        <v>3232</v>
      </c>
      <c r="K373" s="18"/>
      <c r="L373" s="18" t="s">
        <v>3233</v>
      </c>
      <c r="M373" s="13" t="e">
        <f>VLOOKUP(#REF!,#REF!, 5)</f>
        <v>#REF!</v>
      </c>
      <c r="N373" s="18" t="s">
        <v>18</v>
      </c>
      <c r="S373"/>
    </row>
    <row r="374" spans="1:19" ht="335.55" hidden="1" x14ac:dyDescent="0.2">
      <c r="A374" s="12" t="s">
        <v>1995</v>
      </c>
      <c r="B374" s="12" t="s">
        <v>1996</v>
      </c>
      <c r="C374" s="37" t="s">
        <v>1997</v>
      </c>
      <c r="D374" s="12" t="s">
        <v>1998</v>
      </c>
      <c r="E374" s="12" t="s">
        <v>3412</v>
      </c>
      <c r="F374" s="12"/>
      <c r="G374" s="12"/>
      <c r="H374" s="12"/>
      <c r="I374" s="22" t="s">
        <v>3234</v>
      </c>
      <c r="J374" s="18" t="s">
        <v>3235</v>
      </c>
      <c r="K374" s="18"/>
      <c r="L374" s="18" t="s">
        <v>3236</v>
      </c>
      <c r="M374" s="13" t="e">
        <f>VLOOKUP(#REF!,#REF!, 5)</f>
        <v>#REF!</v>
      </c>
      <c r="N374" s="18" t="s">
        <v>18</v>
      </c>
      <c r="S374"/>
    </row>
    <row r="375" spans="1:19" ht="38.75" x14ac:dyDescent="0.2">
      <c r="A375" s="12" t="s">
        <v>2001</v>
      </c>
      <c r="B375" s="12" t="s">
        <v>2002</v>
      </c>
      <c r="C375" s="37" t="s">
        <v>2003</v>
      </c>
      <c r="D375" s="12" t="s">
        <v>2004</v>
      </c>
      <c r="E375" s="12" t="s">
        <v>3414</v>
      </c>
      <c r="F375" s="12" t="s">
        <v>3691</v>
      </c>
      <c r="G375" s="37" t="s">
        <v>2003</v>
      </c>
      <c r="H375" s="12" t="s">
        <v>3692</v>
      </c>
      <c r="I375" s="56"/>
      <c r="J375" s="61"/>
      <c r="K375" s="59"/>
      <c r="L375" s="59" t="s">
        <v>3239</v>
      </c>
      <c r="M375" s="57"/>
      <c r="N375" s="18" t="s">
        <v>18</v>
      </c>
      <c r="S375"/>
    </row>
    <row r="376" spans="1:19" ht="90.35" hidden="1" x14ac:dyDescent="0.2">
      <c r="A376" s="12" t="s">
        <v>2006</v>
      </c>
      <c r="B376" s="12" t="s">
        <v>2007</v>
      </c>
      <c r="C376" s="37" t="s">
        <v>2008</v>
      </c>
      <c r="D376" s="12" t="s">
        <v>2009</v>
      </c>
      <c r="E376" s="12" t="s">
        <v>3412</v>
      </c>
      <c r="F376" s="12"/>
      <c r="G376" s="12"/>
      <c r="H376" s="12"/>
      <c r="I376" s="22" t="s">
        <v>3240</v>
      </c>
      <c r="J376" s="18" t="s">
        <v>3241</v>
      </c>
      <c r="K376" s="18"/>
      <c r="L376" s="18" t="s">
        <v>3242</v>
      </c>
      <c r="M376" s="13" t="e">
        <f>VLOOKUP(#REF!,#REF!, 5)</f>
        <v>#REF!</v>
      </c>
      <c r="N376" s="18" t="s">
        <v>18</v>
      </c>
      <c r="S376"/>
    </row>
    <row r="377" spans="1:19" ht="180.7" hidden="1" x14ac:dyDescent="0.2">
      <c r="A377" s="12" t="s">
        <v>2011</v>
      </c>
      <c r="B377" s="12" t="s">
        <v>2012</v>
      </c>
      <c r="C377" s="37" t="s">
        <v>2013</v>
      </c>
      <c r="D377" s="12" t="s">
        <v>2014</v>
      </c>
      <c r="E377" s="12" t="s">
        <v>3412</v>
      </c>
      <c r="F377" s="12"/>
      <c r="G377" s="12"/>
      <c r="H377" s="12"/>
      <c r="I377" s="22" t="s">
        <v>3243</v>
      </c>
      <c r="J377" s="18" t="s">
        <v>3244</v>
      </c>
      <c r="K377" s="18"/>
      <c r="L377" s="18" t="s">
        <v>3245</v>
      </c>
      <c r="M377" s="13" t="e">
        <f>VLOOKUP(#REF!,#REF!, 5)</f>
        <v>#REF!</v>
      </c>
      <c r="N377" s="18" t="s">
        <v>18</v>
      </c>
      <c r="S377"/>
    </row>
    <row r="378" spans="1:19" ht="51.65" x14ac:dyDescent="0.2">
      <c r="A378" s="12" t="s">
        <v>2017</v>
      </c>
      <c r="B378" s="12" t="s">
        <v>2018</v>
      </c>
      <c r="C378" s="37" t="s">
        <v>2019</v>
      </c>
      <c r="D378" s="12" t="s">
        <v>3693</v>
      </c>
      <c r="E378" s="12" t="s">
        <v>3414</v>
      </c>
      <c r="F378" s="12" t="s">
        <v>3694</v>
      </c>
      <c r="G378" s="37" t="s">
        <v>3695</v>
      </c>
      <c r="H378" s="12" t="s">
        <v>3696</v>
      </c>
      <c r="I378" s="56"/>
      <c r="J378" s="59"/>
      <c r="K378" s="59"/>
      <c r="L378" s="59" t="s">
        <v>3248</v>
      </c>
      <c r="M378" s="57"/>
      <c r="N378" s="18" t="s">
        <v>18</v>
      </c>
      <c r="S378"/>
    </row>
    <row r="379" spans="1:19" ht="38.75" x14ac:dyDescent="0.2">
      <c r="A379" s="12" t="s">
        <v>2022</v>
      </c>
      <c r="B379" s="12" t="s">
        <v>2023</v>
      </c>
      <c r="C379" s="37" t="s">
        <v>2024</v>
      </c>
      <c r="D379" s="12" t="s">
        <v>2025</v>
      </c>
      <c r="E379" s="12" t="s">
        <v>3414</v>
      </c>
      <c r="F379" s="12" t="s">
        <v>3697</v>
      </c>
      <c r="G379" s="37" t="s">
        <v>3698</v>
      </c>
      <c r="H379" s="12" t="s">
        <v>3696</v>
      </c>
      <c r="I379" s="56"/>
      <c r="J379" s="59"/>
      <c r="K379" s="59"/>
      <c r="L379" s="59" t="s">
        <v>3250</v>
      </c>
      <c r="M379" s="57"/>
      <c r="N379" s="18" t="s">
        <v>18</v>
      </c>
      <c r="S379"/>
    </row>
    <row r="380" spans="1:19" ht="77.45" hidden="1" x14ac:dyDescent="0.2">
      <c r="A380" s="12" t="s">
        <v>2028</v>
      </c>
      <c r="B380" s="12" t="s">
        <v>2029</v>
      </c>
      <c r="C380" s="37" t="s">
        <v>2030</v>
      </c>
      <c r="D380" s="12" t="s">
        <v>2031</v>
      </c>
      <c r="E380" s="12" t="s">
        <v>3412</v>
      </c>
      <c r="F380" s="12"/>
      <c r="G380" s="12"/>
      <c r="H380" s="12"/>
      <c r="I380" s="22" t="s">
        <v>3246</v>
      </c>
      <c r="J380" s="18" t="s">
        <v>3247</v>
      </c>
      <c r="K380" s="18"/>
      <c r="L380" s="18" t="s">
        <v>3251</v>
      </c>
      <c r="M380" s="13" t="e">
        <f>VLOOKUP(#REF!,#REF!, 5)</f>
        <v>#REF!</v>
      </c>
      <c r="N380" s="18" t="s">
        <v>18</v>
      </c>
      <c r="S380"/>
    </row>
    <row r="381" spans="1:19" ht="103.25" hidden="1" x14ac:dyDescent="0.2">
      <c r="A381" s="12" t="s">
        <v>2034</v>
      </c>
      <c r="B381" s="12" t="s">
        <v>2035</v>
      </c>
      <c r="C381" s="37" t="s">
        <v>2036</v>
      </c>
      <c r="D381" s="12" t="s">
        <v>2037</v>
      </c>
      <c r="E381" s="12" t="s">
        <v>3412</v>
      </c>
      <c r="F381" s="12"/>
      <c r="G381" s="12"/>
      <c r="H381" s="12"/>
      <c r="I381" s="22" t="s">
        <v>3252</v>
      </c>
      <c r="J381" s="18" t="s">
        <v>3253</v>
      </c>
      <c r="K381" s="18"/>
      <c r="L381" s="18" t="s">
        <v>3254</v>
      </c>
      <c r="M381" s="13" t="e">
        <f>VLOOKUP(#REF!,#REF!, 5)</f>
        <v>#REF!</v>
      </c>
      <c r="N381" s="18" t="s">
        <v>18</v>
      </c>
      <c r="S381"/>
    </row>
    <row r="382" spans="1:19" ht="374.3" hidden="1" x14ac:dyDescent="0.2">
      <c r="A382" s="12" t="s">
        <v>2040</v>
      </c>
      <c r="B382" s="12" t="s">
        <v>2041</v>
      </c>
      <c r="C382" s="37" t="s">
        <v>2042</v>
      </c>
      <c r="D382" s="12" t="s">
        <v>2043</v>
      </c>
      <c r="E382" s="12" t="s">
        <v>3412</v>
      </c>
      <c r="F382" s="12"/>
      <c r="G382" s="12"/>
      <c r="H382" s="12"/>
      <c r="I382" s="22" t="s">
        <v>3255</v>
      </c>
      <c r="J382" s="18" t="s">
        <v>3256</v>
      </c>
      <c r="K382" s="18"/>
      <c r="L382" s="18" t="s">
        <v>3257</v>
      </c>
      <c r="M382" s="13" t="e">
        <f>VLOOKUP(#REF!,#REF!, 5)</f>
        <v>#REF!</v>
      </c>
      <c r="N382" s="18" t="s">
        <v>18</v>
      </c>
      <c r="S382"/>
    </row>
    <row r="383" spans="1:19" ht="77.45" hidden="1" x14ac:dyDescent="0.2">
      <c r="A383" s="12" t="s">
        <v>2040</v>
      </c>
      <c r="B383" s="12" t="s">
        <v>2046</v>
      </c>
      <c r="C383" s="37" t="s">
        <v>2047</v>
      </c>
      <c r="D383" s="12" t="s">
        <v>2048</v>
      </c>
      <c r="E383" s="12" t="s">
        <v>3412</v>
      </c>
      <c r="F383" s="12"/>
      <c r="G383" s="12"/>
      <c r="H383" s="12"/>
      <c r="I383" s="22" t="s">
        <v>3258</v>
      </c>
      <c r="J383" s="18" t="s">
        <v>3259</v>
      </c>
      <c r="K383" s="18" t="s">
        <v>3260</v>
      </c>
      <c r="L383" s="18" t="s">
        <v>3261</v>
      </c>
      <c r="M383" s="13" t="e">
        <f>VLOOKUP(#REF!,#REF!, 5)</f>
        <v>#REF!</v>
      </c>
      <c r="N383" s="18" t="s">
        <v>18</v>
      </c>
      <c r="S383"/>
    </row>
    <row r="384" spans="1:19" ht="180.7" hidden="1" x14ac:dyDescent="0.2">
      <c r="A384" s="12" t="s">
        <v>2050</v>
      </c>
      <c r="B384" s="12" t="s">
        <v>2051</v>
      </c>
      <c r="C384" s="37" t="s">
        <v>2052</v>
      </c>
      <c r="D384" s="12" t="s">
        <v>3263</v>
      </c>
      <c r="E384" s="12" t="s">
        <v>3412</v>
      </c>
      <c r="F384" s="12"/>
      <c r="G384" s="37"/>
      <c r="H384" s="12"/>
      <c r="I384" s="22" t="s">
        <v>3264</v>
      </c>
      <c r="J384" s="18" t="s">
        <v>3265</v>
      </c>
      <c r="K384" s="18"/>
      <c r="L384" s="18" t="s">
        <v>3266</v>
      </c>
      <c r="M384" s="13" t="e">
        <f>VLOOKUP(#REF!,#REF!, 5)</f>
        <v>#REF!</v>
      </c>
      <c r="N384" s="18" t="s">
        <v>18</v>
      </c>
      <c r="S384"/>
    </row>
    <row r="385" spans="1:19" ht="180.7" hidden="1" x14ac:dyDescent="0.2">
      <c r="A385" s="12" t="s">
        <v>2050</v>
      </c>
      <c r="B385" s="12" t="s">
        <v>2056</v>
      </c>
      <c r="C385" s="37" t="s">
        <v>2057</v>
      </c>
      <c r="D385" s="12" t="s">
        <v>2058</v>
      </c>
      <c r="E385" s="12" t="s">
        <v>3412</v>
      </c>
      <c r="F385" s="12"/>
      <c r="G385" s="12"/>
      <c r="H385" s="12"/>
      <c r="I385" s="22" t="s">
        <v>3267</v>
      </c>
      <c r="J385" s="18" t="s">
        <v>3268</v>
      </c>
      <c r="K385" s="18" t="s">
        <v>3269</v>
      </c>
      <c r="L385" s="18" t="s">
        <v>3270</v>
      </c>
      <c r="M385" s="13" t="e">
        <f>VLOOKUP(#REF!,#REF!, 5)</f>
        <v>#REF!</v>
      </c>
      <c r="N385" s="18" t="s">
        <v>18</v>
      </c>
      <c r="S385"/>
    </row>
    <row r="386" spans="1:19" ht="51.65" hidden="1" x14ac:dyDescent="0.2">
      <c r="A386" s="12" t="s">
        <v>2059</v>
      </c>
      <c r="B386" s="12" t="s">
        <v>2060</v>
      </c>
      <c r="C386" s="37" t="s">
        <v>2061</v>
      </c>
      <c r="D386" s="12" t="s">
        <v>2062</v>
      </c>
      <c r="E386" s="12" t="s">
        <v>3412</v>
      </c>
      <c r="F386" s="12"/>
      <c r="G386" s="12"/>
      <c r="H386" s="12"/>
      <c r="I386" s="22" t="s">
        <v>3272</v>
      </c>
      <c r="J386" s="18" t="s">
        <v>3273</v>
      </c>
      <c r="K386" s="18"/>
      <c r="L386" s="18" t="s">
        <v>3274</v>
      </c>
      <c r="M386" s="13" t="e">
        <f>VLOOKUP(#REF!,#REF!, 5)</f>
        <v>#REF!</v>
      </c>
      <c r="N386" s="18" t="s">
        <v>18</v>
      </c>
      <c r="S386"/>
    </row>
    <row r="387" spans="1:19" ht="38.75" hidden="1" x14ac:dyDescent="0.2">
      <c r="A387" s="12" t="s">
        <v>2065</v>
      </c>
      <c r="B387" s="12" t="s">
        <v>2066</v>
      </c>
      <c r="C387" s="37" t="s">
        <v>2067</v>
      </c>
      <c r="D387" s="12" t="s">
        <v>2068</v>
      </c>
      <c r="E387" s="12" t="s">
        <v>3412</v>
      </c>
      <c r="F387" s="12"/>
      <c r="G387" s="12"/>
      <c r="H387" s="12"/>
      <c r="I387" s="22" t="s">
        <v>3275</v>
      </c>
      <c r="J387" s="18" t="s">
        <v>3276</v>
      </c>
      <c r="K387" s="18"/>
      <c r="L387" s="18" t="s">
        <v>3277</v>
      </c>
      <c r="M387" s="13" t="e">
        <f>VLOOKUP(#REF!,#REF!, 5)</f>
        <v>#REF!</v>
      </c>
      <c r="N387" s="18" t="s">
        <v>18</v>
      </c>
      <c r="S387"/>
    </row>
    <row r="388" spans="1:19" ht="103.25" hidden="1" x14ac:dyDescent="0.2">
      <c r="A388" s="12" t="s">
        <v>2071</v>
      </c>
      <c r="B388" s="12" t="s">
        <v>2072</v>
      </c>
      <c r="C388" s="37" t="s">
        <v>2073</v>
      </c>
      <c r="D388" s="12" t="s">
        <v>2074</v>
      </c>
      <c r="E388" s="12" t="s">
        <v>3412</v>
      </c>
      <c r="F388" s="12"/>
      <c r="G388" s="12"/>
      <c r="H388" s="12"/>
      <c r="I388" s="22" t="s">
        <v>3278</v>
      </c>
      <c r="J388" s="18" t="s">
        <v>3279</v>
      </c>
      <c r="K388" s="18"/>
      <c r="L388" s="18" t="s">
        <v>3280</v>
      </c>
      <c r="M388" s="13" t="e">
        <f>VLOOKUP(#REF!,#REF!, 5)</f>
        <v>#REF!</v>
      </c>
      <c r="N388" s="18" t="s">
        <v>18</v>
      </c>
      <c r="S388"/>
    </row>
    <row r="389" spans="1:19" ht="271.05" hidden="1" x14ac:dyDescent="0.2">
      <c r="A389" s="12" t="s">
        <v>2071</v>
      </c>
      <c r="B389" s="12" t="s">
        <v>2077</v>
      </c>
      <c r="C389" s="37" t="s">
        <v>2078</v>
      </c>
      <c r="D389" s="12" t="s">
        <v>2079</v>
      </c>
      <c r="E389" s="12" t="s">
        <v>3412</v>
      </c>
      <c r="F389" s="12"/>
      <c r="G389" s="12"/>
      <c r="H389" s="12"/>
      <c r="I389" s="22" t="s">
        <v>3281</v>
      </c>
      <c r="J389" s="18" t="s">
        <v>3282</v>
      </c>
      <c r="K389" s="18"/>
      <c r="L389" s="18" t="s">
        <v>3283</v>
      </c>
      <c r="M389" s="13" t="e">
        <f>VLOOKUP(#REF!,#REF!, 5)</f>
        <v>#REF!</v>
      </c>
      <c r="N389" s="18" t="s">
        <v>18</v>
      </c>
      <c r="S389"/>
    </row>
    <row r="390" spans="1:19" ht="38.75" hidden="1" x14ac:dyDescent="0.2">
      <c r="A390" s="12" t="s">
        <v>2071</v>
      </c>
      <c r="B390" s="12" t="s">
        <v>2081</v>
      </c>
      <c r="C390" s="37" t="s">
        <v>2082</v>
      </c>
      <c r="D390" s="12" t="s">
        <v>2083</v>
      </c>
      <c r="E390" s="12" t="s">
        <v>3412</v>
      </c>
      <c r="F390" s="12"/>
      <c r="G390" s="12"/>
      <c r="H390" s="12"/>
      <c r="I390" s="22" t="s">
        <v>3284</v>
      </c>
      <c r="J390" s="18" t="s">
        <v>3285</v>
      </c>
      <c r="K390" s="18"/>
      <c r="L390" s="18" t="s">
        <v>3286</v>
      </c>
      <c r="M390" s="13" t="e">
        <f>VLOOKUP(#REF!,#REF!, 5)</f>
        <v>#REF!</v>
      </c>
      <c r="N390" s="18" t="s">
        <v>18</v>
      </c>
      <c r="S390"/>
    </row>
    <row r="391" spans="1:19" ht="387.2" hidden="1" x14ac:dyDescent="0.2">
      <c r="A391" s="12" t="s">
        <v>2085</v>
      </c>
      <c r="B391" s="12" t="s">
        <v>2086</v>
      </c>
      <c r="C391" s="37" t="s">
        <v>680</v>
      </c>
      <c r="D391" s="12" t="s">
        <v>3287</v>
      </c>
      <c r="E391" s="12" t="s">
        <v>3412</v>
      </c>
      <c r="F391" s="12"/>
      <c r="G391" s="12"/>
      <c r="H391" s="12"/>
      <c r="I391" s="22" t="s">
        <v>2644</v>
      </c>
      <c r="J391" s="18" t="s">
        <v>3289</v>
      </c>
      <c r="K391" s="19" t="s">
        <v>3290</v>
      </c>
      <c r="L391" s="18"/>
      <c r="M391" s="13" t="e">
        <f>VLOOKUP(#REF!,#REF!, 5)</f>
        <v>#REF!</v>
      </c>
      <c r="N391" s="18" t="s">
        <v>18</v>
      </c>
      <c r="S391"/>
    </row>
    <row r="392" spans="1:19" ht="51.65" hidden="1" x14ac:dyDescent="0.2">
      <c r="A392" s="12" t="s">
        <v>2089</v>
      </c>
      <c r="B392" s="12" t="s">
        <v>2090</v>
      </c>
      <c r="C392" s="37" t="s">
        <v>2091</v>
      </c>
      <c r="D392" s="12" t="s">
        <v>2092</v>
      </c>
      <c r="E392" s="12" t="s">
        <v>3412</v>
      </c>
      <c r="F392" s="12"/>
      <c r="G392" s="12"/>
      <c r="H392" s="12"/>
      <c r="I392" s="22" t="s">
        <v>3292</v>
      </c>
      <c r="J392" s="18" t="s">
        <v>3293</v>
      </c>
      <c r="K392" s="18"/>
      <c r="L392" s="18" t="s">
        <v>3294</v>
      </c>
      <c r="M392" s="13" t="e">
        <f>VLOOKUP(#REF!,#REF!, 5)</f>
        <v>#REF!</v>
      </c>
      <c r="N392" s="18" t="s">
        <v>18</v>
      </c>
      <c r="S392"/>
    </row>
    <row r="393" spans="1:19" ht="77.45" hidden="1" x14ac:dyDescent="0.2">
      <c r="A393" s="12" t="s">
        <v>2089</v>
      </c>
      <c r="B393" s="12" t="s">
        <v>2095</v>
      </c>
      <c r="C393" s="37" t="s">
        <v>2096</v>
      </c>
      <c r="D393" s="12" t="s">
        <v>2097</v>
      </c>
      <c r="E393" s="12" t="s">
        <v>3412</v>
      </c>
      <c r="F393" s="12"/>
      <c r="G393" s="12"/>
      <c r="H393" s="12"/>
      <c r="I393" s="22" t="s">
        <v>3292</v>
      </c>
      <c r="J393" s="18" t="s">
        <v>3295</v>
      </c>
      <c r="K393" s="18"/>
      <c r="L393" s="18" t="s">
        <v>3296</v>
      </c>
      <c r="M393" s="13" t="e">
        <f>VLOOKUP(#REF!,#REF!, 5)</f>
        <v>#REF!</v>
      </c>
      <c r="N393" s="18" t="s">
        <v>18</v>
      </c>
      <c r="S393"/>
    </row>
    <row r="394" spans="1:19" ht="64.55" hidden="1" x14ac:dyDescent="0.2">
      <c r="A394" s="12" t="s">
        <v>2089</v>
      </c>
      <c r="B394" s="12" t="s">
        <v>2099</v>
      </c>
      <c r="C394" s="37" t="s">
        <v>2100</v>
      </c>
      <c r="D394" s="12" t="s">
        <v>2101</v>
      </c>
      <c r="E394" s="12" t="s">
        <v>3412</v>
      </c>
      <c r="F394" s="12"/>
      <c r="G394" s="12"/>
      <c r="H394" s="12"/>
      <c r="I394" s="22" t="s">
        <v>3292</v>
      </c>
      <c r="J394" s="18" t="s">
        <v>3297</v>
      </c>
      <c r="K394" s="18"/>
      <c r="L394" s="18" t="s">
        <v>3298</v>
      </c>
      <c r="M394" s="13" t="e">
        <f>VLOOKUP(#REF!,#REF!, 5)</f>
        <v>#REF!</v>
      </c>
      <c r="N394" s="18" t="s">
        <v>18</v>
      </c>
      <c r="S394"/>
    </row>
    <row r="395" spans="1:19" ht="142" hidden="1" x14ac:dyDescent="0.2">
      <c r="A395" s="12" t="s">
        <v>2103</v>
      </c>
      <c r="B395" s="12" t="s">
        <v>2104</v>
      </c>
      <c r="C395" s="37" t="s">
        <v>2105</v>
      </c>
      <c r="D395" s="12" t="s">
        <v>3299</v>
      </c>
      <c r="E395" s="12" t="s">
        <v>3412</v>
      </c>
      <c r="F395" s="12"/>
      <c r="G395" s="12"/>
      <c r="H395" s="12"/>
      <c r="I395" s="22" t="s">
        <v>3300</v>
      </c>
      <c r="J395" s="18" t="s">
        <v>3301</v>
      </c>
      <c r="K395" s="18"/>
      <c r="L395" s="18" t="s">
        <v>3302</v>
      </c>
      <c r="M395" s="13" t="e">
        <f>VLOOKUP(#REF!,#REF!, 5)</f>
        <v>#REF!</v>
      </c>
      <c r="N395" s="18" t="s">
        <v>18</v>
      </c>
      <c r="S395"/>
    </row>
    <row r="396" spans="1:19" ht="245.25" hidden="1" x14ac:dyDescent="0.2">
      <c r="A396" s="12" t="s">
        <v>2109</v>
      </c>
      <c r="B396" s="12" t="s">
        <v>2110</v>
      </c>
      <c r="C396" s="37" t="s">
        <v>2111</v>
      </c>
      <c r="D396" s="12" t="s">
        <v>2112</v>
      </c>
      <c r="E396" s="12" t="s">
        <v>3412</v>
      </c>
      <c r="F396" s="12"/>
      <c r="G396" s="12"/>
      <c r="H396" s="12"/>
      <c r="I396" s="22" t="s">
        <v>2495</v>
      </c>
      <c r="J396" s="18" t="s">
        <v>3303</v>
      </c>
      <c r="K396" s="18"/>
      <c r="L396" s="18" t="s">
        <v>3304</v>
      </c>
      <c r="M396" s="13" t="e">
        <f>VLOOKUP(#REF!,#REF!, 5)</f>
        <v>#REF!</v>
      </c>
      <c r="N396" s="18" t="s">
        <v>18</v>
      </c>
      <c r="S396"/>
    </row>
    <row r="397" spans="1:19" ht="51.65" x14ac:dyDescent="0.2">
      <c r="A397" s="12" t="s">
        <v>2109</v>
      </c>
      <c r="B397" s="12" t="s">
        <v>2115</v>
      </c>
      <c r="C397" s="37" t="s">
        <v>2116</v>
      </c>
      <c r="D397" s="12" t="s">
        <v>2117</v>
      </c>
      <c r="E397" s="12" t="s">
        <v>3414</v>
      </c>
      <c r="F397" s="12" t="s">
        <v>3699</v>
      </c>
      <c r="G397" s="37" t="s">
        <v>3700</v>
      </c>
      <c r="H397" s="12" t="s">
        <v>3701</v>
      </c>
      <c r="I397" s="56"/>
      <c r="J397" s="59"/>
      <c r="K397" s="59"/>
      <c r="L397" s="59" t="s">
        <v>3307</v>
      </c>
      <c r="M397" s="57"/>
      <c r="N397" s="18" t="s">
        <v>18</v>
      </c>
      <c r="S397"/>
    </row>
    <row r="398" spans="1:19" ht="64.55" hidden="1" x14ac:dyDescent="0.2">
      <c r="A398" s="12" t="s">
        <v>2119</v>
      </c>
      <c r="B398" s="12" t="s">
        <v>2120</v>
      </c>
      <c r="C398" s="37" t="s">
        <v>2121</v>
      </c>
      <c r="D398" s="12" t="s">
        <v>2122</v>
      </c>
      <c r="E398" s="12" t="s">
        <v>3412</v>
      </c>
      <c r="F398" s="12"/>
      <c r="G398" s="12"/>
      <c r="H398" s="12"/>
      <c r="I398" s="22" t="s">
        <v>3308</v>
      </c>
      <c r="J398" s="18" t="s">
        <v>3309</v>
      </c>
      <c r="K398" s="18"/>
      <c r="L398" s="18"/>
      <c r="M398" s="13" t="e">
        <f>VLOOKUP(#REF!,#REF!, 5)</f>
        <v>#REF!</v>
      </c>
      <c r="N398" s="18" t="s">
        <v>18</v>
      </c>
      <c r="S398"/>
    </row>
    <row r="399" spans="1:19" ht="103.25" hidden="1" x14ac:dyDescent="0.2">
      <c r="A399" s="12" t="s">
        <v>2125</v>
      </c>
      <c r="B399" s="12" t="s">
        <v>2126</v>
      </c>
      <c r="C399" s="37" t="s">
        <v>2127</v>
      </c>
      <c r="D399" s="12" t="s">
        <v>2128</v>
      </c>
      <c r="E399" s="12" t="s">
        <v>3412</v>
      </c>
      <c r="F399" s="12"/>
      <c r="G399" s="12"/>
      <c r="H399" s="12"/>
      <c r="I399" s="22" t="s">
        <v>3310</v>
      </c>
      <c r="J399" s="18" t="s">
        <v>3311</v>
      </c>
      <c r="K399" s="19" t="s">
        <v>3312</v>
      </c>
      <c r="L399" s="18" t="s">
        <v>3313</v>
      </c>
      <c r="M399" s="13" t="e">
        <f>VLOOKUP(#REF!,#REF!, 5)</f>
        <v>#REF!</v>
      </c>
      <c r="N399" s="18" t="s">
        <v>18</v>
      </c>
      <c r="S399"/>
    </row>
    <row r="400" spans="1:19" ht="116.15" hidden="1" x14ac:dyDescent="0.2">
      <c r="A400" s="12" t="s">
        <v>2130</v>
      </c>
      <c r="B400" s="12" t="s">
        <v>2131</v>
      </c>
      <c r="C400" s="37" t="s">
        <v>2132</v>
      </c>
      <c r="D400" s="12" t="s">
        <v>2133</v>
      </c>
      <c r="E400" s="12" t="s">
        <v>3412</v>
      </c>
      <c r="F400" s="12"/>
      <c r="G400" s="12"/>
      <c r="H400" s="12"/>
      <c r="I400" s="22" t="s">
        <v>3315</v>
      </c>
      <c r="J400" s="18" t="s">
        <v>3316</v>
      </c>
      <c r="K400" s="19" t="s">
        <v>3317</v>
      </c>
      <c r="L400" s="18" t="s">
        <v>3318</v>
      </c>
      <c r="M400" s="13" t="e">
        <f>VLOOKUP(#REF!,#REF!, 5)</f>
        <v>#REF!</v>
      </c>
      <c r="N400" s="18" t="s">
        <v>18</v>
      </c>
      <c r="S400"/>
    </row>
    <row r="401" spans="1:19" ht="90.35" hidden="1" x14ac:dyDescent="0.2">
      <c r="A401" s="12" t="s">
        <v>2130</v>
      </c>
      <c r="B401" s="12" t="s">
        <v>2136</v>
      </c>
      <c r="C401" s="37" t="s">
        <v>2137</v>
      </c>
      <c r="D401" s="12" t="s">
        <v>2138</v>
      </c>
      <c r="E401" s="12" t="s">
        <v>3412</v>
      </c>
      <c r="F401" s="12"/>
      <c r="G401" s="12"/>
      <c r="H401" s="12"/>
      <c r="I401" s="22" t="s">
        <v>3320</v>
      </c>
      <c r="J401" s="18" t="s">
        <v>3321</v>
      </c>
      <c r="K401" s="19"/>
      <c r="L401" s="18" t="s">
        <v>3322</v>
      </c>
      <c r="M401" s="13" t="e">
        <f>VLOOKUP(#REF!,#REF!, 5)</f>
        <v>#REF!</v>
      </c>
      <c r="N401" s="18" t="s">
        <v>18</v>
      </c>
      <c r="S401"/>
    </row>
    <row r="402" spans="1:19" ht="129.1" hidden="1" x14ac:dyDescent="0.2">
      <c r="A402" s="12" t="s">
        <v>2140</v>
      </c>
      <c r="B402" s="12" t="s">
        <v>2141</v>
      </c>
      <c r="C402" s="37" t="s">
        <v>2142</v>
      </c>
      <c r="D402" s="12" t="s">
        <v>2143</v>
      </c>
      <c r="E402" s="12" t="s">
        <v>3412</v>
      </c>
      <c r="F402" s="12"/>
      <c r="G402" s="12"/>
      <c r="H402" s="12"/>
      <c r="I402" s="22" t="s">
        <v>3323</v>
      </c>
      <c r="J402" s="18" t="s">
        <v>3324</v>
      </c>
      <c r="K402" s="19" t="s">
        <v>3325</v>
      </c>
      <c r="L402" s="18" t="s">
        <v>3326</v>
      </c>
      <c r="M402" s="13" t="e">
        <f>VLOOKUP(#REF!,#REF!, 5)</f>
        <v>#REF!</v>
      </c>
      <c r="N402" s="18" t="s">
        <v>18</v>
      </c>
      <c r="S402"/>
    </row>
    <row r="403" spans="1:19" ht="129.1" hidden="1" x14ac:dyDescent="0.2">
      <c r="A403" s="12" t="s">
        <v>2140</v>
      </c>
      <c r="B403" s="12" t="s">
        <v>2145</v>
      </c>
      <c r="C403" s="37" t="s">
        <v>2146</v>
      </c>
      <c r="D403" s="12" t="s">
        <v>2147</v>
      </c>
      <c r="E403" s="12" t="s">
        <v>3412</v>
      </c>
      <c r="F403" s="12"/>
      <c r="G403" s="12"/>
      <c r="H403" s="12"/>
      <c r="I403" s="22" t="s">
        <v>3310</v>
      </c>
      <c r="J403" s="18" t="s">
        <v>3328</v>
      </c>
      <c r="K403" s="19" t="s">
        <v>3329</v>
      </c>
      <c r="L403" s="18" t="s">
        <v>3330</v>
      </c>
      <c r="M403" s="13" t="e">
        <f>VLOOKUP(#REF!,#REF!, 5)</f>
        <v>#REF!</v>
      </c>
      <c r="N403" s="18" t="s">
        <v>18</v>
      </c>
      <c r="S403"/>
    </row>
    <row r="404" spans="1:19" ht="77.45" x14ac:dyDescent="0.2">
      <c r="A404" s="12" t="s">
        <v>2149</v>
      </c>
      <c r="B404" s="12" t="s">
        <v>2150</v>
      </c>
      <c r="C404" s="37" t="s">
        <v>2151</v>
      </c>
      <c r="D404" s="12" t="s">
        <v>2152</v>
      </c>
      <c r="E404" s="12" t="s">
        <v>3414</v>
      </c>
      <c r="F404" s="12" t="s">
        <v>3702</v>
      </c>
      <c r="G404" s="37" t="s">
        <v>3703</v>
      </c>
      <c r="H404" s="12" t="s">
        <v>3672</v>
      </c>
      <c r="I404" s="56"/>
      <c r="J404" s="59"/>
      <c r="K404" s="59"/>
      <c r="L404" s="59" t="s">
        <v>3335</v>
      </c>
      <c r="M404" s="57"/>
      <c r="N404" s="12" t="s">
        <v>18</v>
      </c>
      <c r="S404"/>
    </row>
    <row r="405" spans="1:19" ht="103.25" hidden="1" x14ac:dyDescent="0.2">
      <c r="A405" s="12" t="s">
        <v>2154</v>
      </c>
      <c r="B405" s="12" t="s">
        <v>2155</v>
      </c>
      <c r="C405" s="37" t="s">
        <v>2156</v>
      </c>
      <c r="D405" s="12" t="s">
        <v>2157</v>
      </c>
      <c r="E405" s="12" t="s">
        <v>3412</v>
      </c>
      <c r="F405" s="12"/>
      <c r="G405" s="12"/>
      <c r="H405" s="12"/>
      <c r="I405" s="22" t="s">
        <v>3337</v>
      </c>
      <c r="J405" s="18" t="s">
        <v>3338</v>
      </c>
      <c r="K405" s="18"/>
      <c r="L405" s="18" t="s">
        <v>3339</v>
      </c>
      <c r="M405" s="13" t="e">
        <f>VLOOKUP(#REF!,#REF!, 5)</f>
        <v>#REF!</v>
      </c>
      <c r="N405" s="18" t="s">
        <v>18</v>
      </c>
      <c r="S405"/>
    </row>
    <row r="406" spans="1:19" ht="77.45" x14ac:dyDescent="0.2">
      <c r="A406" s="12" t="s">
        <v>2159</v>
      </c>
      <c r="B406" s="12" t="s">
        <v>2160</v>
      </c>
      <c r="C406" s="37" t="s">
        <v>2161</v>
      </c>
      <c r="D406" s="12" t="s">
        <v>2162</v>
      </c>
      <c r="E406" s="12" t="s">
        <v>3414</v>
      </c>
      <c r="F406" s="12" t="s">
        <v>3704</v>
      </c>
      <c r="G406" s="37" t="s">
        <v>3705</v>
      </c>
      <c r="H406" s="12" t="s">
        <v>3672</v>
      </c>
      <c r="I406" s="62"/>
      <c r="J406" s="59"/>
      <c r="K406" s="61"/>
      <c r="L406" s="59" t="s">
        <v>3343</v>
      </c>
      <c r="M406" s="57"/>
      <c r="N406" s="18" t="s">
        <v>18</v>
      </c>
      <c r="S406"/>
    </row>
    <row r="407" spans="1:19" ht="103.25" hidden="1" x14ac:dyDescent="0.2">
      <c r="A407" s="12" t="s">
        <v>2164</v>
      </c>
      <c r="B407" s="12" t="s">
        <v>2165</v>
      </c>
      <c r="C407" s="37" t="s">
        <v>2166</v>
      </c>
      <c r="D407" s="12" t="s">
        <v>2167</v>
      </c>
      <c r="E407" s="12" t="s">
        <v>3412</v>
      </c>
      <c r="F407" s="12"/>
      <c r="G407" s="12"/>
      <c r="H407" s="12"/>
      <c r="I407" s="22" t="s">
        <v>3345</v>
      </c>
      <c r="J407" s="18" t="s">
        <v>3346</v>
      </c>
      <c r="K407" s="19" t="s">
        <v>3347</v>
      </c>
      <c r="L407" s="18" t="s">
        <v>3348</v>
      </c>
      <c r="M407" s="13" t="e">
        <f>VLOOKUP(#REF!,#REF!, 5)</f>
        <v>#REF!</v>
      </c>
      <c r="N407" s="18" t="s">
        <v>18</v>
      </c>
      <c r="S407"/>
    </row>
    <row r="408" spans="1:19" ht="142" hidden="1" x14ac:dyDescent="0.2">
      <c r="A408" s="12" t="s">
        <v>2164</v>
      </c>
      <c r="B408" s="12" t="s">
        <v>2170</v>
      </c>
      <c r="C408" s="37" t="s">
        <v>2171</v>
      </c>
      <c r="D408" s="12" t="s">
        <v>2172</v>
      </c>
      <c r="E408" s="12" t="s">
        <v>3412</v>
      </c>
      <c r="F408" s="12"/>
      <c r="G408" s="12"/>
      <c r="H408" s="12"/>
      <c r="I408" s="22" t="s">
        <v>3350</v>
      </c>
      <c r="J408" s="18" t="s">
        <v>3351</v>
      </c>
      <c r="K408" s="19" t="s">
        <v>3352</v>
      </c>
      <c r="L408" s="18" t="s">
        <v>3353</v>
      </c>
      <c r="M408" s="13" t="e">
        <f>VLOOKUP(#REF!,#REF!, 5)</f>
        <v>#REF!</v>
      </c>
      <c r="N408" s="18" t="s">
        <v>18</v>
      </c>
      <c r="S408"/>
    </row>
    <row r="409" spans="1:19" ht="271.05" hidden="1" x14ac:dyDescent="0.2">
      <c r="A409" s="12" t="s">
        <v>2174</v>
      </c>
      <c r="B409" s="12" t="s">
        <v>2175</v>
      </c>
      <c r="C409" s="37" t="s">
        <v>2176</v>
      </c>
      <c r="D409" s="12" t="s">
        <v>2177</v>
      </c>
      <c r="E409" s="12" t="s">
        <v>3412</v>
      </c>
      <c r="F409" s="12"/>
      <c r="G409" s="12"/>
      <c r="H409" s="12"/>
      <c r="I409" s="22" t="s">
        <v>3355</v>
      </c>
      <c r="J409" s="18" t="s">
        <v>3356</v>
      </c>
      <c r="K409" s="19" t="s">
        <v>3357</v>
      </c>
      <c r="L409" s="18" t="s">
        <v>3358</v>
      </c>
      <c r="M409" s="13" t="e">
        <f>VLOOKUP(#REF!,#REF!, 5)</f>
        <v>#REF!</v>
      </c>
      <c r="N409" s="18" t="s">
        <v>18</v>
      </c>
      <c r="S409"/>
    </row>
    <row r="410" spans="1:19" ht="103.25" hidden="1" x14ac:dyDescent="0.2">
      <c r="A410" s="12" t="s">
        <v>2179</v>
      </c>
      <c r="B410" s="12" t="s">
        <v>2180</v>
      </c>
      <c r="C410" s="37" t="s">
        <v>2181</v>
      </c>
      <c r="D410" s="12" t="s">
        <v>2182</v>
      </c>
      <c r="E410" s="12" t="s">
        <v>3412</v>
      </c>
      <c r="F410" s="12"/>
      <c r="G410" s="12"/>
      <c r="H410" s="12"/>
      <c r="I410" s="22" t="s">
        <v>3360</v>
      </c>
      <c r="J410" s="18" t="s">
        <v>3361</v>
      </c>
      <c r="K410" s="19" t="s">
        <v>3362</v>
      </c>
      <c r="L410" s="18" t="s">
        <v>3363</v>
      </c>
      <c r="M410" s="13" t="e">
        <f>VLOOKUP(#REF!,#REF!, 5)</f>
        <v>#REF!</v>
      </c>
      <c r="N410" s="18" t="s">
        <v>18</v>
      </c>
      <c r="S410"/>
    </row>
    <row r="411" spans="1:19" ht="51.65" x14ac:dyDescent="0.2">
      <c r="A411" s="12" t="s">
        <v>2185</v>
      </c>
      <c r="B411" s="12" t="s">
        <v>2186</v>
      </c>
      <c r="C411" s="37" t="s">
        <v>2187</v>
      </c>
      <c r="D411" s="12" t="s">
        <v>2188</v>
      </c>
      <c r="E411" s="12" t="s">
        <v>3414</v>
      </c>
      <c r="F411" s="12" t="s">
        <v>3706</v>
      </c>
      <c r="G411" s="37" t="s">
        <v>3707</v>
      </c>
      <c r="H411" s="12" t="s">
        <v>3708</v>
      </c>
      <c r="I411" s="56"/>
      <c r="J411" s="59"/>
      <c r="K411" s="59"/>
      <c r="L411" s="59" t="s">
        <v>3368</v>
      </c>
      <c r="M411" s="57"/>
      <c r="N411" s="18" t="s">
        <v>18</v>
      </c>
      <c r="S411"/>
    </row>
    <row r="412" spans="1:19" ht="25.85" x14ac:dyDescent="0.2">
      <c r="A412" s="12" t="s">
        <v>2191</v>
      </c>
      <c r="B412" s="12" t="s">
        <v>2192</v>
      </c>
      <c r="C412" s="37" t="s">
        <v>2193</v>
      </c>
      <c r="D412" s="12" t="s">
        <v>2194</v>
      </c>
      <c r="E412" s="12" t="s">
        <v>3414</v>
      </c>
      <c r="F412" s="12" t="s">
        <v>3709</v>
      </c>
      <c r="G412" s="37" t="s">
        <v>3710</v>
      </c>
      <c r="H412" s="12" t="s">
        <v>3711</v>
      </c>
      <c r="I412" s="56"/>
      <c r="J412" s="59"/>
      <c r="K412" s="59"/>
      <c r="L412" s="59"/>
      <c r="M412" s="57"/>
      <c r="N412" s="18" t="s">
        <v>18</v>
      </c>
      <c r="S412"/>
    </row>
    <row r="413" spans="1:19" ht="103.25" hidden="1" x14ac:dyDescent="0.2">
      <c r="A413" s="12" t="s">
        <v>2196</v>
      </c>
      <c r="B413" s="12" t="s">
        <v>2197</v>
      </c>
      <c r="C413" s="37" t="s">
        <v>2198</v>
      </c>
      <c r="D413" s="12" t="s">
        <v>2199</v>
      </c>
      <c r="E413" s="12" t="s">
        <v>3412</v>
      </c>
      <c r="F413" s="12"/>
      <c r="G413" s="12"/>
      <c r="H413" s="12"/>
      <c r="I413" s="22" t="s">
        <v>3365</v>
      </c>
      <c r="J413" s="18" t="s">
        <v>3370</v>
      </c>
      <c r="K413" s="18" t="s">
        <v>3367</v>
      </c>
      <c r="L413" s="18"/>
      <c r="M413" s="13" t="e">
        <f>VLOOKUP(#REF!,#REF!, 5)</f>
        <v>#REF!</v>
      </c>
      <c r="N413" s="18" t="s">
        <v>18</v>
      </c>
      <c r="S413"/>
    </row>
    <row r="414" spans="1:19" ht="90.35" hidden="1" x14ac:dyDescent="0.2">
      <c r="A414" s="12" t="s">
        <v>2202</v>
      </c>
      <c r="B414" s="12" t="s">
        <v>2203</v>
      </c>
      <c r="C414" s="37" t="s">
        <v>2204</v>
      </c>
      <c r="D414" s="12" t="s">
        <v>2205</v>
      </c>
      <c r="E414" s="12" t="s">
        <v>3412</v>
      </c>
      <c r="F414" s="12"/>
      <c r="G414" s="12"/>
      <c r="H414" s="12"/>
      <c r="I414" s="22" t="s">
        <v>3365</v>
      </c>
      <c r="J414" s="18" t="s">
        <v>3371</v>
      </c>
      <c r="K414" s="18" t="s">
        <v>3367</v>
      </c>
      <c r="L414" s="18"/>
      <c r="M414" s="13" t="e">
        <f>VLOOKUP(#REF!,#REF!, 5)</f>
        <v>#REF!</v>
      </c>
      <c r="N414" s="18" t="s">
        <v>18</v>
      </c>
      <c r="S414"/>
    </row>
    <row r="415" spans="1:19" ht="361.4" hidden="1" x14ac:dyDescent="0.2">
      <c r="A415" s="12" t="s">
        <v>2206</v>
      </c>
      <c r="B415" s="12" t="s">
        <v>2207</v>
      </c>
      <c r="C415" s="37" t="s">
        <v>2208</v>
      </c>
      <c r="D415" s="12" t="s">
        <v>2209</v>
      </c>
      <c r="E415" s="12" t="s">
        <v>3412</v>
      </c>
      <c r="F415" s="12"/>
      <c r="G415" s="12"/>
      <c r="H415" s="12"/>
      <c r="I415" s="22" t="s">
        <v>3372</v>
      </c>
      <c r="J415" s="18" t="s">
        <v>3373</v>
      </c>
      <c r="K415" s="18"/>
      <c r="L415" s="18"/>
      <c r="M415" s="13" t="e">
        <f>VLOOKUP(#REF!,#REF!, 5)</f>
        <v>#REF!</v>
      </c>
      <c r="N415" s="18" t="s">
        <v>18</v>
      </c>
      <c r="S415"/>
    </row>
    <row r="416" spans="1:19" ht="90.35" hidden="1" x14ac:dyDescent="0.2">
      <c r="A416" s="12" t="s">
        <v>2213</v>
      </c>
      <c r="B416" s="12" t="s">
        <v>2214</v>
      </c>
      <c r="C416" s="37" t="s">
        <v>2215</v>
      </c>
      <c r="D416" s="12" t="s">
        <v>2216</v>
      </c>
      <c r="E416" s="12" t="s">
        <v>3412</v>
      </c>
      <c r="F416" s="12"/>
      <c r="G416" s="12"/>
      <c r="H416" s="12"/>
      <c r="I416" s="22" t="s">
        <v>3372</v>
      </c>
      <c r="J416" s="18" t="s">
        <v>3374</v>
      </c>
      <c r="K416" s="18"/>
      <c r="L416" s="18"/>
      <c r="M416" s="13" t="e">
        <f>VLOOKUP(#REF!,#REF!, 5)</f>
        <v>#REF!</v>
      </c>
      <c r="N416" s="18" t="s">
        <v>18</v>
      </c>
      <c r="S416"/>
    </row>
    <row r="417" spans="1:19" ht="90.35" hidden="1" x14ac:dyDescent="0.2">
      <c r="A417" s="12" t="s">
        <v>2217</v>
      </c>
      <c r="B417" s="12" t="s">
        <v>2218</v>
      </c>
      <c r="C417" s="37" t="s">
        <v>2219</v>
      </c>
      <c r="D417" s="12" t="s">
        <v>2220</v>
      </c>
      <c r="E417" s="12" t="s">
        <v>3412</v>
      </c>
      <c r="F417" s="12"/>
      <c r="G417" s="12"/>
      <c r="H417" s="12"/>
      <c r="I417" s="22" t="s">
        <v>3372</v>
      </c>
      <c r="J417" s="18" t="s">
        <v>3375</v>
      </c>
      <c r="K417" s="18"/>
      <c r="L417" s="18"/>
      <c r="M417" s="13" t="e">
        <f>VLOOKUP(#REF!,#REF!, 5)</f>
        <v>#REF!</v>
      </c>
      <c r="N417" s="18" t="s">
        <v>18</v>
      </c>
      <c r="S417"/>
    </row>
    <row r="418" spans="1:19" ht="309.75" hidden="1" x14ac:dyDescent="0.2">
      <c r="A418" s="12" t="s">
        <v>2222</v>
      </c>
      <c r="B418" s="12" t="s">
        <v>2223</v>
      </c>
      <c r="C418" s="37" t="s">
        <v>2224</v>
      </c>
      <c r="D418" s="12" t="s">
        <v>2225</v>
      </c>
      <c r="E418" s="12" t="s">
        <v>3412</v>
      </c>
      <c r="F418" s="12"/>
      <c r="G418" s="12"/>
      <c r="H418" s="12"/>
      <c r="I418" s="22" t="s">
        <v>3376</v>
      </c>
      <c r="J418" s="18" t="s">
        <v>3377</v>
      </c>
      <c r="K418" s="18" t="s">
        <v>3378</v>
      </c>
      <c r="L418" s="18" t="s">
        <v>3379</v>
      </c>
      <c r="M418" s="13" t="e">
        <f>VLOOKUP(#REF!,#REF!, 5)</f>
        <v>#REF!</v>
      </c>
      <c r="N418" s="18" t="s">
        <v>18</v>
      </c>
      <c r="S418"/>
    </row>
    <row r="419" spans="1:19" ht="409.6" hidden="1" x14ac:dyDescent="0.2">
      <c r="A419" s="12" t="s">
        <v>2222</v>
      </c>
      <c r="B419" s="12" t="s">
        <v>2228</v>
      </c>
      <c r="C419" s="37" t="s">
        <v>2229</v>
      </c>
      <c r="D419" s="12" t="s">
        <v>2230</v>
      </c>
      <c r="E419" s="12" t="s">
        <v>3412</v>
      </c>
      <c r="F419" s="12"/>
      <c r="G419" s="12"/>
      <c r="H419" s="12"/>
      <c r="I419" s="22" t="s">
        <v>3381</v>
      </c>
      <c r="J419" s="18" t="s">
        <v>3382</v>
      </c>
      <c r="K419" s="18" t="s">
        <v>3383</v>
      </c>
      <c r="L419" s="18"/>
      <c r="M419" s="13" t="e">
        <f>VLOOKUP(#REF!,#REF!, 5)</f>
        <v>#REF!</v>
      </c>
      <c r="N419" s="18" t="s">
        <v>18</v>
      </c>
    </row>
    <row r="420" spans="1:19" ht="180.7" hidden="1" x14ac:dyDescent="0.2">
      <c r="A420" s="12" t="s">
        <v>2232</v>
      </c>
      <c r="B420" s="12" t="s">
        <v>2233</v>
      </c>
      <c r="C420" s="37" t="s">
        <v>2234</v>
      </c>
      <c r="D420" s="12" t="s">
        <v>2235</v>
      </c>
      <c r="E420" s="12" t="s">
        <v>3412</v>
      </c>
      <c r="F420" s="12"/>
      <c r="G420" s="12"/>
      <c r="H420" s="12"/>
      <c r="I420" s="22" t="s">
        <v>3385</v>
      </c>
      <c r="J420" s="18" t="s">
        <v>3386</v>
      </c>
      <c r="K420" s="18" t="s">
        <v>3387</v>
      </c>
      <c r="L420" s="18" t="s">
        <v>3388</v>
      </c>
      <c r="M420" s="13" t="e">
        <f>VLOOKUP(#REF!,#REF!, 5)</f>
        <v>#REF!</v>
      </c>
      <c r="N420" s="18" t="s">
        <v>18</v>
      </c>
    </row>
    <row r="421" spans="1:19" ht="167.8" hidden="1" x14ac:dyDescent="0.2">
      <c r="A421" s="12" t="s">
        <v>2232</v>
      </c>
      <c r="B421" s="12" t="s">
        <v>2237</v>
      </c>
      <c r="C421" s="37" t="s">
        <v>2238</v>
      </c>
      <c r="D421" s="12" t="s">
        <v>2239</v>
      </c>
      <c r="E421" s="12" t="s">
        <v>3412</v>
      </c>
      <c r="F421" s="12"/>
      <c r="G421" s="12"/>
      <c r="H421" s="12"/>
      <c r="I421" s="22" t="s">
        <v>3385</v>
      </c>
      <c r="J421" s="18" t="s">
        <v>3389</v>
      </c>
      <c r="K421" s="18" t="s">
        <v>3387</v>
      </c>
      <c r="L421" s="18" t="s">
        <v>2499</v>
      </c>
      <c r="M421" s="13" t="e">
        <f>VLOOKUP(#REF!,#REF!, 5)</f>
        <v>#REF!</v>
      </c>
      <c r="N421" s="18" t="s">
        <v>18</v>
      </c>
    </row>
    <row r="422" spans="1:19" ht="348.45" hidden="1" x14ac:dyDescent="0.2">
      <c r="A422" s="12" t="s">
        <v>2241</v>
      </c>
      <c r="B422" s="12" t="s">
        <v>2242</v>
      </c>
      <c r="C422" s="37" t="s">
        <v>2243</v>
      </c>
      <c r="D422" s="12" t="s">
        <v>2244</v>
      </c>
      <c r="E422" s="12" t="s">
        <v>3412</v>
      </c>
      <c r="F422" s="12"/>
      <c r="G422" s="12"/>
      <c r="H422" s="12"/>
      <c r="I422" s="22" t="s">
        <v>3390</v>
      </c>
      <c r="J422" s="18" t="s">
        <v>3391</v>
      </c>
      <c r="K422" s="18" t="s">
        <v>3392</v>
      </c>
      <c r="L422" s="18"/>
      <c r="M422" s="13" t="e">
        <f>VLOOKUP(#REF!,#REF!, 5)</f>
        <v>#REF!</v>
      </c>
      <c r="N422" s="18" t="s">
        <v>18</v>
      </c>
    </row>
    <row r="423" spans="1:19" ht="90.35" hidden="1" x14ac:dyDescent="0.2">
      <c r="A423" s="12" t="s">
        <v>2247</v>
      </c>
      <c r="B423" s="12" t="s">
        <v>2248</v>
      </c>
      <c r="C423" s="37" t="s">
        <v>2249</v>
      </c>
      <c r="D423" s="12" t="s">
        <v>2250</v>
      </c>
      <c r="E423" s="12" t="s">
        <v>3412</v>
      </c>
      <c r="F423" s="12"/>
      <c r="G423" s="12"/>
      <c r="H423" s="12"/>
      <c r="I423" s="22" t="s">
        <v>3310</v>
      </c>
      <c r="J423" s="18" t="s">
        <v>3394</v>
      </c>
      <c r="K423" s="18" t="s">
        <v>3219</v>
      </c>
      <c r="L423" s="18" t="s">
        <v>3395</v>
      </c>
      <c r="M423" s="13" t="e">
        <f>VLOOKUP(#REF!,#REF!, 5)</f>
        <v>#REF!</v>
      </c>
      <c r="N423" s="18" t="s">
        <v>18</v>
      </c>
    </row>
    <row r="424" spans="1:19" ht="258.14999999999998" hidden="1" x14ac:dyDescent="0.2">
      <c r="A424" s="12" t="s">
        <v>2253</v>
      </c>
      <c r="B424" s="12" t="s">
        <v>2254</v>
      </c>
      <c r="C424" s="37" t="s">
        <v>2255</v>
      </c>
      <c r="D424" s="12" t="s">
        <v>2256</v>
      </c>
      <c r="E424" s="12" t="s">
        <v>3412</v>
      </c>
      <c r="F424" s="12"/>
      <c r="G424" s="12"/>
      <c r="H424" s="12"/>
      <c r="I424" s="22" t="s">
        <v>3396</v>
      </c>
      <c r="J424" s="18" t="s">
        <v>3397</v>
      </c>
      <c r="K424" s="18"/>
      <c r="L424" s="18"/>
      <c r="M424" s="13" t="e">
        <f>VLOOKUP(#REF!,#REF!, 5)</f>
        <v>#REF!</v>
      </c>
      <c r="N424" s="18" t="s">
        <v>18</v>
      </c>
    </row>
    <row r="425" spans="1:19" ht="64.55" hidden="1" x14ac:dyDescent="0.2">
      <c r="A425" s="12" t="s">
        <v>2257</v>
      </c>
      <c r="B425" s="12" t="s">
        <v>2258</v>
      </c>
      <c r="C425" s="37" t="s">
        <v>2259</v>
      </c>
      <c r="D425" s="12" t="s">
        <v>2260</v>
      </c>
      <c r="E425" s="12" t="s">
        <v>3412</v>
      </c>
      <c r="F425" s="12"/>
      <c r="G425" s="12"/>
      <c r="H425" s="12"/>
      <c r="I425" s="22" t="s">
        <v>3398</v>
      </c>
      <c r="J425" s="18" t="s">
        <v>3399</v>
      </c>
      <c r="K425" s="18"/>
      <c r="L425" s="18"/>
      <c r="M425" s="13" t="e">
        <f>VLOOKUP(#REF!,#REF!, 5)</f>
        <v>#REF!</v>
      </c>
      <c r="N425" s="18" t="s">
        <v>18</v>
      </c>
    </row>
    <row r="426" spans="1:19" ht="38.75" hidden="1" x14ac:dyDescent="0.2">
      <c r="A426" s="12" t="s">
        <v>2264</v>
      </c>
      <c r="B426" s="12" t="s">
        <v>2265</v>
      </c>
      <c r="C426" s="37" t="s">
        <v>2266</v>
      </c>
      <c r="D426" s="12" t="s">
        <v>2267</v>
      </c>
      <c r="E426" s="12" t="s">
        <v>3412</v>
      </c>
      <c r="F426" s="12"/>
      <c r="G426" s="12"/>
      <c r="H426" s="12"/>
      <c r="I426" s="22" t="s">
        <v>3400</v>
      </c>
      <c r="J426" s="18" t="s">
        <v>3401</v>
      </c>
      <c r="K426" s="18"/>
      <c r="L426" s="18"/>
      <c r="M426" s="13" t="e">
        <f>VLOOKUP(#REF!,#REF!, 5)</f>
        <v>#REF!</v>
      </c>
      <c r="N426" s="18" t="s">
        <v>18</v>
      </c>
    </row>
    <row r="427" spans="1:19" ht="64.55" hidden="1" x14ac:dyDescent="0.2">
      <c r="A427" s="12" t="s">
        <v>2270</v>
      </c>
      <c r="B427" s="12" t="s">
        <v>2271</v>
      </c>
      <c r="C427" s="37" t="s">
        <v>2272</v>
      </c>
      <c r="D427" s="12" t="s">
        <v>2273</v>
      </c>
      <c r="E427" s="12" t="s">
        <v>3412</v>
      </c>
      <c r="F427" s="12"/>
      <c r="G427" s="12"/>
      <c r="H427" s="12"/>
      <c r="I427" s="22" t="s">
        <v>3402</v>
      </c>
      <c r="J427" s="18" t="s">
        <v>3399</v>
      </c>
      <c r="K427" s="18"/>
      <c r="L427" s="18"/>
      <c r="M427" s="13" t="e">
        <f>VLOOKUP(#REF!,#REF!, 5)</f>
        <v>#REF!</v>
      </c>
      <c r="N427" s="18" t="s">
        <v>18</v>
      </c>
    </row>
    <row r="428" spans="1:19" ht="64.55" hidden="1" x14ac:dyDescent="0.2">
      <c r="A428" s="12" t="s">
        <v>2275</v>
      </c>
      <c r="B428" s="12" t="s">
        <v>2276</v>
      </c>
      <c r="C428" s="37" t="s">
        <v>2277</v>
      </c>
      <c r="D428" s="12" t="s">
        <v>2278</v>
      </c>
      <c r="E428" s="12" t="s">
        <v>3412</v>
      </c>
      <c r="F428" s="12"/>
      <c r="G428" s="12"/>
      <c r="H428" s="12"/>
      <c r="I428" s="22" t="s">
        <v>3402</v>
      </c>
      <c r="J428" s="18" t="s">
        <v>3399</v>
      </c>
      <c r="K428" s="18"/>
      <c r="L428" s="18"/>
      <c r="M428" s="13" t="e">
        <f>VLOOKUP(#REF!,#REF!, 5)</f>
        <v>#REF!</v>
      </c>
      <c r="N428" s="18" t="s">
        <v>18</v>
      </c>
    </row>
    <row r="429" spans="1:19" x14ac:dyDescent="0.2">
      <c r="B429" s="8"/>
    </row>
    <row r="430" spans="1:19" x14ac:dyDescent="0.2">
      <c r="B430" s="8"/>
      <c r="N430" s="4">
        <f>COUNTIF(N2:N428,"Refused")</f>
        <v>0</v>
      </c>
    </row>
    <row r="431" spans="1:19" x14ac:dyDescent="0.2">
      <c r="B431" s="8"/>
    </row>
    <row r="432" spans="1:19" x14ac:dyDescent="0.2">
      <c r="B432" s="8"/>
    </row>
    <row r="433" spans="2:2" x14ac:dyDescent="0.2">
      <c r="B433" s="8"/>
    </row>
    <row r="434" spans="2:2" x14ac:dyDescent="0.2">
      <c r="B434" s="8"/>
    </row>
    <row r="435" spans="2:2" x14ac:dyDescent="0.2">
      <c r="B435" s="8"/>
    </row>
    <row r="436" spans="2:2" x14ac:dyDescent="0.2">
      <c r="B436" s="8"/>
    </row>
    <row r="437" spans="2:2" x14ac:dyDescent="0.2">
      <c r="B437" s="8"/>
    </row>
    <row r="438" spans="2:2" x14ac:dyDescent="0.2">
      <c r="B438" s="8"/>
    </row>
    <row r="439" spans="2:2" x14ac:dyDescent="0.2">
      <c r="B439" s="8"/>
    </row>
    <row r="440" spans="2:2" x14ac:dyDescent="0.2">
      <c r="B440" s="8"/>
    </row>
    <row r="441" spans="2:2" x14ac:dyDescent="0.2">
      <c r="B441" s="8"/>
    </row>
    <row r="442" spans="2:2" x14ac:dyDescent="0.2">
      <c r="B442" s="8"/>
    </row>
    <row r="443" spans="2:2" x14ac:dyDescent="0.2">
      <c r="B443" s="8"/>
    </row>
    <row r="444" spans="2:2" x14ac:dyDescent="0.2">
      <c r="B444" s="8"/>
    </row>
    <row r="445" spans="2:2" x14ac:dyDescent="0.2">
      <c r="B445" s="8"/>
    </row>
    <row r="446" spans="2:2" x14ac:dyDescent="0.2">
      <c r="B446" s="8"/>
    </row>
    <row r="447" spans="2:2" x14ac:dyDescent="0.2">
      <c r="B447" s="8"/>
    </row>
    <row r="448" spans="2:2" x14ac:dyDescent="0.2">
      <c r="B448" s="8"/>
    </row>
    <row r="449" spans="2:13" x14ac:dyDescent="0.2">
      <c r="B449" s="8"/>
    </row>
    <row r="450" spans="2:13" x14ac:dyDescent="0.2">
      <c r="B450" s="8"/>
    </row>
    <row r="451" spans="2:13" x14ac:dyDescent="0.2">
      <c r="B451" s="8"/>
    </row>
    <row r="464" spans="2:13" x14ac:dyDescent="0.2">
      <c r="B464" s="2"/>
      <c r="C464" s="11"/>
      <c r="D464" s="1"/>
      <c r="E464" s="1"/>
      <c r="F464" s="1"/>
      <c r="G464" s="1"/>
      <c r="H464" s="1"/>
      <c r="I464" s="5"/>
      <c r="J464" s="5"/>
      <c r="K464" s="5"/>
      <c r="L464" s="5"/>
      <c r="M464" s="5"/>
    </row>
    <row r="466" spans="2:13" x14ac:dyDescent="0.2">
      <c r="C466" s="11"/>
      <c r="D466" s="1"/>
      <c r="E466" s="1"/>
      <c r="F466" s="1"/>
      <c r="G466" s="1"/>
      <c r="H466" s="1"/>
      <c r="I466" s="5"/>
      <c r="J466" s="5"/>
      <c r="K466" s="5"/>
      <c r="L466" s="5"/>
      <c r="M466" s="5"/>
    </row>
    <row r="469" spans="2:13" x14ac:dyDescent="0.2">
      <c r="C469" s="11"/>
      <c r="D469" s="1"/>
      <c r="E469" s="1"/>
      <c r="F469" s="1"/>
      <c r="G469" s="1"/>
      <c r="H469" s="1"/>
      <c r="I469" s="5"/>
      <c r="J469" s="5"/>
      <c r="K469" s="5"/>
      <c r="L469" s="5"/>
      <c r="M469" s="5"/>
    </row>
    <row r="471" spans="2:13" x14ac:dyDescent="0.2">
      <c r="B471" s="2"/>
      <c r="C471" s="11"/>
      <c r="D471" s="1"/>
      <c r="E471" s="1"/>
      <c r="F471" s="1"/>
      <c r="G471" s="1"/>
      <c r="H471" s="1"/>
      <c r="I471" s="5"/>
      <c r="J471" s="5"/>
      <c r="K471" s="5"/>
      <c r="L471" s="5"/>
      <c r="M471" s="5"/>
    </row>
    <row r="525" spans="3:13" x14ac:dyDescent="0.2">
      <c r="C525" s="11"/>
      <c r="D525" s="1"/>
      <c r="E525" s="1"/>
      <c r="F525" s="1"/>
      <c r="G525" s="1"/>
      <c r="H525" s="1"/>
      <c r="I525" s="5"/>
      <c r="J525" s="5"/>
      <c r="K525" s="5"/>
      <c r="L525" s="5"/>
      <c r="M525" s="5"/>
    </row>
    <row r="526" spans="3:13" x14ac:dyDescent="0.2">
      <c r="C526" s="11"/>
      <c r="D526" s="1"/>
      <c r="E526" s="1"/>
      <c r="F526" s="1"/>
      <c r="G526" s="1"/>
      <c r="H526" s="1"/>
      <c r="I526" s="5"/>
      <c r="J526" s="5"/>
      <c r="K526" s="5"/>
      <c r="L526" s="5"/>
      <c r="M526" s="5"/>
    </row>
    <row r="530" spans="2:13" x14ac:dyDescent="0.2">
      <c r="B530" s="2"/>
      <c r="C530" s="11"/>
      <c r="D530" s="1"/>
      <c r="E530" s="1"/>
      <c r="F530" s="1"/>
      <c r="G530" s="1"/>
      <c r="H530" s="1"/>
      <c r="I530" s="5"/>
      <c r="J530" s="5"/>
      <c r="K530" s="5"/>
      <c r="L530" s="5"/>
      <c r="M530" s="5"/>
    </row>
    <row r="533" spans="2:13" x14ac:dyDescent="0.2">
      <c r="C533" s="11"/>
      <c r="D533" s="1"/>
      <c r="E533" s="1"/>
      <c r="F533" s="1"/>
      <c r="G533" s="1"/>
      <c r="H533" s="1"/>
      <c r="I533" s="5"/>
      <c r="J533" s="5"/>
      <c r="K533" s="5"/>
      <c r="L533" s="5"/>
      <c r="M533" s="5"/>
    </row>
    <row r="550" spans="2:13" x14ac:dyDescent="0.2">
      <c r="B550" s="2"/>
      <c r="C550" s="11"/>
      <c r="D550" s="1"/>
      <c r="E550" s="1"/>
      <c r="F550" s="1"/>
      <c r="G550" s="1"/>
      <c r="H550" s="1"/>
      <c r="I550" s="5"/>
      <c r="J550" s="5"/>
      <c r="K550" s="5"/>
      <c r="L550" s="5"/>
      <c r="M550" s="5"/>
    </row>
    <row r="551" spans="2:13" x14ac:dyDescent="0.2">
      <c r="C551" s="11"/>
      <c r="D551" s="1"/>
      <c r="E551" s="1"/>
      <c r="F551" s="1"/>
      <c r="G551" s="1"/>
      <c r="H551" s="1"/>
      <c r="I551" s="5"/>
      <c r="J551" s="5"/>
      <c r="K551" s="5"/>
      <c r="L551" s="5"/>
      <c r="M551" s="5"/>
    </row>
    <row r="556" spans="2:13" x14ac:dyDescent="0.2">
      <c r="C556" s="11"/>
      <c r="D556" s="1"/>
      <c r="E556" s="1"/>
      <c r="F556" s="1"/>
      <c r="G556" s="1"/>
      <c r="H556" s="1"/>
      <c r="I556" s="5"/>
      <c r="J556" s="5"/>
      <c r="K556" s="5"/>
      <c r="L556" s="5"/>
      <c r="M556" s="5"/>
    </row>
    <row r="565" spans="2:13" x14ac:dyDescent="0.2">
      <c r="C565" s="11"/>
      <c r="D565" s="1"/>
      <c r="E565" s="1"/>
      <c r="F565" s="1"/>
      <c r="G565" s="1"/>
      <c r="H565" s="1"/>
      <c r="I565" s="5"/>
      <c r="J565" s="5"/>
      <c r="K565" s="5"/>
      <c r="L565" s="5"/>
      <c r="M565" s="5"/>
    </row>
    <row r="574" spans="2:13" x14ac:dyDescent="0.2">
      <c r="B574" s="2"/>
      <c r="C574" s="11"/>
      <c r="D574" s="1"/>
      <c r="E574" s="1"/>
      <c r="F574" s="1"/>
      <c r="G574" s="1"/>
      <c r="H574" s="1"/>
      <c r="I574" s="5"/>
      <c r="J574" s="5"/>
      <c r="K574" s="5"/>
      <c r="L574" s="5"/>
      <c r="M574" s="5"/>
    </row>
    <row r="582" spans="3:13" x14ac:dyDescent="0.2">
      <c r="C582" s="11"/>
      <c r="D582" s="1"/>
      <c r="E582" s="1"/>
      <c r="F582" s="1"/>
      <c r="G582" s="1"/>
      <c r="H582" s="1"/>
      <c r="I582" s="5"/>
      <c r="J582" s="5"/>
      <c r="K582" s="5"/>
      <c r="L582" s="5"/>
      <c r="M582" s="5"/>
    </row>
    <row r="594" spans="3:13" x14ac:dyDescent="0.2">
      <c r="C594" s="11"/>
      <c r="D594" s="1"/>
      <c r="E594" s="1"/>
      <c r="F594" s="1"/>
      <c r="G594" s="1"/>
      <c r="H594" s="1"/>
      <c r="I594" s="5"/>
      <c r="J594" s="5"/>
      <c r="K594" s="5"/>
      <c r="L594" s="5"/>
      <c r="M594" s="5"/>
    </row>
    <row r="886" spans="3:13" x14ac:dyDescent="0.2">
      <c r="C886" s="11"/>
      <c r="D886" s="1"/>
      <c r="E886" s="1"/>
      <c r="F886" s="1"/>
      <c r="G886" s="1"/>
      <c r="H886" s="1"/>
      <c r="I886" s="5"/>
      <c r="J886" s="5"/>
      <c r="K886" s="5"/>
      <c r="L886" s="5"/>
      <c r="M886" s="5"/>
    </row>
    <row r="909" spans="2:13" x14ac:dyDescent="0.2">
      <c r="B909" s="2"/>
      <c r="C909" s="11"/>
      <c r="D909" s="1"/>
      <c r="E909" s="1"/>
      <c r="F909" s="1"/>
      <c r="G909" s="1"/>
      <c r="H909" s="1"/>
      <c r="I909" s="5"/>
      <c r="J909" s="5"/>
      <c r="K909" s="5"/>
      <c r="L909" s="5"/>
      <c r="M909" s="5"/>
    </row>
    <row r="963" spans="2:13" x14ac:dyDescent="0.2">
      <c r="B963" s="2"/>
      <c r="C963" s="11"/>
      <c r="D963" s="1"/>
      <c r="E963" s="1"/>
      <c r="F963" s="1"/>
      <c r="G963" s="1"/>
      <c r="H963" s="1"/>
      <c r="I963" s="5"/>
      <c r="J963" s="5"/>
      <c r="K963" s="5"/>
      <c r="L963" s="5"/>
      <c r="M963" s="5"/>
    </row>
    <row r="967" spans="2:13" x14ac:dyDescent="0.2">
      <c r="B967" s="2"/>
      <c r="C967" s="11"/>
      <c r="D967" s="1"/>
      <c r="E967" s="1"/>
      <c r="F967" s="1"/>
      <c r="G967" s="1"/>
      <c r="H967" s="1"/>
      <c r="I967" s="5"/>
      <c r="J967" s="5"/>
      <c r="K967" s="5"/>
      <c r="L967" s="5"/>
      <c r="M967" s="5"/>
    </row>
    <row r="989" spans="2:13" x14ac:dyDescent="0.2">
      <c r="B989" s="2"/>
      <c r="C989" s="11"/>
      <c r="D989" s="1"/>
      <c r="E989" s="1"/>
      <c r="F989" s="1"/>
      <c r="G989" s="1"/>
      <c r="H989" s="1"/>
      <c r="I989" s="5"/>
      <c r="J989" s="5"/>
      <c r="K989" s="5"/>
      <c r="L989" s="5"/>
      <c r="M989" s="5"/>
    </row>
    <row r="1004" spans="2:13" x14ac:dyDescent="0.2">
      <c r="B1004" s="2"/>
      <c r="C1004" s="11"/>
      <c r="D1004" s="1"/>
      <c r="E1004" s="1"/>
      <c r="F1004" s="1"/>
      <c r="G1004" s="1"/>
      <c r="H1004" s="1"/>
      <c r="I1004" s="5"/>
      <c r="J1004" s="5"/>
      <c r="K1004" s="5"/>
      <c r="L1004" s="5"/>
      <c r="M1004" s="5"/>
    </row>
    <row r="1005" spans="2:13" x14ac:dyDescent="0.2">
      <c r="B1005" s="2"/>
      <c r="C1005" s="11"/>
      <c r="D1005" s="1"/>
      <c r="E1005" s="1"/>
      <c r="F1005" s="1"/>
      <c r="G1005" s="1"/>
      <c r="H1005" s="1"/>
      <c r="I1005" s="5"/>
      <c r="J1005" s="5"/>
      <c r="K1005" s="5"/>
      <c r="L1005" s="5"/>
      <c r="M1005" s="5"/>
    </row>
    <row r="1010" spans="2:13" x14ac:dyDescent="0.2">
      <c r="B1010" s="2"/>
      <c r="C1010" s="11"/>
      <c r="D1010" s="1"/>
      <c r="E1010" s="1"/>
      <c r="F1010" s="1"/>
      <c r="G1010" s="1"/>
      <c r="H1010" s="1"/>
      <c r="I1010" s="5"/>
      <c r="J1010" s="5"/>
      <c r="K1010" s="5"/>
      <c r="L1010" s="5"/>
      <c r="M1010" s="5"/>
    </row>
    <row r="1015" spans="2:13" x14ac:dyDescent="0.2">
      <c r="B1015" s="2"/>
      <c r="C1015" s="11"/>
      <c r="D1015" s="1"/>
      <c r="E1015" s="1"/>
      <c r="F1015" s="1"/>
      <c r="G1015" s="1"/>
      <c r="H1015" s="1"/>
      <c r="I1015" s="5"/>
      <c r="J1015" s="5"/>
      <c r="K1015" s="5"/>
      <c r="L1015" s="5"/>
      <c r="M1015" s="5"/>
    </row>
    <row r="1016" spans="2:13" x14ac:dyDescent="0.2">
      <c r="B1016" s="2"/>
      <c r="C1016" s="11"/>
      <c r="D1016" s="1"/>
      <c r="E1016" s="1"/>
      <c r="F1016" s="1"/>
      <c r="G1016" s="1"/>
      <c r="H1016" s="1"/>
      <c r="I1016" s="5"/>
      <c r="J1016" s="5"/>
      <c r="K1016" s="5"/>
      <c r="L1016" s="5"/>
      <c r="M1016" s="5"/>
    </row>
    <row r="1020" spans="2:13" x14ac:dyDescent="0.2">
      <c r="B1020" s="2"/>
      <c r="C1020" s="11"/>
      <c r="D1020" s="1"/>
      <c r="E1020" s="1"/>
      <c r="F1020" s="1"/>
      <c r="G1020" s="1"/>
      <c r="H1020" s="1"/>
      <c r="I1020" s="5"/>
      <c r="J1020" s="5"/>
      <c r="K1020" s="5"/>
      <c r="L1020" s="5"/>
      <c r="M1020" s="5"/>
    </row>
    <row r="1029" spans="2:13" x14ac:dyDescent="0.2">
      <c r="B1029" s="2"/>
      <c r="C1029" s="11"/>
      <c r="D1029" s="1"/>
      <c r="E1029" s="1"/>
      <c r="F1029" s="1"/>
      <c r="G1029" s="1"/>
      <c r="H1029" s="1"/>
      <c r="I1029" s="5"/>
      <c r="J1029" s="5"/>
      <c r="K1029" s="5"/>
      <c r="L1029" s="5"/>
      <c r="M1029" s="5"/>
    </row>
    <row r="1031" spans="2:13" x14ac:dyDescent="0.2">
      <c r="B1031" s="2"/>
      <c r="C1031" s="11"/>
      <c r="D1031" s="1"/>
      <c r="E1031" s="1"/>
      <c r="F1031" s="1"/>
      <c r="G1031" s="1"/>
      <c r="H1031" s="1"/>
      <c r="I1031" s="5"/>
      <c r="J1031" s="5"/>
      <c r="K1031" s="5"/>
      <c r="L1031" s="5"/>
      <c r="M1031" s="5"/>
    </row>
    <row r="1038" spans="2:13" x14ac:dyDescent="0.2">
      <c r="B1038" s="2"/>
      <c r="C1038" s="11"/>
      <c r="D1038" s="1"/>
      <c r="E1038" s="1"/>
      <c r="F1038" s="1"/>
      <c r="G1038" s="1"/>
      <c r="H1038" s="1"/>
      <c r="I1038" s="5"/>
      <c r="J1038" s="5"/>
      <c r="K1038" s="5"/>
      <c r="L1038" s="5"/>
      <c r="M1038" s="5"/>
    </row>
    <row r="1044" spans="2:13" x14ac:dyDescent="0.2">
      <c r="B1044" s="2"/>
      <c r="C1044" s="11"/>
      <c r="D1044" s="1"/>
      <c r="E1044" s="1"/>
      <c r="F1044" s="1"/>
      <c r="G1044" s="1"/>
      <c r="H1044" s="1"/>
      <c r="I1044" s="5"/>
      <c r="J1044" s="5"/>
      <c r="K1044" s="5"/>
      <c r="L1044" s="5"/>
      <c r="M1044" s="5"/>
    </row>
    <row r="1045" spans="2:13" x14ac:dyDescent="0.2">
      <c r="B1045" s="2"/>
      <c r="C1045" s="11"/>
      <c r="D1045" s="1"/>
      <c r="E1045" s="1"/>
      <c r="F1045" s="1"/>
      <c r="G1045" s="1"/>
      <c r="H1045" s="1"/>
      <c r="I1045" s="5"/>
      <c r="J1045" s="5"/>
      <c r="K1045" s="5"/>
      <c r="L1045" s="5"/>
      <c r="M1045" s="5"/>
    </row>
    <row r="1047" spans="2:13" x14ac:dyDescent="0.2">
      <c r="B1047" s="2"/>
      <c r="C1047" s="11"/>
      <c r="D1047" s="1"/>
      <c r="E1047" s="1"/>
      <c r="F1047" s="1"/>
      <c r="G1047" s="1"/>
      <c r="H1047" s="1"/>
      <c r="I1047" s="5"/>
      <c r="J1047" s="5"/>
      <c r="K1047" s="5"/>
      <c r="L1047" s="5"/>
      <c r="M1047" s="5"/>
    </row>
    <row r="1048" spans="2:13" x14ac:dyDescent="0.2">
      <c r="B1048" s="2"/>
      <c r="C1048" s="11"/>
      <c r="D1048" s="1"/>
      <c r="E1048" s="1"/>
      <c r="F1048" s="1"/>
      <c r="G1048" s="1"/>
      <c r="H1048" s="1"/>
      <c r="I1048" s="5"/>
      <c r="J1048" s="5"/>
      <c r="K1048" s="5"/>
      <c r="L1048" s="5"/>
      <c r="M1048" s="5"/>
    </row>
    <row r="1049" spans="2:13" x14ac:dyDescent="0.2">
      <c r="B1049" s="2"/>
      <c r="C1049" s="11"/>
      <c r="D1049" s="1"/>
      <c r="E1049" s="1"/>
      <c r="F1049" s="1"/>
      <c r="G1049" s="1"/>
      <c r="H1049" s="1"/>
      <c r="I1049" s="5"/>
      <c r="J1049" s="5"/>
      <c r="K1049" s="5"/>
      <c r="L1049" s="5"/>
      <c r="M1049" s="5"/>
    </row>
    <row r="1052" spans="2:13" x14ac:dyDescent="0.2">
      <c r="B1052" s="2"/>
      <c r="C1052" s="11"/>
      <c r="D1052" s="1"/>
      <c r="E1052" s="1"/>
      <c r="F1052" s="1"/>
      <c r="G1052" s="1"/>
      <c r="H1052" s="1"/>
      <c r="I1052" s="5"/>
      <c r="J1052" s="5"/>
      <c r="K1052" s="5"/>
      <c r="L1052" s="5"/>
      <c r="M1052" s="5"/>
    </row>
    <row r="1055" spans="2:13" x14ac:dyDescent="0.2">
      <c r="B1055" s="2"/>
      <c r="C1055" s="11"/>
      <c r="D1055" s="1"/>
      <c r="E1055" s="1"/>
      <c r="F1055" s="1"/>
      <c r="G1055" s="1"/>
      <c r="H1055" s="1"/>
      <c r="I1055" s="5"/>
      <c r="J1055" s="5"/>
      <c r="K1055" s="5"/>
      <c r="L1055" s="5"/>
      <c r="M1055" s="5"/>
    </row>
    <row r="1057" spans="2:13" x14ac:dyDescent="0.2">
      <c r="B1057" s="2"/>
      <c r="C1057" s="11"/>
      <c r="D1057" s="1"/>
      <c r="E1057" s="1"/>
      <c r="F1057" s="1"/>
      <c r="G1057" s="1"/>
      <c r="H1057" s="1"/>
      <c r="I1057" s="5"/>
      <c r="J1057" s="5"/>
      <c r="K1057" s="5"/>
      <c r="L1057" s="5"/>
      <c r="M1057" s="5"/>
    </row>
    <row r="1059" spans="2:13" x14ac:dyDescent="0.2">
      <c r="B1059" s="2"/>
      <c r="C1059" s="11"/>
      <c r="D1059" s="1"/>
      <c r="E1059" s="1"/>
      <c r="F1059" s="1"/>
      <c r="G1059" s="1"/>
      <c r="H1059" s="1"/>
      <c r="I1059" s="5"/>
      <c r="J1059" s="5"/>
      <c r="K1059" s="5"/>
      <c r="L1059" s="5"/>
      <c r="M1059" s="5"/>
    </row>
    <row r="1060" spans="2:13" x14ac:dyDescent="0.2">
      <c r="B1060" s="2"/>
      <c r="C1060" s="11"/>
      <c r="D1060" s="1"/>
      <c r="E1060" s="1"/>
      <c r="F1060" s="1"/>
      <c r="G1060" s="1"/>
      <c r="H1060" s="1"/>
      <c r="I1060" s="5"/>
      <c r="J1060" s="5"/>
      <c r="K1060" s="5"/>
      <c r="L1060" s="5"/>
      <c r="M1060" s="5"/>
    </row>
    <row r="1064" spans="2:13" x14ac:dyDescent="0.2">
      <c r="B1064" s="2"/>
      <c r="C1064" s="11"/>
      <c r="D1064" s="1"/>
      <c r="E1064" s="1"/>
      <c r="F1064" s="1"/>
      <c r="G1064" s="1"/>
      <c r="H1064" s="1"/>
      <c r="I1064" s="5"/>
      <c r="J1064" s="5"/>
      <c r="K1064" s="5"/>
      <c r="L1064" s="5"/>
      <c r="M1064" s="5"/>
    </row>
    <row r="1069" spans="2:13" x14ac:dyDescent="0.2">
      <c r="B1069" s="2"/>
      <c r="C1069" s="11"/>
      <c r="D1069" s="1"/>
      <c r="E1069" s="1"/>
      <c r="F1069" s="1"/>
      <c r="G1069" s="1"/>
      <c r="H1069" s="1"/>
      <c r="I1069" s="5"/>
      <c r="J1069" s="5"/>
      <c r="K1069" s="5"/>
      <c r="L1069" s="5"/>
      <c r="M1069" s="5"/>
    </row>
    <row r="1070" spans="2:13" x14ac:dyDescent="0.2">
      <c r="B1070" s="2"/>
      <c r="C1070" s="11"/>
      <c r="D1070" s="1"/>
      <c r="E1070" s="1"/>
      <c r="F1070" s="1"/>
      <c r="G1070" s="1"/>
      <c r="H1070" s="1"/>
      <c r="I1070" s="5"/>
      <c r="J1070" s="5"/>
      <c r="K1070" s="5"/>
      <c r="L1070" s="5"/>
      <c r="M1070" s="5"/>
    </row>
    <row r="1072" spans="2:13" x14ac:dyDescent="0.2">
      <c r="B1072" s="3"/>
      <c r="C1072" s="11"/>
      <c r="D1072" s="1"/>
      <c r="E1072" s="1"/>
      <c r="F1072" s="1"/>
      <c r="G1072" s="1"/>
      <c r="H1072" s="1"/>
      <c r="I1072" s="5"/>
      <c r="J1072" s="5"/>
      <c r="K1072" s="5"/>
      <c r="L1072" s="5"/>
      <c r="M1072" s="5"/>
    </row>
    <row r="1074" spans="2:13" x14ac:dyDescent="0.2">
      <c r="B1074" s="2"/>
      <c r="C1074" s="11"/>
      <c r="D1074" s="1"/>
      <c r="E1074" s="1"/>
      <c r="F1074" s="1"/>
      <c r="G1074" s="1"/>
      <c r="H1074" s="1"/>
      <c r="I1074" s="5"/>
      <c r="J1074" s="5"/>
      <c r="K1074" s="5"/>
      <c r="L1074" s="5"/>
      <c r="M1074" s="5"/>
    </row>
    <row r="1077" spans="2:13" x14ac:dyDescent="0.2">
      <c r="B1077" s="2"/>
      <c r="C1077" s="11"/>
      <c r="D1077" s="1"/>
      <c r="E1077" s="1"/>
      <c r="F1077" s="1"/>
      <c r="G1077" s="1"/>
      <c r="H1077" s="1"/>
      <c r="I1077" s="5"/>
      <c r="J1077" s="5"/>
      <c r="K1077" s="5"/>
      <c r="L1077" s="5"/>
      <c r="M1077" s="5"/>
    </row>
    <row r="1080" spans="2:13" x14ac:dyDescent="0.2">
      <c r="B1080" s="3"/>
      <c r="C1080" s="11"/>
      <c r="D1080" s="1"/>
      <c r="E1080" s="1"/>
      <c r="F1080" s="1"/>
      <c r="G1080" s="1"/>
      <c r="H1080" s="1"/>
      <c r="I1080" s="5"/>
      <c r="J1080" s="5"/>
      <c r="K1080" s="5"/>
      <c r="L1080" s="5"/>
      <c r="M1080" s="5"/>
    </row>
    <row r="1087" spans="2:13" x14ac:dyDescent="0.2">
      <c r="B1087" s="3"/>
      <c r="C1087" s="11"/>
      <c r="D1087" s="1"/>
      <c r="E1087" s="1"/>
      <c r="F1087" s="1"/>
      <c r="G1087" s="1"/>
      <c r="H1087" s="1"/>
      <c r="I1087" s="5"/>
      <c r="J1087" s="5"/>
      <c r="K1087" s="5"/>
      <c r="L1087" s="5"/>
      <c r="M1087" s="5"/>
    </row>
    <row r="1091" spans="2:13" x14ac:dyDescent="0.2">
      <c r="C1091" s="11"/>
      <c r="D1091" s="1"/>
      <c r="E1091" s="1"/>
      <c r="F1091" s="1"/>
      <c r="G1091" s="1"/>
      <c r="H1091" s="1"/>
      <c r="I1091" s="5"/>
      <c r="J1091" s="5"/>
      <c r="K1091" s="5"/>
      <c r="L1091" s="5"/>
      <c r="M1091" s="5"/>
    </row>
    <row r="1093" spans="2:13" x14ac:dyDescent="0.2">
      <c r="B1093" s="3"/>
      <c r="C1093" s="11"/>
      <c r="D1093" s="1"/>
      <c r="E1093" s="1"/>
      <c r="F1093" s="1"/>
      <c r="G1093" s="1"/>
      <c r="H1093" s="1"/>
      <c r="I1093" s="5"/>
      <c r="J1093" s="5"/>
      <c r="K1093" s="5"/>
      <c r="L1093" s="5"/>
      <c r="M1093" s="5"/>
    </row>
    <row r="1095" spans="2:13" x14ac:dyDescent="0.2">
      <c r="B1095" s="3"/>
      <c r="C1095" s="11"/>
      <c r="D1095" s="1"/>
      <c r="E1095" s="1"/>
      <c r="F1095" s="1"/>
      <c r="G1095" s="1"/>
      <c r="H1095" s="1"/>
      <c r="I1095" s="5"/>
      <c r="J1095" s="5"/>
      <c r="K1095" s="5"/>
      <c r="L1095" s="5"/>
      <c r="M1095" s="5"/>
    </row>
    <row r="1096" spans="2:13" x14ac:dyDescent="0.2">
      <c r="C1096" s="11"/>
      <c r="D1096" s="1"/>
      <c r="E1096" s="1"/>
      <c r="F1096" s="1"/>
      <c r="G1096" s="1"/>
      <c r="H1096" s="1"/>
      <c r="I1096" s="5"/>
      <c r="J1096" s="5"/>
      <c r="K1096" s="5"/>
      <c r="L1096" s="5"/>
      <c r="M1096" s="5"/>
    </row>
    <row r="1102" spans="2:13" x14ac:dyDescent="0.2">
      <c r="B1102" s="3"/>
      <c r="C1102" s="11"/>
      <c r="D1102" s="1"/>
      <c r="E1102" s="1"/>
      <c r="F1102" s="1"/>
      <c r="G1102" s="1"/>
      <c r="H1102" s="1"/>
      <c r="I1102" s="5"/>
      <c r="J1102" s="5"/>
      <c r="K1102" s="5"/>
      <c r="L1102" s="5"/>
      <c r="M1102" s="5"/>
    </row>
    <row r="1103" spans="2:13" x14ac:dyDescent="0.2">
      <c r="B1103" s="3"/>
      <c r="C1103" s="11"/>
      <c r="D1103" s="1"/>
      <c r="E1103" s="1"/>
      <c r="F1103" s="1"/>
      <c r="G1103" s="1"/>
      <c r="H1103" s="1"/>
      <c r="I1103" s="5"/>
      <c r="J1103" s="5"/>
      <c r="K1103" s="5"/>
      <c r="L1103" s="5"/>
      <c r="M1103" s="5"/>
    </row>
    <row r="1107" spans="2:13" x14ac:dyDescent="0.2">
      <c r="B1107" s="3"/>
      <c r="C1107" s="11"/>
      <c r="D1107" s="1"/>
      <c r="E1107" s="1"/>
      <c r="F1107" s="1"/>
      <c r="G1107" s="1"/>
      <c r="H1107" s="1"/>
      <c r="I1107" s="5"/>
      <c r="J1107" s="5"/>
      <c r="K1107" s="5"/>
      <c r="L1107" s="5"/>
      <c r="M1107" s="5"/>
    </row>
    <row r="1108" spans="2:13" x14ac:dyDescent="0.2">
      <c r="B1108" s="3"/>
      <c r="C1108" s="11"/>
      <c r="D1108" s="1"/>
      <c r="E1108" s="1"/>
      <c r="F1108" s="1"/>
      <c r="G1108" s="1"/>
      <c r="H1108" s="1"/>
      <c r="I1108" s="5"/>
      <c r="J1108" s="5"/>
      <c r="K1108" s="5"/>
      <c r="L1108" s="5"/>
      <c r="M1108" s="5"/>
    </row>
    <row r="1110" spans="2:13" x14ac:dyDescent="0.2">
      <c r="C1110" s="11"/>
      <c r="D1110" s="1"/>
      <c r="E1110" s="1"/>
      <c r="F1110" s="1"/>
      <c r="G1110" s="1"/>
      <c r="H1110" s="1"/>
      <c r="I1110" s="5"/>
      <c r="J1110" s="5"/>
      <c r="K1110" s="5"/>
      <c r="L1110" s="5"/>
      <c r="M1110" s="5"/>
    </row>
    <row r="1112" spans="2:13" x14ac:dyDescent="0.2">
      <c r="B1112" s="3"/>
      <c r="C1112" s="11"/>
      <c r="D1112" s="1"/>
      <c r="E1112" s="1"/>
      <c r="F1112" s="1"/>
      <c r="G1112" s="1"/>
      <c r="H1112" s="1"/>
      <c r="I1112" s="5"/>
      <c r="J1112" s="5"/>
      <c r="K1112" s="5"/>
      <c r="L1112" s="5"/>
      <c r="M1112" s="5"/>
    </row>
    <row r="1118" spans="2:13" x14ac:dyDescent="0.2">
      <c r="C1118" s="11"/>
      <c r="D1118" s="1"/>
      <c r="E1118" s="1"/>
      <c r="F1118" s="1"/>
      <c r="G1118" s="1"/>
      <c r="H1118" s="1"/>
      <c r="I1118" s="5"/>
      <c r="J1118" s="5"/>
      <c r="K1118" s="5"/>
      <c r="L1118" s="5"/>
      <c r="M1118" s="5"/>
    </row>
    <row r="1119" spans="2:13" x14ac:dyDescent="0.2">
      <c r="B1119" s="3"/>
      <c r="C1119" s="11"/>
      <c r="D1119" s="1"/>
      <c r="E1119" s="1"/>
      <c r="F1119" s="1"/>
      <c r="G1119" s="1"/>
      <c r="H1119" s="1"/>
      <c r="I1119" s="5"/>
      <c r="J1119" s="5"/>
      <c r="K1119" s="5"/>
      <c r="L1119" s="5"/>
      <c r="M1119" s="5"/>
    </row>
    <row r="1120" spans="2:13" x14ac:dyDescent="0.2">
      <c r="C1120" s="11"/>
      <c r="D1120" s="1"/>
      <c r="E1120" s="1"/>
      <c r="F1120" s="1"/>
      <c r="G1120" s="1"/>
      <c r="H1120" s="1"/>
      <c r="I1120" s="5"/>
      <c r="J1120" s="5"/>
      <c r="K1120" s="5"/>
      <c r="L1120" s="5"/>
      <c r="M1120" s="5"/>
    </row>
    <row r="1124" spans="2:13" x14ac:dyDescent="0.2">
      <c r="B1124" s="3"/>
      <c r="C1124" s="11"/>
      <c r="D1124" s="1"/>
      <c r="E1124" s="1"/>
      <c r="F1124" s="1"/>
      <c r="G1124" s="1"/>
      <c r="H1124" s="1"/>
      <c r="I1124" s="5"/>
      <c r="J1124" s="5"/>
      <c r="K1124" s="5"/>
      <c r="L1124" s="5"/>
      <c r="M1124" s="5"/>
    </row>
    <row r="1126" spans="2:13" x14ac:dyDescent="0.2">
      <c r="C1126" s="11"/>
      <c r="D1126" s="1"/>
      <c r="E1126" s="1"/>
      <c r="F1126" s="1"/>
      <c r="G1126" s="1"/>
      <c r="H1126" s="1"/>
      <c r="I1126" s="5"/>
      <c r="J1126" s="5"/>
      <c r="K1126" s="5"/>
      <c r="L1126" s="5"/>
      <c r="M1126" s="5"/>
    </row>
    <row r="1128" spans="2:13" x14ac:dyDescent="0.2">
      <c r="C1128" s="11"/>
      <c r="D1128" s="1"/>
      <c r="E1128" s="1"/>
      <c r="F1128" s="1"/>
      <c r="G1128" s="1"/>
      <c r="H1128" s="1"/>
      <c r="I1128" s="5"/>
      <c r="J1128" s="5"/>
      <c r="K1128" s="5"/>
      <c r="L1128" s="5"/>
      <c r="M1128" s="5"/>
    </row>
    <row r="1129" spans="2:13" x14ac:dyDescent="0.2">
      <c r="B1129" s="3"/>
      <c r="C1129" s="11"/>
      <c r="D1129" s="1"/>
      <c r="E1129" s="1"/>
      <c r="F1129" s="1"/>
      <c r="G1129" s="1"/>
      <c r="H1129" s="1"/>
      <c r="I1129" s="5"/>
      <c r="J1129" s="5"/>
      <c r="K1129" s="5"/>
      <c r="L1129" s="5"/>
      <c r="M1129" s="5"/>
    </row>
    <row r="1133" spans="2:13" x14ac:dyDescent="0.2">
      <c r="C1133" s="11"/>
      <c r="D1133" s="1"/>
      <c r="E1133" s="1"/>
      <c r="F1133" s="1"/>
      <c r="G1133" s="1"/>
      <c r="H1133" s="1"/>
      <c r="I1133" s="5"/>
      <c r="J1133" s="5"/>
      <c r="K1133" s="5"/>
      <c r="L1133" s="5"/>
      <c r="M1133" s="5"/>
    </row>
    <row r="1134" spans="2:13" x14ac:dyDescent="0.2">
      <c r="B1134" s="3"/>
      <c r="C1134" s="11"/>
      <c r="D1134" s="1"/>
      <c r="E1134" s="1"/>
      <c r="F1134" s="1"/>
      <c r="G1134" s="1"/>
      <c r="H1134" s="1"/>
      <c r="I1134" s="5"/>
      <c r="J1134" s="5"/>
      <c r="K1134" s="5"/>
      <c r="L1134" s="5"/>
      <c r="M1134" s="5"/>
    </row>
    <row r="1138" spans="2:13" x14ac:dyDescent="0.2">
      <c r="B1138" s="3"/>
      <c r="C1138" s="11"/>
      <c r="D1138" s="1"/>
      <c r="E1138" s="1"/>
      <c r="F1138" s="1"/>
      <c r="G1138" s="1"/>
      <c r="H1138" s="1"/>
      <c r="I1138" s="5"/>
      <c r="J1138" s="5"/>
      <c r="K1138" s="5"/>
      <c r="L1138" s="5"/>
      <c r="M1138" s="5"/>
    </row>
    <row r="1143" spans="2:13" x14ac:dyDescent="0.2">
      <c r="C1143" s="11"/>
      <c r="D1143" s="1"/>
      <c r="E1143" s="1"/>
      <c r="F1143" s="1"/>
      <c r="G1143" s="1"/>
      <c r="H1143" s="1"/>
      <c r="I1143" s="5"/>
      <c r="J1143" s="5"/>
      <c r="K1143" s="5"/>
      <c r="L1143" s="5"/>
      <c r="M1143" s="5"/>
    </row>
    <row r="1145" spans="2:13" x14ac:dyDescent="0.2">
      <c r="C1145" s="11"/>
      <c r="D1145" s="1"/>
      <c r="E1145" s="1"/>
      <c r="F1145" s="1"/>
      <c r="G1145" s="1"/>
      <c r="H1145" s="1"/>
      <c r="I1145" s="5"/>
      <c r="J1145" s="5"/>
      <c r="K1145" s="5"/>
      <c r="L1145" s="5"/>
      <c r="M1145" s="5"/>
    </row>
    <row r="1146" spans="2:13" x14ac:dyDescent="0.2">
      <c r="B1146" s="3"/>
      <c r="C1146" s="11"/>
      <c r="D1146" s="1"/>
      <c r="E1146" s="1"/>
      <c r="F1146" s="1"/>
      <c r="G1146" s="1"/>
      <c r="H1146" s="1"/>
      <c r="I1146" s="5"/>
      <c r="J1146" s="5"/>
      <c r="K1146" s="5"/>
      <c r="L1146" s="5"/>
      <c r="M1146" s="5"/>
    </row>
    <row r="1150" spans="2:13" x14ac:dyDescent="0.2">
      <c r="C1150" s="11"/>
      <c r="D1150" s="1"/>
      <c r="E1150" s="1"/>
      <c r="F1150" s="1"/>
      <c r="G1150" s="1"/>
      <c r="H1150" s="1"/>
      <c r="I1150" s="5"/>
      <c r="J1150" s="5"/>
      <c r="K1150" s="5"/>
      <c r="L1150" s="5"/>
      <c r="M1150" s="5"/>
    </row>
    <row r="1153" spans="2:13" x14ac:dyDescent="0.2">
      <c r="C1153" s="11"/>
      <c r="D1153" s="1"/>
      <c r="E1153" s="1"/>
      <c r="F1153" s="1"/>
      <c r="G1153" s="1"/>
      <c r="H1153" s="1"/>
      <c r="I1153" s="5"/>
      <c r="J1153" s="5"/>
      <c r="K1153" s="5"/>
      <c r="L1153" s="5"/>
      <c r="M1153" s="5"/>
    </row>
    <row r="1154" spans="2:13" x14ac:dyDescent="0.2">
      <c r="B1154" s="3"/>
      <c r="C1154" s="11"/>
      <c r="D1154" s="1"/>
      <c r="E1154" s="1"/>
      <c r="F1154" s="1"/>
      <c r="G1154" s="1"/>
      <c r="H1154" s="1"/>
      <c r="I1154" s="5"/>
      <c r="J1154" s="5"/>
      <c r="K1154" s="5"/>
      <c r="L1154" s="5"/>
      <c r="M1154" s="5"/>
    </row>
    <row r="1155" spans="2:13" x14ac:dyDescent="0.2">
      <c r="B1155" s="3"/>
      <c r="C1155" s="11"/>
      <c r="D1155" s="1"/>
      <c r="E1155" s="1"/>
      <c r="F1155" s="1"/>
      <c r="G1155" s="1"/>
      <c r="H1155" s="1"/>
      <c r="I1155" s="5"/>
      <c r="J1155" s="5"/>
      <c r="K1155" s="5"/>
      <c r="L1155" s="5"/>
      <c r="M1155" s="5"/>
    </row>
    <row r="1160" spans="2:13" x14ac:dyDescent="0.2">
      <c r="C1160" s="11"/>
      <c r="D1160" s="1"/>
      <c r="E1160" s="1"/>
      <c r="F1160" s="1"/>
      <c r="G1160" s="1"/>
      <c r="H1160" s="1"/>
      <c r="I1160" s="5"/>
      <c r="J1160" s="5"/>
      <c r="K1160" s="5"/>
      <c r="L1160" s="5"/>
      <c r="M1160" s="5"/>
    </row>
    <row r="1167" spans="2:13" x14ac:dyDescent="0.2">
      <c r="C1167" s="11"/>
      <c r="D1167" s="1"/>
      <c r="E1167" s="1"/>
      <c r="F1167" s="1"/>
      <c r="G1167" s="1"/>
      <c r="H1167" s="1"/>
      <c r="I1167" s="5"/>
      <c r="J1167" s="5"/>
      <c r="K1167" s="5"/>
      <c r="L1167" s="5"/>
      <c r="M1167" s="5"/>
    </row>
    <row r="1169" spans="2:13" x14ac:dyDescent="0.2">
      <c r="B1169" s="3"/>
      <c r="C1169" s="11"/>
      <c r="D1169" s="1"/>
      <c r="E1169" s="1"/>
      <c r="F1169" s="1"/>
      <c r="G1169" s="1"/>
      <c r="H1169" s="1"/>
      <c r="I1169" s="5"/>
      <c r="J1169" s="5"/>
      <c r="K1169" s="5"/>
      <c r="L1169" s="5"/>
      <c r="M1169" s="5"/>
    </row>
    <row r="1172" spans="2:13" x14ac:dyDescent="0.2">
      <c r="B1172" s="3"/>
      <c r="C1172" s="11"/>
      <c r="D1172" s="1"/>
      <c r="E1172" s="1"/>
      <c r="F1172" s="1"/>
      <c r="G1172" s="1"/>
      <c r="H1172" s="1"/>
      <c r="I1172" s="5"/>
      <c r="J1172" s="5"/>
      <c r="K1172" s="5"/>
      <c r="L1172" s="5"/>
      <c r="M1172" s="5"/>
    </row>
    <row r="1173" spans="2:13" x14ac:dyDescent="0.2">
      <c r="B1173" s="3"/>
      <c r="C1173" s="11"/>
      <c r="D1173" s="1"/>
      <c r="E1173" s="1"/>
      <c r="F1173" s="1"/>
      <c r="G1173" s="1"/>
      <c r="H1173" s="1"/>
      <c r="I1173" s="5"/>
      <c r="J1173" s="5"/>
      <c r="K1173" s="5"/>
      <c r="L1173" s="5"/>
      <c r="M1173" s="5"/>
    </row>
    <row r="1174" spans="2:13" x14ac:dyDescent="0.2">
      <c r="B1174" s="3"/>
      <c r="C1174" s="11"/>
      <c r="D1174" s="1"/>
      <c r="E1174" s="1"/>
      <c r="F1174" s="1"/>
      <c r="G1174" s="1"/>
      <c r="H1174" s="1"/>
      <c r="I1174" s="5"/>
      <c r="J1174" s="5"/>
      <c r="K1174" s="5"/>
      <c r="L1174" s="5"/>
      <c r="M1174" s="5"/>
    </row>
    <row r="1177" spans="2:13" x14ac:dyDescent="0.2">
      <c r="B1177" s="3"/>
      <c r="C1177" s="11"/>
      <c r="D1177" s="1"/>
      <c r="E1177" s="1"/>
      <c r="F1177" s="1"/>
      <c r="G1177" s="1"/>
      <c r="H1177" s="1"/>
      <c r="I1177" s="5"/>
      <c r="J1177" s="5"/>
      <c r="K1177" s="5"/>
      <c r="L1177" s="5"/>
      <c r="M1177" s="5"/>
    </row>
    <row r="1178" spans="2:13" x14ac:dyDescent="0.2">
      <c r="B1178" s="3"/>
      <c r="C1178" s="11"/>
      <c r="D1178" s="1"/>
      <c r="E1178" s="1"/>
      <c r="F1178" s="1"/>
      <c r="G1178" s="1"/>
      <c r="H1178" s="1"/>
      <c r="I1178" s="5"/>
      <c r="J1178" s="5"/>
      <c r="K1178" s="5"/>
      <c r="L1178" s="5"/>
      <c r="M1178" s="5"/>
    </row>
    <row r="1181" spans="2:13" x14ac:dyDescent="0.2">
      <c r="B1181" s="3"/>
      <c r="C1181" s="11"/>
      <c r="D1181" s="1"/>
      <c r="E1181" s="1"/>
      <c r="F1181" s="1"/>
      <c r="G1181" s="1"/>
      <c r="H1181" s="1"/>
      <c r="I1181" s="5"/>
      <c r="J1181" s="5"/>
      <c r="K1181" s="5"/>
      <c r="L1181" s="5"/>
      <c r="M1181" s="5"/>
    </row>
    <row r="1182" spans="2:13" x14ac:dyDescent="0.2">
      <c r="B1182" s="3"/>
      <c r="C1182" s="11"/>
      <c r="D1182" s="1"/>
      <c r="E1182" s="1"/>
      <c r="F1182" s="1"/>
      <c r="G1182" s="1"/>
      <c r="H1182" s="1"/>
      <c r="I1182" s="5"/>
      <c r="J1182" s="5"/>
      <c r="K1182" s="5"/>
      <c r="L1182" s="5"/>
      <c r="M1182" s="5"/>
    </row>
    <row r="1184" spans="2:13" x14ac:dyDescent="0.2">
      <c r="B1184" s="3"/>
      <c r="C1184" s="11"/>
      <c r="D1184" s="1"/>
      <c r="E1184" s="1"/>
      <c r="F1184" s="1"/>
      <c r="G1184" s="1"/>
      <c r="H1184" s="1"/>
      <c r="I1184" s="5"/>
      <c r="J1184" s="5"/>
      <c r="K1184" s="5"/>
      <c r="L1184" s="5"/>
      <c r="M1184" s="5"/>
    </row>
    <row r="1190" spans="2:14" x14ac:dyDescent="0.2">
      <c r="B1190" s="3"/>
      <c r="C1190" s="11"/>
      <c r="D1190" s="1"/>
      <c r="E1190" s="1"/>
      <c r="F1190" s="1"/>
      <c r="G1190" s="1"/>
      <c r="H1190" s="1"/>
      <c r="I1190" s="5"/>
      <c r="J1190" s="5"/>
      <c r="K1190" s="5"/>
      <c r="L1190" s="5"/>
      <c r="M1190" s="5"/>
    </row>
    <row r="1192" spans="2:14" x14ac:dyDescent="0.2">
      <c r="B1192" s="3"/>
      <c r="C1192" s="11"/>
      <c r="D1192" s="1"/>
      <c r="E1192" s="1"/>
      <c r="F1192" s="1"/>
      <c r="G1192" s="1"/>
      <c r="H1192" s="1"/>
      <c r="I1192" s="5"/>
      <c r="J1192" s="5"/>
      <c r="K1192" s="5"/>
      <c r="L1192" s="5"/>
      <c r="M1192" s="5"/>
    </row>
    <row r="1194" spans="2:14" x14ac:dyDescent="0.2">
      <c r="B1194" s="3"/>
      <c r="C1194" s="11"/>
      <c r="D1194" s="1"/>
      <c r="E1194" s="1"/>
      <c r="F1194" s="1"/>
      <c r="G1194" s="1"/>
      <c r="H1194" s="1"/>
      <c r="I1194" s="5"/>
      <c r="J1194" s="5"/>
      <c r="K1194" s="5"/>
      <c r="L1194" s="5"/>
      <c r="M1194" s="5"/>
      <c r="N1194" s="8"/>
    </row>
    <row r="1195" spans="2:14" x14ac:dyDescent="0.2">
      <c r="N1195" s="8"/>
    </row>
    <row r="1196" spans="2:14" x14ac:dyDescent="0.2">
      <c r="B1196" s="3"/>
      <c r="C1196" s="11"/>
      <c r="D1196" s="1"/>
      <c r="E1196" s="1"/>
      <c r="F1196" s="1"/>
      <c r="G1196" s="1"/>
      <c r="H1196" s="1"/>
      <c r="I1196" s="5"/>
      <c r="J1196" s="5"/>
      <c r="K1196" s="5"/>
      <c r="L1196" s="5"/>
      <c r="M1196" s="5"/>
      <c r="N1196" s="8"/>
    </row>
    <row r="1197" spans="2:14" x14ac:dyDescent="0.2">
      <c r="N1197" s="8"/>
    </row>
    <row r="1198" spans="2:14" x14ac:dyDescent="0.2">
      <c r="N1198" s="8"/>
    </row>
    <row r="1200" spans="2:14" x14ac:dyDescent="0.2">
      <c r="B1200" s="3"/>
      <c r="C1200" s="11"/>
      <c r="D1200" s="1"/>
      <c r="E1200" s="1"/>
      <c r="F1200" s="1"/>
      <c r="G1200" s="1"/>
      <c r="H1200" s="1"/>
      <c r="I1200" s="5"/>
      <c r="J1200" s="5"/>
      <c r="K1200" s="5"/>
      <c r="L1200" s="5"/>
      <c r="M1200" s="5"/>
    </row>
    <row r="1203" spans="2:14" x14ac:dyDescent="0.2">
      <c r="B1203" s="3"/>
      <c r="C1203" s="11"/>
      <c r="D1203" s="1"/>
      <c r="E1203" s="1"/>
      <c r="F1203" s="1"/>
      <c r="G1203" s="1"/>
      <c r="H1203" s="1"/>
      <c r="I1203" s="5"/>
      <c r="J1203" s="5"/>
      <c r="K1203" s="5"/>
      <c r="L1203" s="5"/>
      <c r="M1203" s="5"/>
    </row>
    <row r="1206" spans="2:14" x14ac:dyDescent="0.2">
      <c r="B1206" s="3"/>
      <c r="C1206" s="11"/>
      <c r="D1206" s="1"/>
      <c r="E1206" s="1"/>
      <c r="F1206" s="1"/>
      <c r="G1206" s="1"/>
      <c r="H1206" s="1"/>
      <c r="I1206" s="5"/>
      <c r="J1206" s="5"/>
      <c r="K1206" s="5"/>
      <c r="L1206" s="5"/>
      <c r="M1206" s="5"/>
    </row>
    <row r="1208" spans="2:14" x14ac:dyDescent="0.2">
      <c r="B1208" s="3"/>
      <c r="C1208" s="11"/>
      <c r="D1208" s="1"/>
      <c r="E1208" s="1"/>
      <c r="F1208" s="1"/>
      <c r="G1208" s="1"/>
      <c r="H1208" s="1"/>
      <c r="I1208" s="5"/>
      <c r="J1208" s="5"/>
      <c r="K1208" s="5"/>
      <c r="L1208" s="5"/>
      <c r="M1208" s="5"/>
    </row>
    <row r="1209" spans="2:14" x14ac:dyDescent="0.2">
      <c r="B1209" s="3"/>
      <c r="C1209" s="11"/>
      <c r="D1209" s="1"/>
      <c r="E1209" s="1"/>
      <c r="F1209" s="1"/>
      <c r="G1209" s="1"/>
      <c r="H1209" s="1"/>
      <c r="I1209" s="5"/>
      <c r="J1209" s="5"/>
      <c r="K1209" s="5"/>
      <c r="L1209" s="5"/>
      <c r="M1209" s="5"/>
    </row>
    <row r="1211" spans="2:14" x14ac:dyDescent="0.2">
      <c r="B1211" s="3"/>
      <c r="C1211" s="11"/>
      <c r="D1211" s="1"/>
      <c r="E1211" s="1"/>
      <c r="F1211" s="1"/>
      <c r="G1211" s="1"/>
      <c r="H1211" s="1"/>
      <c r="I1211" s="5"/>
      <c r="J1211" s="5"/>
      <c r="K1211" s="5"/>
      <c r="L1211" s="5"/>
      <c r="M1211" s="5"/>
    </row>
    <row r="1213" spans="2:14" x14ac:dyDescent="0.2">
      <c r="N1213" s="8"/>
    </row>
    <row r="1214" spans="2:14" x14ac:dyDescent="0.2">
      <c r="N1214" s="8"/>
    </row>
    <row r="1215" spans="2:14" x14ac:dyDescent="0.2">
      <c r="N1215" s="8"/>
    </row>
    <row r="1216" spans="2:14" x14ac:dyDescent="0.2">
      <c r="N1216" s="8"/>
    </row>
    <row r="1217" spans="14:14" x14ac:dyDescent="0.2">
      <c r="N1217" s="8"/>
    </row>
    <row r="1218" spans="14:14" x14ac:dyDescent="0.2">
      <c r="N1218" s="8"/>
    </row>
    <row r="1219" spans="14:14" x14ac:dyDescent="0.2">
      <c r="N1219" s="8"/>
    </row>
    <row r="1220" spans="14:14" x14ac:dyDescent="0.2">
      <c r="N1220" s="8"/>
    </row>
    <row r="1221" spans="14:14" x14ac:dyDescent="0.2">
      <c r="N1221" s="8"/>
    </row>
    <row r="1222" spans="14:14" x14ac:dyDescent="0.2">
      <c r="N1222" s="8"/>
    </row>
    <row r="1243" spans="14:14" x14ac:dyDescent="0.2">
      <c r="N1243" s="8"/>
    </row>
    <row r="1246" spans="14:14" x14ac:dyDescent="0.2">
      <c r="N1246" s="8"/>
    </row>
    <row r="1247" spans="14:14" x14ac:dyDescent="0.2">
      <c r="N1247" s="8"/>
    </row>
    <row r="1256" spans="14:14" x14ac:dyDescent="0.2">
      <c r="N1256" s="8"/>
    </row>
    <row r="1257" spans="14:14" x14ac:dyDescent="0.2">
      <c r="N1257" s="8"/>
    </row>
    <row r="1258" spans="14:14" x14ac:dyDescent="0.2">
      <c r="N1258" s="8"/>
    </row>
    <row r="1259" spans="14:14" x14ac:dyDescent="0.2">
      <c r="N1259" s="8"/>
    </row>
    <row r="1303" spans="14:14" x14ac:dyDescent="0.2">
      <c r="N1303" s="8"/>
    </row>
    <row r="1377" spans="14:14" x14ac:dyDescent="0.2">
      <c r="N1377" s="8"/>
    </row>
    <row r="1390" spans="14:14" x14ac:dyDescent="0.2">
      <c r="N1390" s="8"/>
    </row>
    <row r="1391" spans="14:14" x14ac:dyDescent="0.2">
      <c r="N1391" s="8"/>
    </row>
    <row r="1401" spans="14:14" x14ac:dyDescent="0.2">
      <c r="N1401" s="8"/>
    </row>
    <row r="1626" spans="2:13" x14ac:dyDescent="0.2">
      <c r="B1626" s="2"/>
      <c r="C1626" s="11"/>
      <c r="D1626" s="1"/>
      <c r="E1626" s="1"/>
      <c r="F1626" s="1"/>
      <c r="G1626" s="1"/>
      <c r="H1626" s="1"/>
      <c r="I1626" s="5"/>
      <c r="J1626" s="5"/>
      <c r="K1626" s="5"/>
      <c r="L1626" s="5"/>
      <c r="M1626" s="5"/>
    </row>
    <row r="1628" spans="2:13" x14ac:dyDescent="0.2">
      <c r="B1628" s="2"/>
      <c r="C1628" s="11"/>
      <c r="D1628" s="1"/>
      <c r="E1628" s="1"/>
      <c r="F1628" s="1"/>
      <c r="G1628" s="1"/>
      <c r="H1628" s="1"/>
      <c r="I1628" s="5"/>
      <c r="J1628" s="5"/>
      <c r="K1628" s="5"/>
      <c r="L1628" s="5"/>
      <c r="M1628" s="5"/>
    </row>
    <row r="1629" spans="2:13" x14ac:dyDescent="0.2">
      <c r="B1629" s="2"/>
      <c r="C1629" s="11"/>
      <c r="D1629" s="1"/>
      <c r="E1629" s="1"/>
      <c r="F1629" s="1"/>
      <c r="G1629" s="1"/>
      <c r="H1629" s="1"/>
      <c r="I1629" s="5"/>
      <c r="J1629" s="5"/>
      <c r="K1629" s="5"/>
      <c r="L1629" s="5"/>
      <c r="M1629" s="5"/>
    </row>
    <row r="1640" spans="2:13" x14ac:dyDescent="0.2">
      <c r="B1640" s="2"/>
      <c r="C1640" s="11"/>
      <c r="D1640" s="1"/>
      <c r="E1640" s="1"/>
      <c r="F1640" s="1"/>
      <c r="G1640" s="1"/>
      <c r="H1640" s="1"/>
      <c r="I1640" s="5"/>
      <c r="J1640" s="5"/>
      <c r="K1640" s="5"/>
      <c r="L1640" s="5"/>
      <c r="M1640" s="5"/>
    </row>
    <row r="1641" spans="2:13" x14ac:dyDescent="0.2">
      <c r="B1641" s="2"/>
      <c r="C1641" s="11"/>
      <c r="D1641" s="1"/>
      <c r="E1641" s="1"/>
      <c r="F1641" s="1"/>
      <c r="G1641" s="1"/>
      <c r="H1641" s="1"/>
      <c r="I1641" s="5"/>
      <c r="J1641" s="5"/>
      <c r="K1641" s="5"/>
      <c r="L1641" s="5"/>
      <c r="M1641" s="5"/>
    </row>
    <row r="1643" spans="2:13" x14ac:dyDescent="0.2">
      <c r="B1643" s="2"/>
      <c r="C1643" s="11"/>
      <c r="D1643" s="1"/>
      <c r="E1643" s="1"/>
      <c r="F1643" s="1"/>
      <c r="G1643" s="1"/>
      <c r="H1643" s="1"/>
      <c r="I1643" s="5"/>
      <c r="J1643" s="5"/>
      <c r="K1643" s="5"/>
      <c r="L1643" s="5"/>
      <c r="M1643" s="5"/>
    </row>
    <row r="1644" spans="2:13" x14ac:dyDescent="0.2">
      <c r="B1644" s="2"/>
      <c r="C1644" s="11"/>
      <c r="D1644" s="1"/>
      <c r="E1644" s="1"/>
      <c r="F1644" s="1"/>
      <c r="G1644" s="1"/>
      <c r="H1644" s="1"/>
      <c r="I1644" s="5"/>
      <c r="J1644" s="5"/>
      <c r="K1644" s="5"/>
      <c r="L1644" s="5"/>
      <c r="M1644" s="5"/>
    </row>
    <row r="1645" spans="2:13" x14ac:dyDescent="0.2">
      <c r="C1645" s="11"/>
      <c r="D1645" s="1"/>
      <c r="E1645" s="1"/>
      <c r="F1645" s="1"/>
      <c r="G1645" s="1"/>
      <c r="H1645" s="1"/>
      <c r="I1645" s="5"/>
      <c r="J1645" s="5"/>
      <c r="K1645" s="5"/>
      <c r="L1645" s="5"/>
      <c r="M1645" s="5"/>
    </row>
    <row r="1647" spans="2:13" x14ac:dyDescent="0.2">
      <c r="C1647" s="11"/>
      <c r="D1647" s="1"/>
      <c r="E1647" s="1"/>
      <c r="F1647" s="1"/>
      <c r="G1647" s="1"/>
      <c r="H1647" s="1"/>
      <c r="I1647" s="5"/>
      <c r="J1647" s="5"/>
      <c r="K1647" s="5"/>
      <c r="L1647" s="5"/>
      <c r="M1647" s="5"/>
    </row>
    <row r="1649" spans="2:13" x14ac:dyDescent="0.2">
      <c r="B1649" s="2"/>
      <c r="C1649" s="11"/>
      <c r="D1649" s="1"/>
      <c r="E1649" s="1"/>
      <c r="F1649" s="1"/>
      <c r="G1649" s="1"/>
      <c r="H1649" s="1"/>
      <c r="I1649" s="5"/>
      <c r="J1649" s="5"/>
      <c r="K1649" s="5"/>
      <c r="L1649" s="5"/>
      <c r="M1649" s="5"/>
    </row>
    <row r="1653" spans="2:13" x14ac:dyDescent="0.2">
      <c r="B1653" s="2"/>
      <c r="C1653" s="11"/>
      <c r="D1653" s="1"/>
      <c r="E1653" s="1"/>
      <c r="F1653" s="1"/>
      <c r="G1653" s="1"/>
      <c r="H1653" s="1"/>
      <c r="I1653" s="5"/>
      <c r="J1653" s="5"/>
      <c r="K1653" s="5"/>
      <c r="L1653" s="5"/>
      <c r="M1653" s="5"/>
    </row>
    <row r="1654" spans="2:13" x14ac:dyDescent="0.2">
      <c r="B1654" s="2"/>
      <c r="C1654" s="11"/>
      <c r="D1654" s="1"/>
      <c r="E1654" s="1"/>
      <c r="F1654" s="1"/>
      <c r="G1654" s="1"/>
      <c r="H1654" s="1"/>
      <c r="I1654" s="5"/>
      <c r="J1654" s="5"/>
      <c r="K1654" s="5"/>
      <c r="L1654" s="5"/>
      <c r="M1654" s="5"/>
    </row>
    <row r="1655" spans="2:13" x14ac:dyDescent="0.2">
      <c r="B1655" s="2"/>
      <c r="C1655" s="11"/>
      <c r="D1655" s="1"/>
      <c r="E1655" s="1"/>
      <c r="F1655" s="1"/>
      <c r="G1655" s="1"/>
      <c r="H1655" s="1"/>
      <c r="I1655" s="5"/>
      <c r="J1655" s="5"/>
      <c r="K1655" s="5"/>
      <c r="L1655" s="5"/>
      <c r="M1655" s="5"/>
    </row>
    <row r="1659" spans="2:13" x14ac:dyDescent="0.2">
      <c r="B1659" s="2"/>
      <c r="C1659" s="11"/>
      <c r="D1659" s="1"/>
      <c r="E1659" s="1"/>
      <c r="F1659" s="1"/>
      <c r="G1659" s="1"/>
      <c r="H1659" s="1"/>
      <c r="I1659" s="5"/>
      <c r="J1659" s="5"/>
      <c r="K1659" s="5"/>
      <c r="L1659" s="5"/>
      <c r="M1659" s="5"/>
    </row>
    <row r="1661" spans="2:13" x14ac:dyDescent="0.2">
      <c r="B1661" s="2"/>
      <c r="C1661" s="11"/>
      <c r="D1661" s="1"/>
      <c r="E1661" s="1"/>
      <c r="F1661" s="1"/>
      <c r="G1661" s="1"/>
      <c r="H1661" s="1"/>
      <c r="I1661" s="5"/>
      <c r="J1661" s="5"/>
      <c r="K1661" s="5"/>
      <c r="L1661" s="5"/>
      <c r="M1661" s="5"/>
    </row>
    <row r="1663" spans="2:13" x14ac:dyDescent="0.2">
      <c r="B1663" s="2"/>
      <c r="C1663" s="11"/>
      <c r="D1663" s="1"/>
      <c r="E1663" s="1"/>
      <c r="F1663" s="1"/>
      <c r="G1663" s="1"/>
      <c r="H1663" s="1"/>
      <c r="I1663" s="5"/>
      <c r="J1663" s="5"/>
      <c r="K1663" s="5"/>
      <c r="L1663" s="5"/>
      <c r="M1663" s="5"/>
    </row>
    <row r="1668" spans="2:13" x14ac:dyDescent="0.2">
      <c r="B1668" s="2"/>
      <c r="C1668" s="11"/>
      <c r="D1668" s="1"/>
      <c r="E1668" s="1"/>
      <c r="F1668" s="1"/>
      <c r="G1668" s="1"/>
      <c r="H1668" s="1"/>
      <c r="I1668" s="5"/>
      <c r="J1668" s="5"/>
      <c r="K1668" s="5"/>
      <c r="L1668" s="5"/>
      <c r="M1668" s="5"/>
    </row>
    <row r="1670" spans="2:13" x14ac:dyDescent="0.2">
      <c r="B1670" s="2"/>
      <c r="C1670" s="11"/>
      <c r="D1670" s="1"/>
      <c r="E1670" s="1"/>
      <c r="F1670" s="1"/>
      <c r="G1670" s="1"/>
      <c r="H1670" s="1"/>
      <c r="I1670" s="5"/>
      <c r="J1670" s="5"/>
      <c r="K1670" s="5"/>
      <c r="L1670" s="5"/>
      <c r="M1670" s="5"/>
    </row>
    <row r="1678" spans="2:13" x14ac:dyDescent="0.2">
      <c r="B1678" s="2"/>
      <c r="C1678" s="11"/>
      <c r="D1678" s="1"/>
      <c r="E1678" s="1"/>
      <c r="F1678" s="1"/>
      <c r="G1678" s="1"/>
      <c r="H1678" s="1"/>
      <c r="I1678" s="5"/>
      <c r="J1678" s="5"/>
      <c r="K1678" s="5"/>
      <c r="L1678" s="5"/>
      <c r="M1678" s="5"/>
    </row>
    <row r="1681" spans="2:13" x14ac:dyDescent="0.2">
      <c r="C1681" s="11"/>
      <c r="D1681" s="1"/>
      <c r="E1681" s="1"/>
      <c r="F1681" s="1"/>
      <c r="G1681" s="1"/>
      <c r="H1681" s="1"/>
      <c r="I1681" s="5"/>
      <c r="J1681" s="5"/>
      <c r="K1681" s="5"/>
      <c r="L1681" s="5"/>
      <c r="M1681" s="5"/>
    </row>
    <row r="1684" spans="2:13" x14ac:dyDescent="0.2">
      <c r="C1684" s="11"/>
      <c r="D1684" s="1"/>
      <c r="E1684" s="1"/>
      <c r="F1684" s="1"/>
      <c r="G1684" s="1"/>
      <c r="H1684" s="1"/>
      <c r="I1684" s="5"/>
      <c r="J1684" s="5"/>
      <c r="K1684" s="5"/>
      <c r="L1684" s="5"/>
      <c r="M1684" s="5"/>
    </row>
    <row r="1687" spans="2:13" x14ac:dyDescent="0.2">
      <c r="C1687" s="11"/>
      <c r="D1687" s="1"/>
      <c r="E1687" s="1"/>
      <c r="F1687" s="1"/>
      <c r="G1687" s="1"/>
      <c r="H1687" s="1"/>
      <c r="I1687" s="5"/>
      <c r="J1687" s="5"/>
      <c r="K1687" s="5"/>
      <c r="L1687" s="5"/>
      <c r="M1687" s="5"/>
    </row>
    <row r="1693" spans="2:13" x14ac:dyDescent="0.2">
      <c r="B1693" s="2"/>
      <c r="C1693" s="11"/>
      <c r="D1693" s="1"/>
      <c r="E1693" s="1"/>
      <c r="F1693" s="1"/>
      <c r="G1693" s="1"/>
      <c r="H1693" s="1"/>
      <c r="I1693" s="5"/>
      <c r="J1693" s="5"/>
      <c r="K1693" s="5"/>
      <c r="L1693" s="5"/>
      <c r="M1693" s="5"/>
    </row>
    <row r="1696" spans="2:13" x14ac:dyDescent="0.2">
      <c r="C1696" s="11"/>
      <c r="D1696" s="1"/>
      <c r="E1696" s="1"/>
      <c r="F1696" s="1"/>
      <c r="G1696" s="1"/>
      <c r="H1696" s="1"/>
      <c r="I1696" s="5"/>
      <c r="J1696" s="5"/>
      <c r="K1696" s="5"/>
      <c r="L1696" s="5"/>
      <c r="M1696" s="5"/>
    </row>
    <row r="1698" spans="2:13" x14ac:dyDescent="0.2">
      <c r="B1698" s="2"/>
      <c r="C1698" s="11"/>
      <c r="D1698" s="1"/>
      <c r="E1698" s="1"/>
      <c r="F1698" s="1"/>
      <c r="G1698" s="1"/>
      <c r="H1698" s="1"/>
      <c r="I1698" s="5"/>
      <c r="J1698" s="5"/>
      <c r="K1698" s="5"/>
      <c r="L1698" s="5"/>
      <c r="M1698" s="5"/>
    </row>
    <row r="1703" spans="2:13" x14ac:dyDescent="0.2">
      <c r="B1703" s="2"/>
      <c r="C1703" s="11"/>
      <c r="D1703" s="1"/>
      <c r="E1703" s="1"/>
      <c r="F1703" s="1"/>
      <c r="G1703" s="1"/>
      <c r="H1703" s="1"/>
      <c r="I1703" s="5"/>
      <c r="J1703" s="5"/>
      <c r="K1703" s="5"/>
      <c r="L1703" s="5"/>
      <c r="M1703" s="5"/>
    </row>
    <row r="1708" spans="2:13" x14ac:dyDescent="0.2">
      <c r="B1708" s="2"/>
      <c r="C1708" s="11"/>
      <c r="D1708" s="1"/>
      <c r="E1708" s="1"/>
      <c r="F1708" s="1"/>
      <c r="G1708" s="1"/>
      <c r="H1708" s="1"/>
      <c r="I1708" s="5"/>
      <c r="J1708" s="5"/>
      <c r="K1708" s="5"/>
      <c r="L1708" s="5"/>
      <c r="M1708" s="5"/>
    </row>
    <row r="1713" spans="2:13" x14ac:dyDescent="0.2">
      <c r="B1713" s="2"/>
      <c r="C1713" s="11"/>
      <c r="D1713" s="1"/>
      <c r="E1713" s="1"/>
      <c r="F1713" s="1"/>
      <c r="G1713" s="1"/>
      <c r="H1713" s="1"/>
      <c r="I1713" s="5"/>
      <c r="J1713" s="5"/>
      <c r="K1713" s="5"/>
      <c r="L1713" s="5"/>
      <c r="M1713" s="5"/>
    </row>
    <row r="1714" spans="2:13" x14ac:dyDescent="0.2">
      <c r="B1714" s="2"/>
      <c r="C1714" s="11"/>
      <c r="D1714" s="1"/>
      <c r="E1714" s="1"/>
      <c r="F1714" s="1"/>
      <c r="G1714" s="1"/>
      <c r="H1714" s="1"/>
      <c r="I1714" s="5"/>
      <c r="J1714" s="5"/>
      <c r="K1714" s="5"/>
      <c r="L1714" s="5"/>
      <c r="M1714" s="5"/>
    </row>
    <row r="1715" spans="2:13" x14ac:dyDescent="0.2">
      <c r="C1715" s="11"/>
      <c r="D1715" s="1"/>
      <c r="E1715" s="1"/>
      <c r="F1715" s="1"/>
      <c r="G1715" s="1"/>
      <c r="H1715" s="1"/>
      <c r="I1715" s="5"/>
      <c r="J1715" s="5"/>
      <c r="K1715" s="5"/>
      <c r="L1715" s="5"/>
      <c r="M1715" s="5"/>
    </row>
    <row r="1718" spans="2:13" x14ac:dyDescent="0.2">
      <c r="B1718" s="2"/>
      <c r="C1718" s="11"/>
      <c r="D1718" s="1"/>
      <c r="E1718" s="1"/>
      <c r="F1718" s="1"/>
      <c r="G1718" s="1"/>
      <c r="H1718" s="1"/>
      <c r="I1718" s="5"/>
      <c r="J1718" s="5"/>
      <c r="K1718" s="5"/>
      <c r="L1718" s="5"/>
      <c r="M1718" s="5"/>
    </row>
    <row r="1723" spans="2:13" x14ac:dyDescent="0.2">
      <c r="B1723" s="2"/>
      <c r="C1723" s="11"/>
      <c r="D1723" s="1"/>
      <c r="E1723" s="1"/>
      <c r="F1723" s="1"/>
      <c r="G1723" s="1"/>
      <c r="H1723" s="1"/>
      <c r="I1723" s="5"/>
      <c r="J1723" s="5"/>
      <c r="K1723" s="5"/>
      <c r="L1723" s="5"/>
      <c r="M1723" s="5"/>
    </row>
    <row r="1727" spans="2:13" x14ac:dyDescent="0.2">
      <c r="C1727" s="11"/>
      <c r="D1727" s="1"/>
      <c r="E1727" s="1"/>
      <c r="F1727" s="1"/>
      <c r="G1727" s="1"/>
      <c r="H1727" s="1"/>
      <c r="I1727" s="5"/>
      <c r="J1727" s="5"/>
      <c r="K1727" s="5"/>
      <c r="L1727" s="5"/>
      <c r="M1727" s="5"/>
    </row>
    <row r="1729" spans="2:13" x14ac:dyDescent="0.2">
      <c r="C1729" s="11"/>
      <c r="D1729" s="1"/>
      <c r="E1729" s="1"/>
      <c r="F1729" s="1"/>
      <c r="G1729" s="1"/>
      <c r="H1729" s="1"/>
      <c r="I1729" s="5"/>
      <c r="J1729" s="5"/>
      <c r="K1729" s="5"/>
      <c r="L1729" s="5"/>
      <c r="M1729" s="5"/>
    </row>
    <row r="1731" spans="2:13" x14ac:dyDescent="0.2">
      <c r="B1731" s="2"/>
      <c r="C1731" s="11"/>
      <c r="D1731" s="1"/>
      <c r="E1731" s="1"/>
      <c r="F1731" s="1"/>
      <c r="G1731" s="1"/>
      <c r="H1731" s="1"/>
      <c r="I1731" s="5"/>
      <c r="J1731" s="5"/>
      <c r="K1731" s="5"/>
      <c r="L1731" s="5"/>
      <c r="M1731" s="5"/>
    </row>
    <row r="1733" spans="2:13" x14ac:dyDescent="0.2">
      <c r="B1733" s="2"/>
      <c r="C1733" s="11"/>
      <c r="D1733" s="1"/>
      <c r="E1733" s="1"/>
      <c r="F1733" s="1"/>
      <c r="G1733" s="1"/>
      <c r="H1733" s="1"/>
      <c r="I1733" s="5"/>
      <c r="J1733" s="5"/>
      <c r="K1733" s="5"/>
      <c r="L1733" s="5"/>
      <c r="M1733" s="5"/>
    </row>
    <row r="1735" spans="2:13" x14ac:dyDescent="0.2">
      <c r="B1735" s="2"/>
      <c r="C1735" s="11"/>
      <c r="D1735" s="1"/>
      <c r="E1735" s="1"/>
      <c r="F1735" s="1"/>
      <c r="G1735" s="1"/>
      <c r="H1735" s="1"/>
      <c r="I1735" s="5"/>
      <c r="J1735" s="5"/>
      <c r="K1735" s="5"/>
      <c r="L1735" s="5"/>
      <c r="M1735" s="5"/>
    </row>
    <row r="1737" spans="2:13" x14ac:dyDescent="0.2">
      <c r="B1737" s="2"/>
      <c r="C1737" s="11"/>
      <c r="D1737" s="1"/>
      <c r="E1737" s="1"/>
      <c r="F1737" s="1"/>
      <c r="G1737" s="1"/>
      <c r="H1737" s="1"/>
      <c r="I1737" s="5"/>
      <c r="J1737" s="5"/>
      <c r="K1737" s="5"/>
      <c r="L1737" s="5"/>
      <c r="M1737" s="5"/>
    </row>
    <row r="1740" spans="2:13" x14ac:dyDescent="0.2">
      <c r="B1740" s="2"/>
      <c r="C1740" s="11"/>
      <c r="D1740" s="1"/>
      <c r="E1740" s="1"/>
      <c r="F1740" s="1"/>
      <c r="G1740" s="1"/>
      <c r="H1740" s="1"/>
      <c r="I1740" s="5"/>
      <c r="J1740" s="5"/>
      <c r="K1740" s="5"/>
      <c r="L1740" s="5"/>
      <c r="M1740" s="5"/>
    </row>
    <row r="1743" spans="2:13" x14ac:dyDescent="0.2">
      <c r="B1743" s="2"/>
      <c r="C1743" s="11"/>
      <c r="D1743" s="1"/>
      <c r="E1743" s="1"/>
      <c r="F1743" s="1"/>
      <c r="G1743" s="1"/>
      <c r="H1743" s="1"/>
      <c r="I1743" s="5"/>
      <c r="J1743" s="5"/>
      <c r="K1743" s="5"/>
      <c r="L1743" s="5"/>
      <c r="M1743" s="5"/>
    </row>
    <row r="1744" spans="2:13" x14ac:dyDescent="0.2">
      <c r="B1744" s="2"/>
      <c r="C1744" s="11"/>
      <c r="D1744" s="1"/>
      <c r="E1744" s="1"/>
      <c r="F1744" s="1"/>
      <c r="G1744" s="1"/>
      <c r="H1744" s="1"/>
      <c r="I1744" s="5"/>
      <c r="J1744" s="5"/>
      <c r="K1744" s="5"/>
      <c r="L1744" s="5"/>
      <c r="M1744" s="5"/>
    </row>
    <row r="1747" spans="2:13" x14ac:dyDescent="0.2">
      <c r="B1747" s="2"/>
      <c r="C1747" s="11"/>
      <c r="D1747" s="1"/>
      <c r="E1747" s="1"/>
      <c r="F1747" s="1"/>
      <c r="G1747" s="1"/>
      <c r="H1747" s="1"/>
      <c r="I1747" s="5"/>
      <c r="J1747" s="5"/>
      <c r="K1747" s="5"/>
      <c r="L1747" s="5"/>
      <c r="M1747" s="5"/>
    </row>
    <row r="1749" spans="2:13" x14ac:dyDescent="0.2">
      <c r="B1749" s="2"/>
      <c r="C1749" s="11"/>
      <c r="D1749" s="1"/>
      <c r="E1749" s="1"/>
      <c r="F1749" s="1"/>
      <c r="G1749" s="1"/>
      <c r="H1749" s="1"/>
      <c r="I1749" s="5"/>
      <c r="J1749" s="5"/>
      <c r="K1749" s="5"/>
      <c r="L1749" s="5"/>
      <c r="M1749" s="5"/>
    </row>
    <row r="1751" spans="2:13" x14ac:dyDescent="0.2">
      <c r="B1751" s="2"/>
      <c r="C1751" s="11"/>
      <c r="D1751" s="1"/>
      <c r="E1751" s="1"/>
      <c r="F1751" s="1"/>
      <c r="G1751" s="1"/>
      <c r="H1751" s="1"/>
      <c r="I1751" s="5"/>
      <c r="J1751" s="5"/>
      <c r="K1751" s="5"/>
      <c r="L1751" s="5"/>
      <c r="M1751" s="5"/>
    </row>
    <row r="1758" spans="2:13" x14ac:dyDescent="0.2">
      <c r="B1758" s="2"/>
      <c r="C1758" s="11"/>
      <c r="D1758" s="1"/>
      <c r="E1758" s="1"/>
      <c r="F1758" s="1"/>
      <c r="G1758" s="1"/>
      <c r="H1758" s="1"/>
      <c r="I1758" s="5"/>
      <c r="J1758" s="5"/>
      <c r="K1758" s="5"/>
      <c r="L1758" s="5"/>
      <c r="M1758" s="5"/>
    </row>
    <row r="1760" spans="2:13" x14ac:dyDescent="0.2">
      <c r="B1760" s="2"/>
      <c r="C1760" s="11"/>
      <c r="D1760" s="1"/>
      <c r="E1760" s="1"/>
      <c r="F1760" s="1"/>
      <c r="G1760" s="1"/>
      <c r="H1760" s="1"/>
      <c r="I1760" s="5"/>
      <c r="J1760" s="5"/>
      <c r="K1760" s="5"/>
      <c r="L1760" s="5"/>
      <c r="M1760" s="5"/>
    </row>
    <row r="1762" spans="2:13" x14ac:dyDescent="0.2">
      <c r="B1762" s="2"/>
      <c r="C1762" s="11"/>
      <c r="D1762" s="1"/>
      <c r="E1762" s="1"/>
      <c r="F1762" s="1"/>
      <c r="G1762" s="1"/>
      <c r="H1762" s="1"/>
      <c r="I1762" s="5"/>
      <c r="J1762" s="5"/>
      <c r="K1762" s="5"/>
      <c r="L1762" s="5"/>
      <c r="M1762" s="5"/>
    </row>
    <row r="1765" spans="2:13" x14ac:dyDescent="0.2">
      <c r="B1765" s="2"/>
      <c r="C1765" s="11"/>
      <c r="D1765" s="1"/>
      <c r="E1765" s="1"/>
      <c r="F1765" s="1"/>
      <c r="G1765" s="1"/>
      <c r="H1765" s="1"/>
      <c r="I1765" s="5"/>
      <c r="J1765" s="5"/>
      <c r="K1765" s="5"/>
      <c r="L1765" s="5"/>
      <c r="M1765" s="5"/>
    </row>
    <row r="1768" spans="2:13" x14ac:dyDescent="0.2">
      <c r="B1768" s="2"/>
      <c r="C1768" s="11"/>
      <c r="D1768" s="1"/>
      <c r="E1768" s="1"/>
      <c r="F1768" s="1"/>
      <c r="G1768" s="1"/>
      <c r="H1768" s="1"/>
      <c r="I1768" s="5"/>
      <c r="J1768" s="5"/>
      <c r="K1768" s="5"/>
      <c r="L1768" s="5"/>
      <c r="M1768" s="5"/>
    </row>
    <row r="1785" spans="2:13" x14ac:dyDescent="0.2">
      <c r="B1785" s="2"/>
      <c r="C1785" s="11"/>
      <c r="D1785" s="1"/>
      <c r="E1785" s="1"/>
      <c r="F1785" s="1"/>
      <c r="G1785" s="1"/>
      <c r="H1785" s="1"/>
      <c r="I1785" s="5"/>
      <c r="J1785" s="5"/>
      <c r="K1785" s="5"/>
      <c r="L1785" s="5"/>
      <c r="M1785" s="5"/>
    </row>
    <row r="1786" spans="2:13" x14ac:dyDescent="0.2">
      <c r="B1786" s="2"/>
      <c r="C1786" s="11"/>
      <c r="D1786" s="1"/>
      <c r="E1786" s="1"/>
      <c r="F1786" s="1"/>
      <c r="G1786" s="1"/>
      <c r="H1786" s="1"/>
      <c r="I1786" s="5"/>
      <c r="J1786" s="5"/>
      <c r="K1786" s="5"/>
      <c r="L1786" s="5"/>
      <c r="M1786" s="5"/>
    </row>
    <row r="1789" spans="2:13" x14ac:dyDescent="0.2">
      <c r="B1789" s="2"/>
      <c r="C1789" s="11"/>
      <c r="D1789" s="1"/>
      <c r="E1789" s="1"/>
      <c r="F1789" s="1"/>
      <c r="G1789" s="1"/>
      <c r="H1789" s="1"/>
      <c r="I1789" s="5"/>
      <c r="J1789" s="5"/>
      <c r="K1789" s="5"/>
      <c r="L1789" s="5"/>
      <c r="M1789" s="5"/>
    </row>
    <row r="1793" spans="2:13" x14ac:dyDescent="0.2">
      <c r="B1793" s="2"/>
      <c r="C1793" s="11"/>
      <c r="D1793" s="1"/>
      <c r="E1793" s="1"/>
      <c r="F1793" s="1"/>
      <c r="G1793" s="1"/>
      <c r="H1793" s="1"/>
      <c r="I1793" s="5"/>
      <c r="J1793" s="5"/>
      <c r="K1793" s="5"/>
      <c r="L1793" s="5"/>
      <c r="M1793" s="5"/>
    </row>
    <row r="1795" spans="2:13" x14ac:dyDescent="0.2">
      <c r="B1795" s="2"/>
      <c r="C1795" s="11"/>
      <c r="D1795" s="1"/>
      <c r="E1795" s="1"/>
      <c r="F1795" s="1"/>
      <c r="G1795" s="1"/>
      <c r="H1795" s="1"/>
      <c r="I1795" s="5"/>
      <c r="J1795" s="5"/>
      <c r="K1795" s="5"/>
      <c r="L1795" s="5"/>
      <c r="M1795" s="5"/>
    </row>
    <row r="1797" spans="2:13" x14ac:dyDescent="0.2">
      <c r="B1797" s="2"/>
      <c r="C1797" s="11"/>
      <c r="D1797" s="1"/>
      <c r="E1797" s="1"/>
      <c r="F1797" s="1"/>
      <c r="G1797" s="1"/>
      <c r="H1797" s="1"/>
      <c r="I1797" s="5"/>
      <c r="J1797" s="5"/>
      <c r="K1797" s="5"/>
      <c r="L1797" s="5"/>
      <c r="M1797" s="5"/>
    </row>
    <row r="1799" spans="2:13" x14ac:dyDescent="0.2">
      <c r="C1799" s="11"/>
      <c r="D1799" s="1"/>
      <c r="E1799" s="1"/>
      <c r="F1799" s="1"/>
      <c r="G1799" s="1"/>
      <c r="H1799" s="1"/>
      <c r="I1799" s="5"/>
      <c r="J1799" s="5"/>
      <c r="K1799" s="5"/>
      <c r="L1799" s="5"/>
      <c r="M1799" s="5"/>
    </row>
    <row r="1807" spans="2:13" x14ac:dyDescent="0.2">
      <c r="B1807" s="2"/>
      <c r="C1807" s="11"/>
      <c r="D1807" s="1"/>
      <c r="E1807" s="1"/>
      <c r="F1807" s="1"/>
      <c r="G1807" s="1"/>
      <c r="H1807" s="1"/>
      <c r="I1807" s="5"/>
      <c r="J1807" s="5"/>
      <c r="K1807" s="5"/>
      <c r="L1807" s="5"/>
      <c r="M1807" s="5"/>
    </row>
    <row r="1809" spans="2:13" x14ac:dyDescent="0.2">
      <c r="B1809" s="2"/>
      <c r="C1809" s="11"/>
      <c r="D1809" s="1"/>
      <c r="E1809" s="1"/>
      <c r="F1809" s="1"/>
      <c r="G1809" s="1"/>
      <c r="H1809" s="1"/>
      <c r="I1809" s="5"/>
      <c r="J1809" s="5"/>
      <c r="K1809" s="5"/>
      <c r="L1809" s="5"/>
      <c r="M1809" s="5"/>
    </row>
    <row r="1811" spans="2:13" x14ac:dyDescent="0.2">
      <c r="B1811" s="2"/>
      <c r="C1811" s="11"/>
      <c r="D1811" s="1"/>
      <c r="E1811" s="1"/>
      <c r="F1811" s="1"/>
      <c r="G1811" s="1"/>
      <c r="H1811" s="1"/>
      <c r="I1811" s="5"/>
      <c r="J1811" s="5"/>
      <c r="K1811" s="5"/>
      <c r="L1811" s="5"/>
      <c r="M1811" s="5"/>
    </row>
    <row r="1813" spans="2:13" x14ac:dyDescent="0.2">
      <c r="B1813" s="2"/>
      <c r="C1813" s="11"/>
      <c r="D1813" s="1"/>
      <c r="E1813" s="1"/>
      <c r="F1813" s="1"/>
      <c r="G1813" s="1"/>
      <c r="H1813" s="1"/>
      <c r="I1813" s="5"/>
      <c r="J1813" s="5"/>
      <c r="K1813" s="5"/>
      <c r="L1813" s="5"/>
      <c r="M1813" s="5"/>
    </row>
    <row r="1816" spans="2:13" x14ac:dyDescent="0.2">
      <c r="B1816" s="2"/>
      <c r="C1816" s="11"/>
      <c r="D1816" s="1"/>
      <c r="E1816" s="1"/>
      <c r="F1816" s="1"/>
      <c r="G1816" s="1"/>
      <c r="H1816" s="1"/>
      <c r="I1816" s="5"/>
      <c r="J1816" s="5"/>
      <c r="K1816" s="5"/>
      <c r="L1816" s="5"/>
      <c r="M1816" s="5"/>
    </row>
    <row r="1819" spans="2:13" x14ac:dyDescent="0.2">
      <c r="B1819" s="2"/>
      <c r="C1819" s="11"/>
      <c r="D1819" s="1"/>
      <c r="E1819" s="1"/>
      <c r="F1819" s="1"/>
      <c r="G1819" s="1"/>
      <c r="H1819" s="1"/>
      <c r="I1819" s="5"/>
      <c r="J1819" s="5"/>
      <c r="K1819" s="5"/>
      <c r="L1819" s="5"/>
      <c r="M1819" s="5"/>
    </row>
    <row r="1821" spans="2:13" x14ac:dyDescent="0.2">
      <c r="B1821" s="2"/>
      <c r="C1821" s="11"/>
      <c r="D1821" s="1"/>
      <c r="E1821" s="1"/>
      <c r="F1821" s="1"/>
      <c r="G1821" s="1"/>
      <c r="H1821" s="1"/>
      <c r="I1821" s="5"/>
      <c r="J1821" s="5"/>
      <c r="K1821" s="5"/>
      <c r="L1821" s="5"/>
      <c r="M1821" s="5"/>
    </row>
    <row r="1823" spans="2:13" x14ac:dyDescent="0.2">
      <c r="B1823" s="2"/>
      <c r="C1823" s="11"/>
      <c r="D1823" s="1"/>
      <c r="E1823" s="1"/>
      <c r="F1823" s="1"/>
      <c r="G1823" s="1"/>
      <c r="H1823" s="1"/>
      <c r="I1823" s="5"/>
      <c r="J1823" s="5"/>
      <c r="K1823" s="5"/>
      <c r="L1823" s="5"/>
      <c r="M1823" s="5"/>
    </row>
    <row r="1825" spans="2:13" x14ac:dyDescent="0.2">
      <c r="B1825" s="2"/>
      <c r="C1825" s="11"/>
      <c r="D1825" s="1"/>
      <c r="E1825" s="1"/>
      <c r="F1825" s="1"/>
      <c r="G1825" s="1"/>
      <c r="H1825" s="1"/>
      <c r="I1825" s="5"/>
      <c r="J1825" s="5"/>
      <c r="K1825" s="5"/>
      <c r="L1825" s="5"/>
      <c r="M1825" s="5"/>
    </row>
    <row r="1827" spans="2:13" x14ac:dyDescent="0.2">
      <c r="B1827" s="2"/>
      <c r="C1827" s="11"/>
      <c r="D1827" s="1"/>
      <c r="E1827" s="1"/>
      <c r="F1827" s="1"/>
      <c r="G1827" s="1"/>
      <c r="H1827" s="1"/>
      <c r="I1827" s="5"/>
      <c r="J1827" s="5"/>
      <c r="K1827" s="5"/>
      <c r="L1827" s="5"/>
      <c r="M1827" s="5"/>
    </row>
    <row r="1829" spans="2:13" x14ac:dyDescent="0.2">
      <c r="B1829" s="2"/>
      <c r="C1829" s="11"/>
      <c r="D1829" s="1"/>
      <c r="E1829" s="1"/>
      <c r="F1829" s="1"/>
      <c r="G1829" s="1"/>
      <c r="H1829" s="1"/>
      <c r="I1829" s="5"/>
      <c r="J1829" s="5"/>
      <c r="K1829" s="5"/>
      <c r="L1829" s="5"/>
      <c r="M1829" s="5"/>
    </row>
    <row r="1831" spans="2:13" x14ac:dyDescent="0.2">
      <c r="B1831" s="2"/>
      <c r="C1831" s="11"/>
      <c r="D1831" s="1"/>
      <c r="E1831" s="1"/>
      <c r="F1831" s="1"/>
      <c r="G1831" s="1"/>
      <c r="H1831" s="1"/>
      <c r="I1831" s="5"/>
      <c r="J1831" s="5"/>
      <c r="K1831" s="5"/>
      <c r="L1831" s="5"/>
      <c r="M1831" s="5"/>
    </row>
    <row r="1835" spans="2:13" x14ac:dyDescent="0.2">
      <c r="B1835" s="2"/>
      <c r="C1835" s="11"/>
      <c r="D1835" s="1"/>
      <c r="E1835" s="1"/>
      <c r="F1835" s="1"/>
      <c r="G1835" s="1"/>
      <c r="H1835" s="1"/>
      <c r="I1835" s="5"/>
      <c r="J1835" s="5"/>
      <c r="K1835" s="5"/>
      <c r="L1835" s="5"/>
      <c r="M1835" s="5"/>
    </row>
    <row r="1839" spans="2:13" x14ac:dyDescent="0.2">
      <c r="B1839" s="2"/>
      <c r="C1839" s="11"/>
      <c r="D1839" s="1"/>
      <c r="E1839" s="1"/>
      <c r="F1839" s="1"/>
      <c r="G1839" s="1"/>
      <c r="H1839" s="1"/>
      <c r="I1839" s="5"/>
      <c r="J1839" s="5"/>
      <c r="K1839" s="5"/>
      <c r="L1839" s="5"/>
      <c r="M1839" s="5"/>
    </row>
    <row r="1843" spans="2:13" x14ac:dyDescent="0.2">
      <c r="B1843" s="2"/>
      <c r="C1843" s="11"/>
      <c r="D1843" s="1"/>
      <c r="E1843" s="1"/>
      <c r="F1843" s="1"/>
      <c r="G1843" s="1"/>
      <c r="H1843" s="1"/>
      <c r="I1843" s="5"/>
      <c r="J1843" s="5"/>
      <c r="K1843" s="5"/>
      <c r="L1843" s="5"/>
      <c r="M1843" s="5"/>
    </row>
    <row r="1845" spans="2:13" x14ac:dyDescent="0.2">
      <c r="B1845" s="2"/>
      <c r="C1845" s="11"/>
      <c r="D1845" s="1"/>
      <c r="E1845" s="1"/>
      <c r="F1845" s="1"/>
      <c r="G1845" s="1"/>
      <c r="H1845" s="1"/>
      <c r="I1845" s="5"/>
      <c r="J1845" s="5"/>
      <c r="K1845" s="5"/>
      <c r="L1845" s="5"/>
      <c r="M1845" s="5"/>
    </row>
    <row r="1848" spans="2:13" x14ac:dyDescent="0.2">
      <c r="B1848" s="2"/>
      <c r="C1848" s="11"/>
      <c r="D1848" s="1"/>
      <c r="E1848" s="1"/>
      <c r="F1848" s="1"/>
      <c r="G1848" s="1"/>
      <c r="H1848" s="1"/>
      <c r="I1848" s="5"/>
      <c r="J1848" s="5"/>
      <c r="K1848" s="5"/>
      <c r="L1848" s="5"/>
      <c r="M1848" s="5"/>
    </row>
    <row r="1850" spans="2:13" x14ac:dyDescent="0.2">
      <c r="B1850" s="2"/>
      <c r="C1850" s="11"/>
      <c r="D1850" s="1"/>
      <c r="E1850" s="1"/>
      <c r="F1850" s="1"/>
      <c r="G1850" s="1"/>
      <c r="H1850" s="1"/>
      <c r="I1850" s="5"/>
      <c r="J1850" s="5"/>
      <c r="K1850" s="5"/>
      <c r="L1850" s="5"/>
      <c r="M1850" s="5"/>
    </row>
    <row r="1852" spans="2:13" x14ac:dyDescent="0.2">
      <c r="B1852" s="2"/>
      <c r="C1852" s="11"/>
      <c r="D1852" s="1"/>
      <c r="E1852" s="1"/>
      <c r="F1852" s="1"/>
      <c r="G1852" s="1"/>
      <c r="H1852" s="1"/>
      <c r="I1852" s="5"/>
      <c r="J1852" s="5"/>
      <c r="K1852" s="5"/>
      <c r="L1852" s="5"/>
      <c r="M1852" s="5"/>
    </row>
    <row r="1854" spans="2:13" x14ac:dyDescent="0.2">
      <c r="B1854" s="2"/>
      <c r="C1854" s="11"/>
      <c r="D1854" s="1"/>
      <c r="E1854" s="1"/>
      <c r="F1854" s="1"/>
      <c r="G1854" s="1"/>
      <c r="H1854" s="1"/>
      <c r="I1854" s="5"/>
      <c r="J1854" s="5"/>
      <c r="K1854" s="5"/>
      <c r="L1854" s="5"/>
      <c r="M1854" s="5"/>
    </row>
    <row r="1855" spans="2:13" x14ac:dyDescent="0.2">
      <c r="B1855" s="2"/>
      <c r="C1855" s="11"/>
      <c r="D1855" s="1"/>
      <c r="E1855" s="1"/>
      <c r="F1855" s="1"/>
      <c r="G1855" s="1"/>
      <c r="H1855" s="1"/>
      <c r="I1855" s="5"/>
      <c r="J1855" s="5"/>
      <c r="K1855" s="5"/>
      <c r="L1855" s="5"/>
      <c r="M1855" s="5"/>
    </row>
    <row r="1856" spans="2:13" x14ac:dyDescent="0.2">
      <c r="B1856" s="2"/>
      <c r="C1856" s="11"/>
      <c r="D1856" s="1"/>
      <c r="E1856" s="1"/>
      <c r="F1856" s="1"/>
      <c r="G1856" s="1"/>
      <c r="H1856" s="1"/>
      <c r="I1856" s="5"/>
      <c r="J1856" s="5"/>
      <c r="K1856" s="5"/>
      <c r="L1856" s="5"/>
      <c r="M1856" s="5"/>
    </row>
    <row r="1859" spans="2:13" x14ac:dyDescent="0.2">
      <c r="B1859" s="2"/>
      <c r="C1859" s="11"/>
      <c r="D1859" s="1"/>
      <c r="E1859" s="1"/>
      <c r="F1859" s="1"/>
      <c r="G1859" s="1"/>
      <c r="H1859" s="1"/>
      <c r="I1859" s="5"/>
      <c r="J1859" s="5"/>
      <c r="K1859" s="5"/>
      <c r="L1859" s="5"/>
      <c r="M1859" s="5"/>
    </row>
    <row r="1861" spans="2:13" x14ac:dyDescent="0.2">
      <c r="B1861" s="2"/>
      <c r="C1861" s="11"/>
      <c r="D1861" s="1"/>
      <c r="E1861" s="1"/>
      <c r="F1861" s="1"/>
      <c r="G1861" s="1"/>
      <c r="H1861" s="1"/>
      <c r="I1861" s="5"/>
      <c r="J1861" s="5"/>
      <c r="K1861" s="5"/>
      <c r="L1861" s="5"/>
      <c r="M1861" s="5"/>
    </row>
    <row r="1863" spans="2:13" x14ac:dyDescent="0.2">
      <c r="B1863" s="2"/>
      <c r="C1863" s="11"/>
      <c r="D1863" s="1"/>
      <c r="E1863" s="1"/>
      <c r="F1863" s="1"/>
      <c r="G1863" s="1"/>
      <c r="H1863" s="1"/>
      <c r="I1863" s="5"/>
      <c r="J1863" s="5"/>
      <c r="K1863" s="5"/>
      <c r="L1863" s="5"/>
      <c r="M1863" s="5"/>
    </row>
    <row r="1865" spans="2:13" x14ac:dyDescent="0.2">
      <c r="B1865" s="2"/>
      <c r="C1865" s="11"/>
      <c r="D1865" s="1"/>
      <c r="E1865" s="1"/>
      <c r="F1865" s="1"/>
      <c r="G1865" s="1"/>
      <c r="H1865" s="1"/>
      <c r="I1865" s="5"/>
      <c r="J1865" s="5"/>
      <c r="K1865" s="5"/>
      <c r="L1865" s="5"/>
      <c r="M1865" s="5"/>
    </row>
    <row r="1869" spans="2:13" x14ac:dyDescent="0.2">
      <c r="B1869" s="2"/>
      <c r="C1869" s="11"/>
      <c r="D1869" s="1"/>
      <c r="E1869" s="1"/>
      <c r="F1869" s="1"/>
      <c r="G1869" s="1"/>
      <c r="H1869" s="1"/>
      <c r="I1869" s="5"/>
      <c r="J1869" s="5"/>
      <c r="K1869" s="5"/>
      <c r="L1869" s="5"/>
      <c r="M1869" s="5"/>
    </row>
    <row r="1871" spans="2:13" x14ac:dyDescent="0.2">
      <c r="B1871" s="2"/>
      <c r="C1871" s="11"/>
      <c r="D1871" s="1"/>
      <c r="E1871" s="1"/>
      <c r="F1871" s="1"/>
      <c r="G1871" s="1"/>
      <c r="H1871" s="1"/>
      <c r="I1871" s="5"/>
      <c r="J1871" s="5"/>
      <c r="K1871" s="5"/>
      <c r="L1871" s="5"/>
      <c r="M1871" s="5"/>
    </row>
    <row r="1873" spans="2:13" x14ac:dyDescent="0.2">
      <c r="B1873" s="2"/>
      <c r="C1873" s="11"/>
      <c r="D1873" s="1"/>
      <c r="E1873" s="1"/>
      <c r="F1873" s="1"/>
      <c r="G1873" s="1"/>
      <c r="H1873" s="1"/>
      <c r="I1873" s="5"/>
      <c r="J1873" s="5"/>
      <c r="K1873" s="5"/>
      <c r="L1873" s="5"/>
      <c r="M1873" s="5"/>
    </row>
    <row r="1875" spans="2:13" x14ac:dyDescent="0.2">
      <c r="B1875" s="2"/>
      <c r="C1875" s="11"/>
      <c r="D1875" s="1"/>
      <c r="E1875" s="1"/>
      <c r="F1875" s="1"/>
      <c r="G1875" s="1"/>
      <c r="H1875" s="1"/>
      <c r="I1875" s="5"/>
      <c r="J1875" s="5"/>
      <c r="K1875" s="5"/>
      <c r="L1875" s="5"/>
      <c r="M1875" s="5"/>
    </row>
    <row r="1877" spans="2:13" x14ac:dyDescent="0.2">
      <c r="B1877" s="2"/>
      <c r="C1877" s="11"/>
      <c r="D1877" s="1"/>
      <c r="E1877" s="1"/>
      <c r="F1877" s="1"/>
      <c r="G1877" s="1"/>
      <c r="H1877" s="1"/>
      <c r="I1877" s="5"/>
      <c r="J1877" s="5"/>
      <c r="K1877" s="5"/>
      <c r="L1877" s="5"/>
      <c r="M1877" s="5"/>
    </row>
    <row r="1879" spans="2:13" x14ac:dyDescent="0.2">
      <c r="B1879" s="2"/>
      <c r="C1879" s="11"/>
      <c r="D1879" s="1"/>
      <c r="E1879" s="1"/>
      <c r="F1879" s="1"/>
      <c r="G1879" s="1"/>
      <c r="H1879" s="1"/>
      <c r="I1879" s="5"/>
      <c r="J1879" s="5"/>
      <c r="K1879" s="5"/>
      <c r="L1879" s="5"/>
      <c r="M1879" s="5"/>
    </row>
    <row r="1882" spans="2:13" x14ac:dyDescent="0.2">
      <c r="B1882" s="2"/>
      <c r="C1882" s="11"/>
      <c r="D1882" s="1"/>
      <c r="E1882" s="1"/>
      <c r="F1882" s="1"/>
      <c r="G1882" s="1"/>
      <c r="H1882" s="1"/>
      <c r="I1882" s="5"/>
      <c r="J1882" s="5"/>
      <c r="K1882" s="5"/>
      <c r="L1882" s="5"/>
      <c r="M1882" s="5"/>
    </row>
    <row r="1884" spans="2:13" x14ac:dyDescent="0.2">
      <c r="B1884" s="2"/>
      <c r="C1884" s="11"/>
      <c r="D1884" s="1"/>
      <c r="E1884" s="1"/>
      <c r="F1884" s="1"/>
      <c r="G1884" s="1"/>
      <c r="H1884" s="1"/>
      <c r="I1884" s="5"/>
      <c r="J1884" s="5"/>
      <c r="K1884" s="5"/>
      <c r="L1884" s="5"/>
      <c r="M1884" s="5"/>
    </row>
    <row r="1887" spans="2:13" x14ac:dyDescent="0.2">
      <c r="B1887" s="2"/>
      <c r="C1887" s="11"/>
      <c r="D1887" s="1"/>
      <c r="E1887" s="1"/>
      <c r="F1887" s="1"/>
      <c r="G1887" s="1"/>
      <c r="H1887" s="1"/>
      <c r="I1887" s="5"/>
      <c r="J1887" s="5"/>
      <c r="K1887" s="5"/>
      <c r="L1887" s="5"/>
      <c r="M1887" s="5"/>
    </row>
    <row r="1889" spans="2:13" x14ac:dyDescent="0.2">
      <c r="B1889" s="2"/>
      <c r="C1889" s="11"/>
      <c r="D1889" s="1"/>
      <c r="E1889" s="1"/>
      <c r="F1889" s="1"/>
      <c r="G1889" s="1"/>
      <c r="H1889" s="1"/>
      <c r="I1889" s="5"/>
      <c r="J1889" s="5"/>
      <c r="K1889" s="5"/>
      <c r="L1889" s="5"/>
      <c r="M1889" s="5"/>
    </row>
    <row r="1891" spans="2:13" x14ac:dyDescent="0.2">
      <c r="B1891" s="2"/>
      <c r="C1891" s="11"/>
      <c r="D1891" s="1"/>
      <c r="E1891" s="1"/>
      <c r="F1891" s="1"/>
      <c r="G1891" s="1"/>
      <c r="H1891" s="1"/>
      <c r="I1891" s="5"/>
      <c r="J1891" s="5"/>
      <c r="K1891" s="5"/>
      <c r="L1891" s="5"/>
      <c r="M1891" s="5"/>
    </row>
    <row r="1893" spans="2:13" x14ac:dyDescent="0.2">
      <c r="B1893" s="2"/>
      <c r="C1893" s="11"/>
      <c r="D1893" s="1"/>
      <c r="E1893" s="1"/>
      <c r="F1893" s="1"/>
      <c r="G1893" s="1"/>
      <c r="H1893" s="1"/>
      <c r="I1893" s="5"/>
      <c r="J1893" s="5"/>
      <c r="K1893" s="5"/>
      <c r="L1893" s="5"/>
      <c r="M1893" s="5"/>
    </row>
    <row r="1895" spans="2:13" x14ac:dyDescent="0.2">
      <c r="B1895" s="2"/>
      <c r="C1895" s="11"/>
      <c r="D1895" s="1"/>
      <c r="E1895" s="1"/>
      <c r="F1895" s="1"/>
      <c r="G1895" s="1"/>
      <c r="H1895" s="1"/>
      <c r="I1895" s="5"/>
      <c r="J1895" s="5"/>
      <c r="K1895" s="5"/>
      <c r="L1895" s="5"/>
      <c r="M1895" s="5"/>
    </row>
    <row r="1897" spans="2:13" x14ac:dyDescent="0.2">
      <c r="B1897" s="2"/>
      <c r="C1897" s="11"/>
      <c r="D1897" s="1"/>
      <c r="E1897" s="1"/>
      <c r="F1897" s="1"/>
      <c r="G1897" s="1"/>
      <c r="H1897" s="1"/>
      <c r="I1897" s="5"/>
      <c r="J1897" s="5"/>
      <c r="K1897" s="5"/>
      <c r="L1897" s="5"/>
      <c r="M1897" s="5"/>
    </row>
    <row r="1899" spans="2:13" x14ac:dyDescent="0.2">
      <c r="B1899" s="2"/>
      <c r="C1899" s="11"/>
      <c r="D1899" s="1"/>
      <c r="E1899" s="1"/>
      <c r="F1899" s="1"/>
      <c r="G1899" s="1"/>
      <c r="H1899" s="1"/>
      <c r="I1899" s="5"/>
      <c r="J1899" s="5"/>
      <c r="K1899" s="5"/>
      <c r="L1899" s="5"/>
      <c r="M1899" s="5"/>
    </row>
    <row r="1901" spans="2:13" x14ac:dyDescent="0.2">
      <c r="B1901" s="2"/>
      <c r="C1901" s="11"/>
      <c r="D1901" s="1"/>
      <c r="E1901" s="1"/>
      <c r="F1901" s="1"/>
      <c r="G1901" s="1"/>
      <c r="H1901" s="1"/>
      <c r="I1901" s="5"/>
      <c r="J1901" s="5"/>
      <c r="K1901" s="5"/>
      <c r="L1901" s="5"/>
      <c r="M1901" s="5"/>
    </row>
    <row r="1903" spans="2:13" x14ac:dyDescent="0.2">
      <c r="B1903" s="2"/>
      <c r="C1903" s="11"/>
      <c r="D1903" s="1"/>
      <c r="E1903" s="1"/>
      <c r="F1903" s="1"/>
      <c r="G1903" s="1"/>
      <c r="H1903" s="1"/>
      <c r="I1903" s="5"/>
      <c r="J1903" s="5"/>
      <c r="K1903" s="5"/>
      <c r="L1903" s="5"/>
      <c r="M1903" s="5"/>
    </row>
    <row r="1905" spans="2:13" x14ac:dyDescent="0.2">
      <c r="B1905" s="2"/>
      <c r="C1905" s="11"/>
      <c r="D1905" s="1"/>
      <c r="E1905" s="1"/>
      <c r="F1905" s="1"/>
      <c r="G1905" s="1"/>
      <c r="H1905" s="1"/>
      <c r="I1905" s="5"/>
      <c r="J1905" s="5"/>
      <c r="K1905" s="5"/>
      <c r="L1905" s="5"/>
      <c r="M1905" s="5"/>
    </row>
    <row r="1907" spans="2:13" x14ac:dyDescent="0.2">
      <c r="B1907" s="2"/>
      <c r="C1907" s="11"/>
      <c r="D1907" s="1"/>
      <c r="E1907" s="1"/>
      <c r="F1907" s="1"/>
      <c r="G1907" s="1"/>
      <c r="H1907" s="1"/>
      <c r="I1907" s="5"/>
      <c r="J1907" s="5"/>
      <c r="K1907" s="5"/>
      <c r="L1907" s="5"/>
      <c r="M1907" s="5"/>
    </row>
    <row r="1909" spans="2:13" x14ac:dyDescent="0.2">
      <c r="B1909" s="2"/>
      <c r="C1909" s="11"/>
      <c r="D1909" s="1"/>
      <c r="E1909" s="1"/>
      <c r="F1909" s="1"/>
      <c r="G1909" s="1"/>
      <c r="H1909" s="1"/>
      <c r="I1909" s="5"/>
      <c r="J1909" s="5"/>
      <c r="K1909" s="5"/>
      <c r="L1909" s="5"/>
      <c r="M1909" s="5"/>
    </row>
    <row r="1911" spans="2:13" x14ac:dyDescent="0.2">
      <c r="B1911" s="2"/>
      <c r="C1911" s="11"/>
      <c r="D1911" s="1"/>
      <c r="E1911" s="1"/>
      <c r="F1911" s="1"/>
      <c r="G1911" s="1"/>
      <c r="H1911" s="1"/>
      <c r="I1911" s="5"/>
      <c r="J1911" s="5"/>
      <c r="K1911" s="5"/>
      <c r="L1911" s="5"/>
      <c r="M1911" s="5"/>
    </row>
    <row r="1913" spans="2:13" x14ac:dyDescent="0.2">
      <c r="B1913" s="2"/>
      <c r="C1913" s="11"/>
      <c r="D1913" s="1"/>
      <c r="E1913" s="1"/>
      <c r="F1913" s="1"/>
      <c r="G1913" s="1"/>
      <c r="H1913" s="1"/>
      <c r="I1913" s="5"/>
      <c r="J1913" s="5"/>
      <c r="K1913" s="5"/>
      <c r="L1913" s="5"/>
      <c r="M1913" s="5"/>
    </row>
    <row r="1915" spans="2:13" x14ac:dyDescent="0.2">
      <c r="B1915" s="2"/>
      <c r="C1915" s="11"/>
      <c r="D1915" s="1"/>
      <c r="E1915" s="1"/>
      <c r="F1915" s="1"/>
      <c r="G1915" s="1"/>
      <c r="H1915" s="1"/>
      <c r="I1915" s="5"/>
      <c r="J1915" s="5"/>
      <c r="K1915" s="5"/>
      <c r="L1915" s="5"/>
      <c r="M1915" s="5"/>
    </row>
    <row r="1920" spans="2:13" x14ac:dyDescent="0.2">
      <c r="B1920" s="2"/>
      <c r="C1920" s="11"/>
      <c r="D1920" s="1"/>
      <c r="E1920" s="1"/>
      <c r="F1920" s="1"/>
      <c r="G1920" s="1"/>
      <c r="H1920" s="1"/>
      <c r="I1920" s="5"/>
      <c r="J1920" s="5"/>
      <c r="K1920" s="5"/>
      <c r="L1920" s="5"/>
      <c r="M1920" s="5"/>
    </row>
    <row r="1922" spans="2:13" x14ac:dyDescent="0.2">
      <c r="C1922" s="11"/>
      <c r="D1922" s="1"/>
      <c r="E1922" s="1"/>
      <c r="F1922" s="1"/>
      <c r="G1922" s="1"/>
      <c r="H1922" s="1"/>
      <c r="I1922" s="5"/>
      <c r="J1922" s="5"/>
      <c r="K1922" s="5"/>
      <c r="L1922" s="5"/>
      <c r="M1922" s="5"/>
    </row>
    <row r="1924" spans="2:13" x14ac:dyDescent="0.2">
      <c r="B1924" s="2"/>
      <c r="C1924" s="11"/>
      <c r="D1924" s="1"/>
      <c r="E1924" s="1"/>
      <c r="F1924" s="1"/>
      <c r="G1924" s="1"/>
      <c r="H1924" s="1"/>
      <c r="I1924" s="5"/>
      <c r="J1924" s="5"/>
      <c r="K1924" s="5"/>
      <c r="L1924" s="5"/>
      <c r="M1924" s="5"/>
    </row>
    <row r="1926" spans="2:13" x14ac:dyDescent="0.2">
      <c r="B1926" s="2"/>
      <c r="C1926" s="11"/>
      <c r="D1926" s="1"/>
      <c r="E1926" s="1"/>
      <c r="F1926" s="1"/>
      <c r="G1926" s="1"/>
      <c r="H1926" s="1"/>
      <c r="I1926" s="5"/>
      <c r="J1926" s="5"/>
      <c r="K1926" s="5"/>
      <c r="L1926" s="5"/>
      <c r="M1926" s="5"/>
    </row>
    <row r="1930" spans="2:13" x14ac:dyDescent="0.2">
      <c r="B1930" s="2"/>
      <c r="C1930" s="11"/>
      <c r="D1930" s="1"/>
      <c r="E1930" s="1"/>
      <c r="F1930" s="1"/>
      <c r="G1930" s="1"/>
      <c r="H1930" s="1"/>
      <c r="I1930" s="5"/>
      <c r="J1930" s="5"/>
      <c r="K1930" s="5"/>
      <c r="L1930" s="5"/>
      <c r="M1930" s="5"/>
    </row>
    <row r="1934" spans="2:13" x14ac:dyDescent="0.2">
      <c r="B1934" s="2"/>
      <c r="C1934" s="11"/>
      <c r="D1934" s="1"/>
      <c r="E1934" s="1"/>
      <c r="F1934" s="1"/>
      <c r="G1934" s="1"/>
      <c r="H1934" s="1"/>
      <c r="I1934" s="5"/>
      <c r="J1934" s="5"/>
      <c r="K1934" s="5"/>
      <c r="L1934" s="5"/>
      <c r="M1934" s="5"/>
    </row>
    <row r="1936" spans="2:13" x14ac:dyDescent="0.2">
      <c r="B1936" s="2"/>
      <c r="C1936" s="11"/>
      <c r="D1936" s="1"/>
      <c r="E1936" s="1"/>
      <c r="F1936" s="1"/>
      <c r="G1936" s="1"/>
      <c r="H1936" s="1"/>
      <c r="I1936" s="5"/>
      <c r="J1936" s="5"/>
      <c r="K1936" s="5"/>
      <c r="L1936" s="5"/>
      <c r="M1936" s="5"/>
    </row>
    <row r="1938" spans="2:13" x14ac:dyDescent="0.2">
      <c r="B1938" s="2"/>
      <c r="C1938" s="11"/>
      <c r="D1938" s="1"/>
      <c r="E1938" s="1"/>
      <c r="F1938" s="1"/>
      <c r="G1938" s="1"/>
      <c r="H1938" s="1"/>
      <c r="I1938" s="5"/>
      <c r="J1938" s="5"/>
      <c r="K1938" s="5"/>
      <c r="L1938" s="5"/>
      <c r="M1938" s="5"/>
    </row>
    <row r="1940" spans="2:13" x14ac:dyDescent="0.2">
      <c r="B1940" s="2"/>
      <c r="C1940" s="11"/>
      <c r="D1940" s="1"/>
      <c r="E1940" s="1"/>
      <c r="F1940" s="1"/>
      <c r="G1940" s="1"/>
      <c r="H1940" s="1"/>
      <c r="I1940" s="5"/>
      <c r="J1940" s="5"/>
      <c r="K1940" s="5"/>
      <c r="L1940" s="5"/>
      <c r="M1940" s="5"/>
    </row>
    <row r="1942" spans="2:13" x14ac:dyDescent="0.2">
      <c r="B1942" s="2"/>
      <c r="C1942" s="11"/>
      <c r="D1942" s="1"/>
      <c r="E1942" s="1"/>
      <c r="F1942" s="1"/>
      <c r="G1942" s="1"/>
      <c r="H1942" s="1"/>
      <c r="I1942" s="5"/>
      <c r="J1942" s="5"/>
      <c r="K1942" s="5"/>
      <c r="L1942" s="5"/>
      <c r="M1942" s="5"/>
    </row>
    <row r="1945" spans="2:13" x14ac:dyDescent="0.2">
      <c r="B1945" s="2"/>
      <c r="C1945" s="11"/>
      <c r="D1945" s="1"/>
      <c r="E1945" s="1"/>
      <c r="F1945" s="1"/>
      <c r="G1945" s="1"/>
      <c r="H1945" s="1"/>
      <c r="I1945" s="5"/>
      <c r="J1945" s="5"/>
      <c r="K1945" s="5"/>
      <c r="L1945" s="5"/>
      <c r="M1945" s="5"/>
    </row>
    <row r="1947" spans="2:13" x14ac:dyDescent="0.2">
      <c r="B1947" s="2"/>
      <c r="C1947" s="11"/>
      <c r="D1947" s="1"/>
      <c r="E1947" s="1"/>
      <c r="F1947" s="1"/>
      <c r="G1947" s="1"/>
      <c r="H1947" s="1"/>
      <c r="I1947" s="5"/>
      <c r="J1947" s="5"/>
      <c r="K1947" s="5"/>
      <c r="L1947" s="5"/>
      <c r="M1947" s="5"/>
    </row>
    <row r="1949" spans="2:13" x14ac:dyDescent="0.2">
      <c r="B1949" s="2"/>
      <c r="C1949" s="11"/>
      <c r="D1949" s="1"/>
      <c r="E1949" s="1"/>
      <c r="F1949" s="1"/>
      <c r="G1949" s="1"/>
      <c r="H1949" s="1"/>
      <c r="I1949" s="5"/>
      <c r="J1949" s="5"/>
      <c r="K1949" s="5"/>
      <c r="L1949" s="5"/>
      <c r="M1949" s="5"/>
    </row>
    <row r="1950" spans="2:13" x14ac:dyDescent="0.2">
      <c r="B1950" s="2"/>
      <c r="C1950" s="11"/>
      <c r="D1950" s="1"/>
      <c r="E1950" s="1"/>
      <c r="F1950" s="1"/>
      <c r="G1950" s="1"/>
      <c r="H1950" s="1"/>
      <c r="I1950" s="5"/>
      <c r="J1950" s="5"/>
      <c r="K1950" s="5"/>
      <c r="L1950" s="5"/>
      <c r="M1950" s="5"/>
    </row>
    <row r="1951" spans="2:13" x14ac:dyDescent="0.2">
      <c r="B1951" s="2"/>
      <c r="C1951" s="11"/>
      <c r="D1951" s="1"/>
      <c r="E1951" s="1"/>
      <c r="F1951" s="1"/>
      <c r="G1951" s="1"/>
      <c r="H1951" s="1"/>
      <c r="I1951" s="5"/>
      <c r="J1951" s="5"/>
      <c r="K1951" s="5"/>
      <c r="L1951" s="5"/>
      <c r="M1951" s="5"/>
    </row>
    <row r="1953" spans="2:13" x14ac:dyDescent="0.2">
      <c r="B1953" s="2"/>
      <c r="C1953" s="11"/>
      <c r="D1953" s="1"/>
      <c r="E1953" s="1"/>
      <c r="F1953" s="1"/>
      <c r="G1953" s="1"/>
      <c r="H1953" s="1"/>
      <c r="I1953" s="5"/>
      <c r="J1953" s="5"/>
      <c r="K1953" s="5"/>
      <c r="L1953" s="5"/>
      <c r="M1953" s="5"/>
    </row>
    <row r="1955" spans="2:13" x14ac:dyDescent="0.2">
      <c r="B1955" s="2"/>
      <c r="C1955" s="11"/>
      <c r="D1955" s="1"/>
      <c r="E1955" s="1"/>
      <c r="F1955" s="1"/>
      <c r="G1955" s="1"/>
      <c r="H1955" s="1"/>
      <c r="I1955" s="5"/>
      <c r="J1955" s="5"/>
      <c r="K1955" s="5"/>
      <c r="L1955" s="5"/>
      <c r="M1955" s="5"/>
    </row>
    <row r="1957" spans="2:13" x14ac:dyDescent="0.2">
      <c r="B1957" s="2"/>
      <c r="C1957" s="11"/>
      <c r="D1957" s="1"/>
      <c r="E1957" s="1"/>
      <c r="F1957" s="1"/>
      <c r="G1957" s="1"/>
      <c r="H1957" s="1"/>
      <c r="I1957" s="5"/>
      <c r="J1957" s="5"/>
      <c r="K1957" s="5"/>
      <c r="L1957" s="5"/>
      <c r="M1957" s="5"/>
    </row>
    <row r="1959" spans="2:13" x14ac:dyDescent="0.2">
      <c r="B1959" s="2"/>
      <c r="C1959" s="11"/>
      <c r="D1959" s="1"/>
      <c r="E1959" s="1"/>
      <c r="F1959" s="1"/>
      <c r="G1959" s="1"/>
      <c r="H1959" s="1"/>
      <c r="I1959" s="5"/>
      <c r="J1959" s="5"/>
      <c r="K1959" s="5"/>
      <c r="L1959" s="5"/>
      <c r="M1959" s="5"/>
    </row>
    <row r="1969" spans="2:13" x14ac:dyDescent="0.2">
      <c r="B1969" s="2"/>
      <c r="C1969" s="11"/>
      <c r="D1969" s="1"/>
      <c r="E1969" s="1"/>
      <c r="F1969" s="1"/>
      <c r="G1969" s="1"/>
      <c r="H1969" s="1"/>
      <c r="I1969" s="5"/>
      <c r="J1969" s="5"/>
      <c r="K1969" s="5"/>
      <c r="L1969" s="5"/>
      <c r="M1969" s="5"/>
    </row>
    <row r="1971" spans="2:13" x14ac:dyDescent="0.2">
      <c r="B1971" s="2"/>
      <c r="C1971" s="11"/>
      <c r="D1971" s="1"/>
      <c r="E1971" s="1"/>
      <c r="F1971" s="1"/>
      <c r="G1971" s="1"/>
      <c r="H1971" s="1"/>
      <c r="I1971" s="5"/>
      <c r="J1971" s="5"/>
      <c r="K1971" s="5"/>
      <c r="L1971" s="5"/>
      <c r="M1971" s="5"/>
    </row>
    <row r="1973" spans="2:13" x14ac:dyDescent="0.2">
      <c r="B1973" s="2"/>
      <c r="C1973" s="11"/>
      <c r="D1973" s="1"/>
      <c r="E1973" s="1"/>
      <c r="F1973" s="1"/>
      <c r="G1973" s="1"/>
      <c r="H1973" s="1"/>
      <c r="I1973" s="5"/>
      <c r="J1973" s="5"/>
      <c r="K1973" s="5"/>
      <c r="L1973" s="5"/>
      <c r="M1973" s="5"/>
    </row>
    <row r="1975" spans="2:13" x14ac:dyDescent="0.2">
      <c r="B1975" s="2"/>
      <c r="C1975" s="11"/>
      <c r="D1975" s="1"/>
      <c r="E1975" s="1"/>
      <c r="F1975" s="1"/>
      <c r="G1975" s="1"/>
      <c r="H1975" s="1"/>
      <c r="I1975" s="5"/>
      <c r="J1975" s="5"/>
      <c r="K1975" s="5"/>
      <c r="L1975" s="5"/>
      <c r="M1975" s="5"/>
    </row>
    <row r="1977" spans="2:13" x14ac:dyDescent="0.2">
      <c r="B1977" s="2"/>
      <c r="C1977" s="11"/>
      <c r="D1977" s="1"/>
      <c r="E1977" s="1"/>
      <c r="F1977" s="1"/>
      <c r="G1977" s="1"/>
      <c r="H1977" s="1"/>
      <c r="I1977" s="5"/>
      <c r="J1977" s="5"/>
      <c r="K1977" s="5"/>
      <c r="L1977" s="5"/>
      <c r="M1977" s="5"/>
    </row>
    <row r="1979" spans="2:13" x14ac:dyDescent="0.2">
      <c r="B1979" s="2"/>
      <c r="C1979" s="11"/>
      <c r="D1979" s="1"/>
      <c r="E1979" s="1"/>
      <c r="F1979" s="1"/>
      <c r="G1979" s="1"/>
      <c r="H1979" s="1"/>
      <c r="I1979" s="5"/>
      <c r="J1979" s="5"/>
      <c r="K1979" s="5"/>
      <c r="L1979" s="5"/>
      <c r="M1979" s="5"/>
    </row>
    <row r="1980" spans="2:13" x14ac:dyDescent="0.2">
      <c r="B1980" s="2"/>
      <c r="C1980" s="11"/>
      <c r="D1980" s="1"/>
      <c r="E1980" s="1"/>
      <c r="F1980" s="1"/>
      <c r="G1980" s="1"/>
      <c r="H1980" s="1"/>
      <c r="I1980" s="5"/>
      <c r="J1980" s="5"/>
      <c r="K1980" s="5"/>
      <c r="L1980" s="5"/>
      <c r="M1980" s="5"/>
    </row>
    <row r="1983" spans="2:13" x14ac:dyDescent="0.2">
      <c r="B1983" s="2"/>
      <c r="C1983" s="11"/>
      <c r="D1983" s="1"/>
      <c r="E1983" s="1"/>
      <c r="F1983" s="1"/>
      <c r="G1983" s="1"/>
      <c r="H1983" s="1"/>
      <c r="I1983" s="5"/>
      <c r="J1983" s="5"/>
      <c r="K1983" s="5"/>
      <c r="L1983" s="5"/>
      <c r="M1983" s="5"/>
    </row>
    <row r="1985" spans="2:13" x14ac:dyDescent="0.2">
      <c r="B1985" s="2"/>
      <c r="C1985" s="11"/>
      <c r="D1985" s="1"/>
      <c r="E1985" s="1"/>
      <c r="F1985" s="1"/>
      <c r="G1985" s="1"/>
      <c r="H1985" s="1"/>
      <c r="I1985" s="5"/>
      <c r="J1985" s="5"/>
      <c r="K1985" s="5"/>
      <c r="L1985" s="5"/>
      <c r="M1985" s="5"/>
    </row>
    <row r="1987" spans="2:13" x14ac:dyDescent="0.2">
      <c r="B1987" s="2"/>
      <c r="C1987" s="11"/>
      <c r="D1987" s="1"/>
      <c r="E1987" s="1"/>
      <c r="F1987" s="1"/>
      <c r="G1987" s="1"/>
      <c r="H1987" s="1"/>
      <c r="I1987" s="5"/>
      <c r="J1987" s="5"/>
      <c r="K1987" s="5"/>
      <c r="L1987" s="5"/>
      <c r="M1987" s="5"/>
    </row>
    <row r="1990" spans="2:13" x14ac:dyDescent="0.2">
      <c r="B1990" s="2"/>
      <c r="C1990" s="11"/>
      <c r="D1990" s="1"/>
      <c r="E1990" s="1"/>
      <c r="F1990" s="1"/>
      <c r="G1990" s="1"/>
      <c r="H1990" s="1"/>
      <c r="I1990" s="5"/>
      <c r="J1990" s="5"/>
      <c r="K1990" s="5"/>
      <c r="L1990" s="5"/>
      <c r="M1990" s="5"/>
    </row>
    <row r="1992" spans="2:13" x14ac:dyDescent="0.2">
      <c r="B1992" s="2"/>
      <c r="C1992" s="11"/>
      <c r="D1992" s="1"/>
      <c r="E1992" s="1"/>
      <c r="F1992" s="1"/>
      <c r="G1992" s="1"/>
      <c r="H1992" s="1"/>
      <c r="I1992" s="5"/>
      <c r="J1992" s="5"/>
      <c r="K1992" s="5"/>
      <c r="L1992" s="5"/>
      <c r="M1992" s="5"/>
    </row>
    <row r="1994" spans="2:13" x14ac:dyDescent="0.2">
      <c r="B1994" s="2"/>
      <c r="C1994" s="11"/>
      <c r="D1994" s="1"/>
      <c r="E1994" s="1"/>
      <c r="F1994" s="1"/>
      <c r="G1994" s="1"/>
      <c r="H1994" s="1"/>
      <c r="I1994" s="5"/>
      <c r="J1994" s="5"/>
      <c r="K1994" s="5"/>
      <c r="L1994" s="5"/>
      <c r="M1994" s="5"/>
    </row>
    <row r="1997" spans="2:13" x14ac:dyDescent="0.2">
      <c r="B1997" s="2"/>
      <c r="C1997" s="11"/>
      <c r="D1997" s="1"/>
      <c r="E1997" s="1"/>
      <c r="F1997" s="1"/>
      <c r="G1997" s="1"/>
      <c r="H1997" s="1"/>
      <c r="I1997" s="5"/>
      <c r="J1997" s="5"/>
      <c r="K1997" s="5"/>
      <c r="L1997" s="5"/>
      <c r="M1997" s="5"/>
    </row>
    <row r="2000" spans="2:13" x14ac:dyDescent="0.2">
      <c r="B2000" s="2"/>
      <c r="C2000" s="11"/>
      <c r="D2000" s="1"/>
      <c r="E2000" s="1"/>
      <c r="F2000" s="1"/>
      <c r="G2000" s="1"/>
      <c r="H2000" s="1"/>
      <c r="I2000" s="5"/>
      <c r="J2000" s="5"/>
      <c r="K2000" s="5"/>
      <c r="L2000" s="5"/>
      <c r="M2000" s="5"/>
    </row>
    <row r="2002" spans="2:13" x14ac:dyDescent="0.2">
      <c r="B2002" s="2"/>
      <c r="C2002" s="11"/>
      <c r="D2002" s="1"/>
      <c r="E2002" s="1"/>
      <c r="F2002" s="1"/>
      <c r="G2002" s="1"/>
      <c r="H2002" s="1"/>
      <c r="I2002" s="5"/>
      <c r="J2002" s="5"/>
      <c r="K2002" s="5"/>
      <c r="L2002" s="5"/>
      <c r="M2002" s="5"/>
    </row>
    <row r="2004" spans="2:13" x14ac:dyDescent="0.2">
      <c r="B2004" s="2"/>
      <c r="C2004" s="11"/>
      <c r="D2004" s="1"/>
      <c r="E2004" s="1"/>
      <c r="F2004" s="1"/>
      <c r="G2004" s="1"/>
      <c r="H2004" s="1"/>
      <c r="I2004" s="5"/>
      <c r="J2004" s="5"/>
      <c r="K2004" s="5"/>
      <c r="L2004" s="5"/>
      <c r="M2004" s="5"/>
    </row>
    <row r="2006" spans="2:13" x14ac:dyDescent="0.2">
      <c r="B2006" s="2"/>
      <c r="C2006" s="11"/>
      <c r="D2006" s="1"/>
      <c r="E2006" s="1"/>
      <c r="F2006" s="1"/>
      <c r="G2006" s="1"/>
      <c r="H2006" s="1"/>
      <c r="I2006" s="5"/>
      <c r="J2006" s="5"/>
      <c r="K2006" s="5"/>
      <c r="L2006" s="5"/>
      <c r="M2006" s="5"/>
    </row>
    <row r="2420" spans="2:13" x14ac:dyDescent="0.2">
      <c r="B2420" s="2"/>
      <c r="C2420" s="11"/>
      <c r="D2420" s="1"/>
      <c r="E2420" s="1"/>
      <c r="F2420" s="1"/>
      <c r="G2420" s="1"/>
      <c r="H2420" s="1"/>
      <c r="I2420" s="5"/>
      <c r="J2420" s="5"/>
      <c r="K2420" s="5"/>
      <c r="L2420" s="5"/>
      <c r="M2420" s="5"/>
    </row>
    <row r="2422" spans="2:13" x14ac:dyDescent="0.2">
      <c r="B2422" s="2"/>
      <c r="C2422" s="11"/>
      <c r="D2422" s="1"/>
      <c r="E2422" s="1"/>
      <c r="F2422" s="1"/>
      <c r="G2422" s="1"/>
      <c r="H2422" s="1"/>
      <c r="I2422" s="5"/>
      <c r="J2422" s="5"/>
      <c r="K2422" s="5"/>
      <c r="L2422" s="5"/>
      <c r="M2422" s="5"/>
    </row>
    <row r="2425" spans="2:13" x14ac:dyDescent="0.2">
      <c r="B2425" s="2"/>
      <c r="C2425" s="11"/>
      <c r="D2425" s="1"/>
      <c r="E2425" s="1"/>
      <c r="F2425" s="1"/>
      <c r="G2425" s="1"/>
      <c r="H2425" s="1"/>
      <c r="I2425" s="5"/>
      <c r="J2425" s="5"/>
      <c r="K2425" s="5"/>
      <c r="L2425" s="5"/>
      <c r="M2425" s="5"/>
    </row>
    <row r="2427" spans="2:13" x14ac:dyDescent="0.2">
      <c r="B2427" s="2"/>
      <c r="C2427" s="11"/>
      <c r="D2427" s="1"/>
      <c r="E2427" s="1"/>
      <c r="F2427" s="1"/>
      <c r="G2427" s="1"/>
      <c r="H2427" s="1"/>
      <c r="I2427" s="5"/>
      <c r="J2427" s="5"/>
      <c r="K2427" s="5"/>
      <c r="L2427" s="5"/>
      <c r="M2427" s="5"/>
    </row>
    <row r="2430" spans="2:13" x14ac:dyDescent="0.2">
      <c r="B2430" s="2"/>
      <c r="C2430" s="11"/>
      <c r="D2430" s="1"/>
      <c r="E2430" s="1"/>
      <c r="F2430" s="1"/>
      <c r="G2430" s="1"/>
      <c r="H2430" s="1"/>
      <c r="I2430" s="5"/>
      <c r="J2430" s="5"/>
      <c r="K2430" s="5"/>
      <c r="L2430" s="5"/>
      <c r="M2430" s="5"/>
    </row>
    <row r="2432" spans="2:13" x14ac:dyDescent="0.2">
      <c r="B2432" s="2"/>
      <c r="C2432" s="11"/>
      <c r="D2432" s="1"/>
      <c r="E2432" s="1"/>
      <c r="F2432" s="1"/>
      <c r="G2432" s="1"/>
      <c r="H2432" s="1"/>
      <c r="I2432" s="5"/>
      <c r="J2432" s="5"/>
      <c r="K2432" s="5"/>
      <c r="L2432" s="5"/>
      <c r="M2432" s="5"/>
    </row>
    <row r="2433" spans="2:13" x14ac:dyDescent="0.2">
      <c r="B2433" s="2"/>
      <c r="C2433" s="11"/>
      <c r="D2433" s="1"/>
      <c r="E2433" s="1"/>
      <c r="F2433" s="1"/>
      <c r="G2433" s="1"/>
      <c r="H2433" s="1"/>
      <c r="I2433" s="5"/>
      <c r="J2433" s="5"/>
      <c r="K2433" s="5"/>
      <c r="L2433" s="5"/>
      <c r="M2433" s="5"/>
    </row>
    <row r="2434" spans="2:13" x14ac:dyDescent="0.2">
      <c r="B2434" s="2"/>
      <c r="C2434" s="11"/>
      <c r="D2434" s="1"/>
      <c r="E2434" s="1"/>
      <c r="F2434" s="1"/>
      <c r="G2434" s="1"/>
      <c r="H2434" s="1"/>
      <c r="I2434" s="5"/>
      <c r="J2434" s="5"/>
      <c r="K2434" s="5"/>
      <c r="L2434" s="5"/>
      <c r="M2434" s="5"/>
    </row>
    <row r="2435" spans="2:13" x14ac:dyDescent="0.2">
      <c r="B2435" s="2"/>
      <c r="C2435" s="11"/>
      <c r="D2435" s="1"/>
      <c r="E2435" s="1"/>
      <c r="F2435" s="1"/>
      <c r="G2435" s="1"/>
      <c r="H2435" s="1"/>
      <c r="I2435" s="5"/>
      <c r="J2435" s="5"/>
      <c r="K2435" s="5"/>
      <c r="L2435" s="5"/>
      <c r="M2435" s="5"/>
    </row>
    <row r="2437" spans="2:13" x14ac:dyDescent="0.2">
      <c r="B2437" s="2"/>
      <c r="C2437" s="11"/>
      <c r="D2437" s="1"/>
      <c r="E2437" s="1"/>
      <c r="F2437" s="1"/>
      <c r="G2437" s="1"/>
      <c r="H2437" s="1"/>
      <c r="I2437" s="5"/>
      <c r="J2437" s="5"/>
      <c r="K2437" s="5"/>
      <c r="L2437" s="5"/>
      <c r="M2437" s="5"/>
    </row>
    <row r="2439" spans="2:13" x14ac:dyDescent="0.2">
      <c r="B2439" s="2"/>
      <c r="C2439" s="11"/>
      <c r="D2439" s="1"/>
      <c r="E2439" s="1"/>
      <c r="F2439" s="1"/>
      <c r="G2439" s="1"/>
      <c r="H2439" s="1"/>
      <c r="I2439" s="5"/>
      <c r="J2439" s="5"/>
      <c r="K2439" s="5"/>
      <c r="L2439" s="5"/>
      <c r="M2439" s="5"/>
    </row>
    <row r="2464" spans="2:13" x14ac:dyDescent="0.2">
      <c r="B2464" s="2"/>
      <c r="C2464" s="11"/>
      <c r="D2464" s="1"/>
      <c r="E2464" s="1"/>
      <c r="F2464" s="1"/>
      <c r="G2464" s="1"/>
      <c r="H2464" s="1"/>
      <c r="I2464" s="5"/>
      <c r="J2464" s="5"/>
      <c r="K2464" s="5"/>
      <c r="L2464" s="5"/>
      <c r="M2464" s="5"/>
    </row>
    <row r="2468" spans="2:13" x14ac:dyDescent="0.2">
      <c r="B2468" s="2"/>
      <c r="C2468" s="11"/>
      <c r="D2468" s="1"/>
      <c r="E2468" s="1"/>
      <c r="F2468" s="1"/>
      <c r="G2468" s="1"/>
      <c r="H2468" s="1"/>
      <c r="I2468" s="5"/>
      <c r="J2468" s="5"/>
      <c r="K2468" s="5"/>
      <c r="L2468" s="5"/>
      <c r="M2468" s="5"/>
    </row>
    <row r="2470" spans="2:13" x14ac:dyDescent="0.2">
      <c r="B2470" s="2"/>
      <c r="C2470" s="11"/>
      <c r="D2470" s="1"/>
      <c r="E2470" s="1"/>
      <c r="F2470" s="1"/>
      <c r="G2470" s="1"/>
      <c r="H2470" s="1"/>
      <c r="I2470" s="5"/>
      <c r="J2470" s="5"/>
      <c r="K2470" s="5"/>
      <c r="L2470" s="5"/>
      <c r="M2470" s="5"/>
    </row>
    <row r="2472" spans="2:13" x14ac:dyDescent="0.2">
      <c r="B2472" s="2"/>
      <c r="C2472" s="11"/>
      <c r="D2472" s="1"/>
      <c r="E2472" s="1"/>
      <c r="F2472" s="1"/>
      <c r="G2472" s="1"/>
      <c r="H2472" s="1"/>
      <c r="I2472" s="5"/>
      <c r="J2472" s="5"/>
      <c r="K2472" s="5"/>
      <c r="L2472" s="5"/>
      <c r="M2472" s="5"/>
    </row>
    <row r="2474" spans="2:13" x14ac:dyDescent="0.2">
      <c r="B2474" s="2"/>
      <c r="C2474" s="11"/>
      <c r="D2474" s="1"/>
      <c r="E2474" s="1"/>
      <c r="F2474" s="1"/>
      <c r="G2474" s="1"/>
      <c r="H2474" s="1"/>
      <c r="I2474" s="5"/>
      <c r="J2474" s="5"/>
      <c r="K2474" s="5"/>
      <c r="L2474" s="5"/>
      <c r="M2474" s="5"/>
    </row>
    <row r="2476" spans="2:13" x14ac:dyDescent="0.2">
      <c r="B2476" s="2"/>
      <c r="C2476" s="11"/>
      <c r="D2476" s="1"/>
      <c r="E2476" s="1"/>
      <c r="F2476" s="1"/>
      <c r="G2476" s="1"/>
      <c r="H2476" s="1"/>
      <c r="I2476" s="5"/>
      <c r="J2476" s="5"/>
      <c r="K2476" s="5"/>
      <c r="L2476" s="5"/>
      <c r="M2476" s="5"/>
    </row>
    <row r="2478" spans="2:13" x14ac:dyDescent="0.2">
      <c r="B2478" s="2"/>
      <c r="C2478" s="11"/>
      <c r="D2478" s="1"/>
      <c r="E2478" s="1"/>
      <c r="F2478" s="1"/>
      <c r="G2478" s="1"/>
      <c r="H2478" s="1"/>
      <c r="I2478" s="5"/>
      <c r="J2478" s="5"/>
      <c r="K2478" s="5"/>
      <c r="L2478" s="5"/>
      <c r="M2478" s="5"/>
    </row>
    <row r="2482" spans="2:13" x14ac:dyDescent="0.2">
      <c r="B2482" s="2"/>
      <c r="C2482" s="11"/>
      <c r="D2482" s="1"/>
      <c r="E2482" s="1"/>
      <c r="F2482" s="1"/>
      <c r="G2482" s="1"/>
      <c r="H2482" s="1"/>
      <c r="I2482" s="5"/>
      <c r="J2482" s="5"/>
      <c r="K2482" s="5"/>
      <c r="L2482" s="5"/>
      <c r="M2482" s="5"/>
    </row>
    <row r="2484" spans="2:13" x14ac:dyDescent="0.2">
      <c r="B2484" s="2"/>
      <c r="C2484" s="11"/>
      <c r="D2484" s="1"/>
      <c r="E2484" s="1"/>
      <c r="F2484" s="1"/>
      <c r="G2484" s="1"/>
      <c r="H2484" s="1"/>
      <c r="I2484" s="5"/>
      <c r="J2484" s="5"/>
      <c r="K2484" s="5"/>
      <c r="L2484" s="5"/>
      <c r="M2484" s="5"/>
    </row>
    <row r="2487" spans="2:13" x14ac:dyDescent="0.2">
      <c r="B2487" s="2"/>
      <c r="C2487" s="11"/>
      <c r="D2487" s="1"/>
      <c r="E2487" s="1"/>
      <c r="F2487" s="1"/>
      <c r="G2487" s="1"/>
      <c r="H2487" s="1"/>
      <c r="I2487" s="5"/>
      <c r="J2487" s="5"/>
      <c r="K2487" s="5"/>
      <c r="L2487" s="5"/>
      <c r="M2487" s="5"/>
    </row>
    <row r="2490" spans="2:13" x14ac:dyDescent="0.2">
      <c r="B2490" s="2"/>
      <c r="C2490" s="11"/>
      <c r="D2490" s="1"/>
      <c r="E2490" s="1"/>
      <c r="F2490" s="1"/>
      <c r="G2490" s="1"/>
      <c r="H2490" s="1"/>
      <c r="I2490" s="5"/>
      <c r="J2490" s="5"/>
      <c r="K2490" s="5"/>
      <c r="L2490" s="5"/>
      <c r="M2490" s="5"/>
    </row>
    <row r="2492" spans="2:13" x14ac:dyDescent="0.2">
      <c r="B2492" s="2"/>
      <c r="C2492" s="11"/>
      <c r="D2492" s="1"/>
      <c r="E2492" s="1"/>
      <c r="F2492" s="1"/>
      <c r="G2492" s="1"/>
      <c r="H2492" s="1"/>
      <c r="I2492" s="5"/>
      <c r="J2492" s="5"/>
      <c r="K2492" s="5"/>
      <c r="L2492" s="5"/>
      <c r="M2492" s="5"/>
    </row>
    <row r="2494" spans="2:13" x14ac:dyDescent="0.2">
      <c r="B2494" s="2"/>
      <c r="C2494" s="11"/>
      <c r="D2494" s="1"/>
      <c r="E2494" s="1"/>
      <c r="F2494" s="1"/>
      <c r="G2494" s="1"/>
      <c r="H2494" s="1"/>
      <c r="I2494" s="5"/>
      <c r="J2494" s="5"/>
      <c r="K2494" s="5"/>
      <c r="L2494" s="5"/>
      <c r="M2494" s="5"/>
    </row>
    <row r="2496" spans="2:13" x14ac:dyDescent="0.2">
      <c r="B2496" s="2"/>
      <c r="C2496" s="11"/>
      <c r="D2496" s="1"/>
      <c r="E2496" s="1"/>
      <c r="F2496" s="1"/>
      <c r="G2496" s="1"/>
      <c r="H2496" s="1"/>
      <c r="I2496" s="5"/>
      <c r="J2496" s="5"/>
      <c r="K2496" s="5"/>
      <c r="L2496" s="5"/>
      <c r="M2496" s="5"/>
    </row>
    <row r="2498" spans="2:13" x14ac:dyDescent="0.2">
      <c r="B2498" s="2"/>
      <c r="C2498" s="11"/>
      <c r="D2498" s="1"/>
      <c r="E2498" s="1"/>
      <c r="F2498" s="1"/>
      <c r="G2498" s="1"/>
      <c r="H2498" s="1"/>
      <c r="I2498" s="5"/>
      <c r="J2498" s="5"/>
      <c r="K2498" s="5"/>
      <c r="L2498" s="5"/>
      <c r="M2498" s="5"/>
    </row>
    <row r="2499" spans="2:13" x14ac:dyDescent="0.2">
      <c r="B2499" s="2"/>
      <c r="C2499" s="11"/>
      <c r="D2499" s="1"/>
      <c r="E2499" s="1"/>
      <c r="F2499" s="1"/>
      <c r="G2499" s="1"/>
      <c r="H2499" s="1"/>
      <c r="I2499" s="5"/>
      <c r="J2499" s="5"/>
      <c r="K2499" s="5"/>
      <c r="L2499" s="5"/>
      <c r="M2499" s="5"/>
    </row>
    <row r="2500" spans="2:13" x14ac:dyDescent="0.2">
      <c r="B2500" s="2"/>
      <c r="C2500" s="11"/>
      <c r="D2500" s="1"/>
      <c r="E2500" s="1"/>
      <c r="F2500" s="1"/>
      <c r="G2500" s="1"/>
      <c r="H2500" s="1"/>
      <c r="I2500" s="5"/>
      <c r="J2500" s="5"/>
      <c r="K2500" s="5"/>
      <c r="L2500" s="5"/>
      <c r="M2500" s="5"/>
    </row>
    <row r="2504" spans="2:13" x14ac:dyDescent="0.2">
      <c r="B2504" s="2"/>
      <c r="C2504" s="11"/>
      <c r="D2504" s="1"/>
      <c r="E2504" s="1"/>
      <c r="F2504" s="1"/>
      <c r="G2504" s="1"/>
      <c r="H2504" s="1"/>
      <c r="I2504" s="5"/>
      <c r="J2504" s="5"/>
      <c r="K2504" s="5"/>
      <c r="L2504" s="5"/>
      <c r="M2504" s="5"/>
    </row>
    <row r="2507" spans="2:13" x14ac:dyDescent="0.2">
      <c r="C2507" s="11"/>
      <c r="D2507" s="1"/>
      <c r="E2507" s="1"/>
      <c r="F2507" s="1"/>
      <c r="G2507" s="1"/>
      <c r="H2507" s="1"/>
      <c r="I2507" s="5"/>
      <c r="J2507" s="5"/>
      <c r="K2507" s="5"/>
      <c r="L2507" s="5"/>
      <c r="M2507" s="5"/>
    </row>
    <row r="2511" spans="2:13" x14ac:dyDescent="0.2">
      <c r="C2511" s="11"/>
      <c r="D2511" s="1"/>
      <c r="E2511" s="1"/>
      <c r="F2511" s="1"/>
      <c r="G2511" s="1"/>
      <c r="H2511" s="1"/>
      <c r="I2511" s="5"/>
      <c r="J2511" s="5"/>
      <c r="K2511" s="5"/>
      <c r="L2511" s="5"/>
      <c r="M2511" s="5"/>
    </row>
    <row r="2515" spans="2:13" x14ac:dyDescent="0.2">
      <c r="B2515" s="2"/>
      <c r="C2515" s="11"/>
      <c r="D2515" s="1"/>
      <c r="E2515" s="1"/>
      <c r="F2515" s="1"/>
      <c r="G2515" s="1"/>
      <c r="H2515" s="1"/>
      <c r="I2515" s="5"/>
      <c r="J2515" s="5"/>
      <c r="K2515" s="5"/>
      <c r="L2515" s="5"/>
      <c r="M2515" s="5"/>
    </row>
    <row r="2517" spans="2:13" x14ac:dyDescent="0.2">
      <c r="B2517" s="2"/>
      <c r="C2517" s="11"/>
      <c r="D2517" s="1"/>
      <c r="E2517" s="1"/>
      <c r="F2517" s="1"/>
      <c r="G2517" s="1"/>
      <c r="H2517" s="1"/>
      <c r="I2517" s="5"/>
      <c r="J2517" s="5"/>
      <c r="K2517" s="5"/>
      <c r="L2517" s="5"/>
      <c r="M2517" s="5"/>
    </row>
    <row r="2520" spans="2:13" x14ac:dyDescent="0.2">
      <c r="B2520" s="2"/>
      <c r="C2520" s="11"/>
      <c r="D2520" s="1"/>
      <c r="E2520" s="1"/>
      <c r="F2520" s="1"/>
      <c r="G2520" s="1"/>
      <c r="H2520" s="1"/>
      <c r="I2520" s="5"/>
      <c r="J2520" s="5"/>
      <c r="K2520" s="5"/>
      <c r="L2520" s="5"/>
      <c r="M2520" s="5"/>
    </row>
    <row r="2523" spans="2:13" x14ac:dyDescent="0.2">
      <c r="B2523" s="2"/>
      <c r="C2523" s="11"/>
      <c r="D2523" s="1"/>
      <c r="E2523" s="1"/>
      <c r="F2523" s="1"/>
      <c r="G2523" s="1"/>
      <c r="H2523" s="1"/>
      <c r="I2523" s="5"/>
      <c r="J2523" s="5"/>
      <c r="K2523" s="5"/>
      <c r="L2523" s="5"/>
      <c r="M2523" s="5"/>
    </row>
    <row r="2527" spans="2:13" x14ac:dyDescent="0.2">
      <c r="B2527" s="2"/>
      <c r="C2527" s="11"/>
      <c r="D2527" s="1"/>
      <c r="E2527" s="1"/>
      <c r="F2527" s="1"/>
      <c r="G2527" s="1"/>
      <c r="H2527" s="1"/>
      <c r="I2527" s="5"/>
      <c r="J2527" s="5"/>
      <c r="K2527" s="5"/>
      <c r="L2527" s="5"/>
      <c r="M2527" s="5"/>
    </row>
    <row r="2529" spans="3:13" x14ac:dyDescent="0.2">
      <c r="C2529" s="11"/>
      <c r="D2529" s="1"/>
      <c r="E2529" s="1"/>
      <c r="F2529" s="1"/>
      <c r="G2529" s="1"/>
      <c r="H2529" s="1"/>
      <c r="I2529" s="5"/>
      <c r="J2529" s="5"/>
      <c r="K2529" s="5"/>
      <c r="L2529" s="5"/>
      <c r="M2529" s="5"/>
    </row>
    <row r="2533" spans="3:13" x14ac:dyDescent="0.2">
      <c r="C2533" s="11"/>
      <c r="D2533" s="1"/>
      <c r="E2533" s="1"/>
      <c r="F2533" s="1"/>
      <c r="G2533" s="1"/>
      <c r="H2533" s="1"/>
      <c r="I2533" s="5"/>
      <c r="J2533" s="5"/>
      <c r="K2533" s="5"/>
      <c r="L2533" s="5"/>
      <c r="M2533" s="5"/>
    </row>
    <row r="2537" spans="3:13" x14ac:dyDescent="0.2">
      <c r="C2537" s="11"/>
      <c r="D2537" s="1"/>
      <c r="E2537" s="1"/>
      <c r="F2537" s="1"/>
      <c r="G2537" s="1"/>
      <c r="H2537" s="1"/>
      <c r="I2537" s="5"/>
      <c r="J2537" s="5"/>
      <c r="K2537" s="5"/>
      <c r="L2537" s="5"/>
      <c r="M2537" s="5"/>
    </row>
    <row r="2539" spans="3:13" x14ac:dyDescent="0.2">
      <c r="C2539" s="11"/>
      <c r="D2539" s="1"/>
      <c r="E2539" s="1"/>
      <c r="F2539" s="1"/>
      <c r="G2539" s="1"/>
      <c r="H2539" s="1"/>
      <c r="I2539" s="5"/>
      <c r="J2539" s="5"/>
      <c r="K2539" s="5"/>
      <c r="L2539" s="5"/>
      <c r="M2539" s="5"/>
    </row>
    <row r="2540" spans="3:13" x14ac:dyDescent="0.2">
      <c r="C2540" s="11"/>
      <c r="D2540" s="1"/>
      <c r="E2540" s="1"/>
      <c r="F2540" s="1"/>
      <c r="G2540" s="1"/>
      <c r="H2540" s="1"/>
      <c r="I2540" s="5"/>
      <c r="J2540" s="5"/>
      <c r="K2540" s="5"/>
      <c r="L2540" s="5"/>
      <c r="M2540" s="5"/>
    </row>
    <row r="2543" spans="3:13" x14ac:dyDescent="0.2">
      <c r="C2543" s="11"/>
      <c r="D2543" s="6"/>
      <c r="E2543" s="6"/>
      <c r="F2543" s="6"/>
      <c r="G2543" s="6"/>
      <c r="H2543" s="6"/>
      <c r="I2543" s="6"/>
      <c r="J2543" s="6"/>
      <c r="K2543" s="6"/>
      <c r="L2543" s="6"/>
      <c r="M2543" s="6"/>
    </row>
    <row r="2545" spans="2:13" x14ac:dyDescent="0.2">
      <c r="C2545" s="11"/>
      <c r="D2545" s="1"/>
      <c r="E2545" s="1"/>
      <c r="F2545" s="1"/>
      <c r="G2545" s="1"/>
      <c r="H2545" s="1"/>
      <c r="I2545" s="5"/>
      <c r="J2545" s="5"/>
      <c r="K2545" s="5"/>
      <c r="L2545" s="5"/>
      <c r="M2545" s="5"/>
    </row>
    <row r="2546" spans="2:13" x14ac:dyDescent="0.2">
      <c r="C2546" s="11"/>
      <c r="D2546" s="1"/>
      <c r="E2546" s="1"/>
      <c r="F2546" s="1"/>
      <c r="G2546" s="1"/>
      <c r="H2546" s="1"/>
      <c r="I2546" s="5"/>
      <c r="J2546" s="5"/>
      <c r="K2546" s="5"/>
      <c r="L2546" s="5"/>
      <c r="M2546" s="5"/>
    </row>
    <row r="2547" spans="2:13" x14ac:dyDescent="0.2">
      <c r="C2547" s="11"/>
      <c r="D2547" s="1"/>
      <c r="E2547" s="1"/>
      <c r="F2547" s="1"/>
      <c r="G2547" s="1"/>
      <c r="H2547" s="1"/>
      <c r="I2547" s="5"/>
      <c r="J2547" s="5"/>
      <c r="K2547" s="5"/>
      <c r="L2547" s="5"/>
      <c r="M2547" s="5"/>
    </row>
    <row r="2550" spans="2:13" x14ac:dyDescent="0.2">
      <c r="B2550" s="2"/>
      <c r="C2550" s="11"/>
      <c r="D2550" s="1"/>
      <c r="E2550" s="1"/>
      <c r="F2550" s="1"/>
      <c r="G2550" s="1"/>
      <c r="H2550" s="1"/>
      <c r="I2550" s="5"/>
      <c r="J2550" s="5"/>
      <c r="K2550" s="5"/>
      <c r="L2550" s="5"/>
      <c r="M2550" s="5"/>
    </row>
    <row r="2552" spans="2:13" x14ac:dyDescent="0.2">
      <c r="B2552" s="2"/>
      <c r="C2552" s="11"/>
      <c r="D2552" s="1"/>
      <c r="E2552" s="1"/>
      <c r="F2552" s="1"/>
      <c r="G2552" s="1"/>
      <c r="H2552" s="1"/>
      <c r="I2552" s="5"/>
      <c r="J2552" s="5"/>
      <c r="K2552" s="5"/>
      <c r="L2552" s="5"/>
      <c r="M2552" s="5"/>
    </row>
    <row r="2554" spans="2:13" x14ac:dyDescent="0.2">
      <c r="B2554" s="2"/>
      <c r="C2554" s="11"/>
      <c r="D2554" s="1"/>
      <c r="E2554" s="1"/>
      <c r="F2554" s="1"/>
      <c r="G2554" s="1"/>
      <c r="H2554" s="1"/>
      <c r="I2554" s="5"/>
      <c r="J2554" s="5"/>
      <c r="K2554" s="5"/>
      <c r="L2554" s="5"/>
      <c r="M2554" s="5"/>
    </row>
    <row r="2557" spans="2:13" x14ac:dyDescent="0.2">
      <c r="B2557" s="2"/>
      <c r="C2557" s="11"/>
      <c r="D2557" s="1"/>
      <c r="E2557" s="1"/>
      <c r="F2557" s="1"/>
      <c r="G2557" s="1"/>
      <c r="H2557" s="1"/>
      <c r="I2557" s="5"/>
      <c r="J2557" s="5"/>
      <c r="K2557" s="5"/>
      <c r="L2557" s="5"/>
      <c r="M2557" s="5"/>
    </row>
    <row r="2559" spans="2:13" x14ac:dyDescent="0.2">
      <c r="B2559" s="2"/>
      <c r="C2559" s="11"/>
      <c r="D2559" s="1"/>
      <c r="E2559" s="1"/>
      <c r="F2559" s="1"/>
      <c r="G2559" s="1"/>
      <c r="H2559" s="1"/>
      <c r="I2559" s="5"/>
      <c r="J2559" s="5"/>
      <c r="K2559" s="5"/>
      <c r="L2559" s="5"/>
      <c r="M2559" s="5"/>
    </row>
    <row r="2561" spans="2:13" x14ac:dyDescent="0.2">
      <c r="B2561" s="2"/>
      <c r="C2561" s="11"/>
      <c r="D2561" s="1"/>
      <c r="E2561" s="1"/>
      <c r="F2561" s="1"/>
      <c r="G2561" s="1"/>
      <c r="H2561" s="1"/>
      <c r="I2561" s="5"/>
      <c r="J2561" s="5"/>
      <c r="K2561" s="5"/>
      <c r="L2561" s="5"/>
      <c r="M2561" s="5"/>
    </row>
    <row r="2563" spans="2:13" x14ac:dyDescent="0.2">
      <c r="B2563" s="2"/>
      <c r="C2563" s="11"/>
      <c r="D2563" s="1"/>
      <c r="E2563" s="1"/>
      <c r="F2563" s="1"/>
      <c r="G2563" s="1"/>
      <c r="H2563" s="1"/>
      <c r="I2563" s="5"/>
      <c r="J2563" s="5"/>
      <c r="K2563" s="5"/>
      <c r="L2563" s="5"/>
      <c r="M2563" s="5"/>
    </row>
    <row r="2565" spans="2:13" x14ac:dyDescent="0.2">
      <c r="B2565" s="2"/>
      <c r="C2565" s="11"/>
      <c r="D2565" s="1"/>
      <c r="E2565" s="1"/>
      <c r="F2565" s="1"/>
      <c r="G2565" s="1"/>
      <c r="H2565" s="1"/>
      <c r="I2565" s="5"/>
      <c r="J2565" s="5"/>
      <c r="K2565" s="5"/>
      <c r="L2565" s="5"/>
      <c r="M2565" s="5"/>
    </row>
    <row r="2567" spans="2:13" x14ac:dyDescent="0.2">
      <c r="C2567" s="11"/>
      <c r="D2567" s="1"/>
      <c r="E2567" s="1"/>
      <c r="F2567" s="1"/>
      <c r="G2567" s="1"/>
      <c r="H2567" s="1"/>
      <c r="I2567" s="5"/>
      <c r="J2567" s="5"/>
      <c r="K2567" s="5"/>
      <c r="L2567" s="5"/>
      <c r="M2567" s="5"/>
    </row>
    <row r="2569" spans="2:13" x14ac:dyDescent="0.2">
      <c r="B2569" s="2"/>
      <c r="C2569" s="11"/>
      <c r="D2569" s="1"/>
      <c r="E2569" s="1"/>
      <c r="F2569" s="1"/>
      <c r="G2569" s="1"/>
      <c r="H2569" s="1"/>
      <c r="I2569" s="5"/>
      <c r="J2569" s="5"/>
      <c r="K2569" s="5"/>
      <c r="L2569" s="5"/>
      <c r="M2569" s="5"/>
    </row>
    <row r="2572" spans="2:13" x14ac:dyDescent="0.2">
      <c r="B2572" s="2"/>
      <c r="C2572" s="11"/>
      <c r="D2572" s="1"/>
      <c r="E2572" s="1"/>
      <c r="F2572" s="1"/>
      <c r="G2572" s="1"/>
      <c r="H2572" s="1"/>
      <c r="I2572" s="5"/>
      <c r="J2572" s="5"/>
      <c r="K2572" s="5"/>
      <c r="L2572" s="5"/>
      <c r="M2572" s="5"/>
    </row>
    <row r="2576" spans="2:13" x14ac:dyDescent="0.2">
      <c r="B2576" s="2"/>
      <c r="C2576" s="11"/>
      <c r="D2576" s="1"/>
      <c r="E2576" s="1"/>
      <c r="F2576" s="1"/>
      <c r="G2576" s="1"/>
      <c r="H2576" s="1"/>
      <c r="I2576" s="5"/>
      <c r="J2576" s="5"/>
      <c r="K2576" s="5"/>
      <c r="L2576" s="5"/>
      <c r="M2576" s="5"/>
    </row>
    <row r="2578" spans="2:13" x14ac:dyDescent="0.2">
      <c r="B2578" s="2"/>
      <c r="C2578" s="11"/>
      <c r="D2578" s="1"/>
      <c r="E2578" s="1"/>
      <c r="F2578" s="1"/>
      <c r="G2578" s="1"/>
      <c r="H2578" s="1"/>
      <c r="I2578" s="5"/>
      <c r="J2578" s="5"/>
      <c r="K2578" s="5"/>
      <c r="L2578" s="5"/>
      <c r="M2578" s="5"/>
    </row>
    <row r="2580" spans="2:13" x14ac:dyDescent="0.2">
      <c r="B2580" s="2"/>
      <c r="C2580" s="11"/>
      <c r="D2580" s="1"/>
      <c r="E2580" s="1"/>
      <c r="F2580" s="1"/>
      <c r="G2580" s="1"/>
      <c r="H2580" s="1"/>
      <c r="I2580" s="5"/>
      <c r="J2580" s="5"/>
      <c r="K2580" s="5"/>
      <c r="L2580" s="5"/>
      <c r="M2580" s="5"/>
    </row>
    <row r="2582" spans="2:13" x14ac:dyDescent="0.2">
      <c r="C2582" s="11"/>
      <c r="D2582" s="1"/>
      <c r="E2582" s="1"/>
      <c r="F2582" s="1"/>
      <c r="G2582" s="1"/>
      <c r="H2582" s="1"/>
      <c r="I2582" s="5"/>
      <c r="J2582" s="5"/>
      <c r="K2582" s="5"/>
      <c r="L2582" s="5"/>
      <c r="M2582" s="5"/>
    </row>
    <row r="2584" spans="2:13" x14ac:dyDescent="0.2">
      <c r="B2584" s="2"/>
      <c r="C2584" s="11"/>
      <c r="D2584" s="1"/>
      <c r="E2584" s="1"/>
      <c r="F2584" s="1"/>
      <c r="G2584" s="1"/>
      <c r="H2584" s="1"/>
      <c r="I2584" s="5"/>
      <c r="J2584" s="5"/>
      <c r="K2584" s="5"/>
      <c r="L2584" s="5"/>
      <c r="M2584" s="5"/>
    </row>
    <row r="2587" spans="2:13" x14ac:dyDescent="0.2">
      <c r="B2587" s="2"/>
      <c r="C2587" s="11"/>
      <c r="D2587" s="1"/>
      <c r="E2587" s="1"/>
      <c r="F2587" s="1"/>
      <c r="G2587" s="1"/>
      <c r="H2587" s="1"/>
      <c r="I2587" s="5"/>
      <c r="J2587" s="5"/>
      <c r="K2587" s="5"/>
      <c r="L2587" s="5"/>
      <c r="M2587" s="5"/>
    </row>
    <row r="2589" spans="2:13" x14ac:dyDescent="0.2">
      <c r="B2589" s="2"/>
      <c r="C2589" s="11"/>
      <c r="D2589" s="1"/>
      <c r="E2589" s="1"/>
      <c r="F2589" s="1"/>
      <c r="G2589" s="1"/>
      <c r="H2589" s="1"/>
      <c r="I2589" s="5"/>
      <c r="J2589" s="5"/>
      <c r="K2589" s="5"/>
      <c r="L2589" s="5"/>
      <c r="M2589" s="5"/>
    </row>
    <row r="2591" spans="2:13" x14ac:dyDescent="0.2">
      <c r="B2591" s="2"/>
      <c r="C2591" s="11"/>
      <c r="D2591" s="1"/>
      <c r="E2591" s="1"/>
      <c r="F2591" s="1"/>
      <c r="G2591" s="1"/>
      <c r="H2591" s="1"/>
      <c r="I2591" s="5"/>
      <c r="J2591" s="5"/>
      <c r="K2591" s="5"/>
      <c r="L2591" s="5"/>
      <c r="M2591" s="5"/>
    </row>
    <row r="2594" spans="2:13" x14ac:dyDescent="0.2">
      <c r="B2594" s="2"/>
      <c r="C2594" s="11"/>
      <c r="D2594" s="1"/>
      <c r="E2594" s="1"/>
      <c r="F2594" s="1"/>
      <c r="G2594" s="1"/>
      <c r="H2594" s="1"/>
      <c r="I2594" s="5"/>
      <c r="J2594" s="5"/>
      <c r="K2594" s="5"/>
      <c r="L2594" s="5"/>
      <c r="M2594" s="5"/>
    </row>
    <row r="2596" spans="2:13" x14ac:dyDescent="0.2">
      <c r="B2596" s="2"/>
      <c r="C2596" s="11"/>
      <c r="D2596" s="1"/>
      <c r="E2596" s="1"/>
      <c r="F2596" s="1"/>
      <c r="G2596" s="1"/>
      <c r="H2596" s="1"/>
      <c r="I2596" s="5"/>
      <c r="J2596" s="5"/>
      <c r="K2596" s="5"/>
      <c r="L2596" s="5"/>
      <c r="M2596" s="5"/>
    </row>
    <row r="2599" spans="2:13" x14ac:dyDescent="0.2">
      <c r="B2599" s="2"/>
      <c r="C2599" s="11"/>
      <c r="D2599" s="1"/>
      <c r="E2599" s="1"/>
      <c r="F2599" s="1"/>
      <c r="G2599" s="1"/>
      <c r="H2599" s="1"/>
      <c r="I2599" s="5"/>
      <c r="J2599" s="5"/>
      <c r="K2599" s="5"/>
      <c r="L2599" s="5"/>
      <c r="M2599" s="5"/>
    </row>
    <row r="2625" spans="2:13" x14ac:dyDescent="0.2">
      <c r="C2625" s="11"/>
      <c r="D2625" s="1"/>
      <c r="E2625" s="1"/>
      <c r="F2625" s="1"/>
      <c r="G2625" s="1"/>
      <c r="H2625" s="1"/>
      <c r="I2625" s="5"/>
      <c r="J2625" s="5"/>
      <c r="K2625" s="5"/>
      <c r="L2625" s="5"/>
      <c r="M2625" s="5"/>
    </row>
    <row r="2629" spans="2:13" x14ac:dyDescent="0.2">
      <c r="C2629" s="11"/>
      <c r="D2629" s="1"/>
      <c r="E2629" s="1"/>
      <c r="F2629" s="1"/>
      <c r="G2629" s="1"/>
      <c r="H2629" s="1"/>
      <c r="I2629" s="5"/>
      <c r="J2629" s="5"/>
      <c r="K2629" s="5"/>
      <c r="L2629" s="5"/>
      <c r="M2629" s="5"/>
    </row>
    <row r="2633" spans="2:13" x14ac:dyDescent="0.2">
      <c r="B2633" s="2"/>
      <c r="C2633" s="11"/>
      <c r="D2633" s="1"/>
      <c r="E2633" s="1"/>
      <c r="F2633" s="1"/>
      <c r="G2633" s="1"/>
      <c r="H2633" s="1"/>
      <c r="I2633" s="5"/>
      <c r="J2633" s="5"/>
      <c r="K2633" s="5"/>
      <c r="L2633" s="5"/>
      <c r="M2633" s="5"/>
    </row>
    <row r="2635" spans="2:13" x14ac:dyDescent="0.2">
      <c r="B2635" s="2"/>
      <c r="C2635" s="11"/>
      <c r="D2635" s="1"/>
      <c r="E2635" s="1"/>
      <c r="F2635" s="1"/>
      <c r="G2635" s="1"/>
      <c r="H2635" s="1"/>
      <c r="I2635" s="5"/>
      <c r="J2635" s="5"/>
      <c r="K2635" s="5"/>
      <c r="L2635" s="5"/>
      <c r="M2635" s="5"/>
    </row>
    <row r="2642" spans="2:13" x14ac:dyDescent="0.2">
      <c r="B2642" s="2"/>
      <c r="C2642" s="11"/>
      <c r="D2642" s="1"/>
      <c r="E2642" s="1"/>
      <c r="F2642" s="1"/>
      <c r="G2642" s="1"/>
      <c r="H2642" s="1"/>
      <c r="I2642" s="5"/>
      <c r="J2642" s="5"/>
      <c r="K2642" s="5"/>
      <c r="L2642" s="5"/>
      <c r="M2642" s="5"/>
    </row>
    <row r="2644" spans="2:13" x14ac:dyDescent="0.2">
      <c r="B2644" s="2"/>
      <c r="C2644" s="11"/>
      <c r="D2644" s="1"/>
      <c r="E2644" s="1"/>
      <c r="F2644" s="1"/>
      <c r="G2644" s="1"/>
      <c r="H2644" s="1"/>
      <c r="I2644" s="5"/>
      <c r="J2644" s="5"/>
      <c r="K2644" s="5"/>
      <c r="L2644" s="5"/>
      <c r="M2644" s="5"/>
    </row>
    <row r="2646" spans="2:13" x14ac:dyDescent="0.2">
      <c r="B2646" s="2"/>
      <c r="C2646" s="11"/>
      <c r="D2646" s="1"/>
      <c r="E2646" s="1"/>
      <c r="F2646" s="1"/>
      <c r="G2646" s="1"/>
      <c r="H2646" s="1"/>
      <c r="I2646" s="5"/>
      <c r="J2646" s="5"/>
      <c r="K2646" s="5"/>
      <c r="L2646" s="5"/>
      <c r="M2646" s="5"/>
    </row>
    <row r="2649" spans="2:13" x14ac:dyDescent="0.2">
      <c r="B2649" s="2"/>
      <c r="C2649" s="11"/>
      <c r="D2649" s="1"/>
      <c r="E2649" s="1"/>
      <c r="F2649" s="1"/>
      <c r="G2649" s="1"/>
      <c r="H2649" s="1"/>
      <c r="I2649" s="5"/>
      <c r="J2649" s="5"/>
      <c r="K2649" s="5"/>
      <c r="L2649" s="5"/>
      <c r="M2649" s="5"/>
    </row>
    <row r="2651" spans="2:13" x14ac:dyDescent="0.2">
      <c r="B2651" s="2"/>
      <c r="C2651" s="11"/>
      <c r="D2651" s="1"/>
      <c r="E2651" s="1"/>
      <c r="F2651" s="1"/>
      <c r="G2651" s="1"/>
      <c r="H2651" s="1"/>
      <c r="I2651" s="5"/>
      <c r="J2651" s="5"/>
      <c r="K2651" s="5"/>
      <c r="L2651" s="5"/>
      <c r="M2651" s="5"/>
    </row>
    <row r="2653" spans="2:13" x14ac:dyDescent="0.2">
      <c r="B2653" s="2"/>
      <c r="C2653" s="11"/>
      <c r="D2653" s="1"/>
      <c r="E2653" s="1"/>
      <c r="F2653" s="1"/>
      <c r="G2653" s="1"/>
      <c r="H2653" s="1"/>
      <c r="I2653" s="5"/>
      <c r="J2653" s="5"/>
      <c r="K2653" s="5"/>
      <c r="L2653" s="5"/>
      <c r="M2653" s="5"/>
    </row>
    <row r="2655" spans="2:13" x14ac:dyDescent="0.2">
      <c r="B2655" s="2"/>
      <c r="C2655" s="11"/>
      <c r="D2655" s="1"/>
      <c r="E2655" s="1"/>
      <c r="F2655" s="1"/>
      <c r="G2655" s="1"/>
      <c r="H2655" s="1"/>
      <c r="I2655" s="5"/>
      <c r="J2655" s="5"/>
      <c r="K2655" s="5"/>
      <c r="L2655" s="5"/>
      <c r="M2655" s="5"/>
    </row>
    <row r="2658" spans="2:13" x14ac:dyDescent="0.2">
      <c r="B2658" s="2"/>
      <c r="C2658" s="11"/>
      <c r="D2658" s="1"/>
      <c r="E2658" s="1"/>
      <c r="F2658" s="1"/>
      <c r="G2658" s="1"/>
      <c r="H2658" s="1"/>
      <c r="I2658" s="5"/>
      <c r="J2658" s="5"/>
      <c r="K2658" s="5"/>
      <c r="L2658" s="5"/>
      <c r="M2658" s="5"/>
    </row>
    <row r="2660" spans="2:13" x14ac:dyDescent="0.2">
      <c r="B2660" s="2"/>
      <c r="C2660" s="11"/>
      <c r="D2660" s="1"/>
      <c r="E2660" s="1"/>
      <c r="F2660" s="1"/>
      <c r="G2660" s="1"/>
      <c r="H2660" s="1"/>
      <c r="I2660" s="5"/>
      <c r="J2660" s="5"/>
      <c r="K2660" s="5"/>
      <c r="L2660" s="5"/>
      <c r="M2660" s="5"/>
    </row>
    <row r="2664" spans="2:13" x14ac:dyDescent="0.2">
      <c r="B2664" s="2"/>
      <c r="C2664" s="11"/>
      <c r="D2664" s="1"/>
      <c r="E2664" s="1"/>
      <c r="F2664" s="1"/>
      <c r="G2664" s="1"/>
      <c r="H2664" s="1"/>
      <c r="I2664" s="5"/>
      <c r="J2664" s="5"/>
      <c r="K2664" s="5"/>
      <c r="L2664" s="5"/>
      <c r="M2664" s="5"/>
    </row>
    <row r="2666" spans="2:13" x14ac:dyDescent="0.2">
      <c r="B2666" s="2"/>
      <c r="C2666" s="11"/>
      <c r="D2666" s="6"/>
      <c r="E2666" s="6"/>
      <c r="F2666" s="6"/>
      <c r="G2666" s="6"/>
      <c r="H2666" s="6"/>
      <c r="I2666" s="6"/>
      <c r="J2666" s="6"/>
      <c r="K2666" s="6"/>
      <c r="L2666" s="6"/>
      <c r="M2666" s="6"/>
    </row>
    <row r="2669" spans="2:13" x14ac:dyDescent="0.2">
      <c r="B2669" s="2"/>
      <c r="C2669" s="11"/>
      <c r="D2669" s="6"/>
      <c r="E2669" s="6"/>
      <c r="F2669" s="6"/>
      <c r="G2669" s="6"/>
      <c r="H2669" s="6"/>
      <c r="I2669" s="6"/>
      <c r="J2669" s="6"/>
      <c r="K2669" s="6"/>
      <c r="L2669" s="6"/>
      <c r="M2669" s="6"/>
    </row>
    <row r="2671" spans="2:13" x14ac:dyDescent="0.2">
      <c r="B2671" s="2"/>
      <c r="C2671" s="11"/>
      <c r="D2671" s="6"/>
      <c r="E2671" s="6"/>
      <c r="F2671" s="6"/>
      <c r="G2671" s="6"/>
      <c r="H2671" s="6"/>
      <c r="I2671" s="6"/>
      <c r="J2671" s="6"/>
      <c r="K2671" s="6"/>
      <c r="L2671" s="6"/>
      <c r="M2671" s="6"/>
    </row>
    <row r="2673" spans="2:13" x14ac:dyDescent="0.2">
      <c r="B2673" s="2"/>
      <c r="C2673" s="11"/>
      <c r="D2673" s="6"/>
      <c r="E2673" s="6"/>
      <c r="F2673" s="6"/>
      <c r="G2673" s="6"/>
      <c r="H2673" s="6"/>
      <c r="I2673" s="6"/>
      <c r="J2673" s="6"/>
      <c r="K2673" s="6"/>
      <c r="L2673" s="6"/>
      <c r="M2673" s="6"/>
    </row>
    <row r="2677" spans="2:13" x14ac:dyDescent="0.2">
      <c r="B2677" s="2"/>
      <c r="C2677" s="11"/>
      <c r="D2677" s="6"/>
      <c r="E2677" s="6"/>
      <c r="F2677" s="6"/>
      <c r="G2677" s="6"/>
      <c r="H2677" s="6"/>
      <c r="I2677" s="6"/>
      <c r="J2677" s="6"/>
      <c r="K2677" s="6"/>
      <c r="L2677" s="6"/>
      <c r="M2677" s="6"/>
    </row>
    <row r="2690" spans="2:13" x14ac:dyDescent="0.2">
      <c r="B2690" s="2"/>
      <c r="C2690" s="11"/>
      <c r="D2690" s="6"/>
      <c r="E2690" s="6"/>
      <c r="F2690" s="6"/>
      <c r="G2690" s="6"/>
      <c r="H2690" s="6"/>
      <c r="I2690" s="6"/>
      <c r="J2690" s="6"/>
      <c r="K2690" s="6"/>
      <c r="L2690" s="6"/>
      <c r="M2690" s="6"/>
    </row>
    <row r="2692" spans="2:13" x14ac:dyDescent="0.2">
      <c r="B2692" s="2"/>
      <c r="C2692" s="11"/>
      <c r="D2692" s="6"/>
      <c r="E2692" s="6"/>
      <c r="F2692" s="6"/>
      <c r="G2692" s="6"/>
      <c r="H2692" s="6"/>
      <c r="I2692" s="6"/>
      <c r="J2692" s="6"/>
      <c r="K2692" s="6"/>
      <c r="L2692" s="6"/>
      <c r="M2692" s="6"/>
    </row>
    <row r="2693" spans="2:13" x14ac:dyDescent="0.2">
      <c r="B2693" s="2"/>
      <c r="C2693" s="11"/>
      <c r="D2693" s="6"/>
      <c r="E2693" s="6"/>
      <c r="F2693" s="6"/>
      <c r="G2693" s="6"/>
      <c r="H2693" s="6"/>
      <c r="I2693" s="6"/>
      <c r="J2693" s="6"/>
      <c r="K2693" s="6"/>
      <c r="L2693" s="6"/>
      <c r="M2693" s="6"/>
    </row>
    <row r="2695" spans="2:13" x14ac:dyDescent="0.2">
      <c r="B2695" s="2"/>
      <c r="C2695" s="11"/>
      <c r="D2695" s="6"/>
      <c r="E2695" s="6"/>
      <c r="F2695" s="6"/>
      <c r="G2695" s="6"/>
      <c r="H2695" s="6"/>
      <c r="I2695" s="6"/>
      <c r="J2695" s="6"/>
      <c r="K2695" s="6"/>
      <c r="L2695" s="6"/>
      <c r="M2695" s="6"/>
    </row>
    <row r="2698" spans="2:13" x14ac:dyDescent="0.2">
      <c r="B2698" s="2"/>
      <c r="C2698" s="11"/>
      <c r="D2698" s="6"/>
      <c r="E2698" s="6"/>
      <c r="F2698" s="6"/>
      <c r="G2698" s="6"/>
      <c r="H2698" s="6"/>
      <c r="I2698" s="6"/>
      <c r="J2698" s="6"/>
      <c r="K2698" s="6"/>
      <c r="L2698" s="6"/>
      <c r="M2698" s="6"/>
    </row>
    <row r="2700" spans="2:13" x14ac:dyDescent="0.2">
      <c r="B2700" s="2"/>
      <c r="C2700" s="11"/>
      <c r="D2700" s="6"/>
      <c r="E2700" s="6"/>
      <c r="F2700" s="6"/>
      <c r="G2700" s="6"/>
      <c r="H2700" s="6"/>
      <c r="I2700" s="6"/>
      <c r="J2700" s="6"/>
      <c r="K2700" s="6"/>
      <c r="L2700" s="6"/>
      <c r="M2700" s="6"/>
    </row>
    <row r="2762" spans="2:13" x14ac:dyDescent="0.2">
      <c r="B2762" s="2"/>
      <c r="C2762" s="11"/>
      <c r="D2762" s="6"/>
      <c r="E2762" s="6"/>
      <c r="F2762" s="6"/>
      <c r="G2762" s="6"/>
      <c r="H2762" s="6"/>
      <c r="I2762" s="6"/>
      <c r="J2762" s="6"/>
      <c r="K2762" s="6"/>
      <c r="L2762" s="6"/>
      <c r="M2762" s="6"/>
    </row>
    <row r="2763" spans="2:13" x14ac:dyDescent="0.2">
      <c r="B2763" s="2"/>
      <c r="C2763" s="11"/>
      <c r="D2763" s="6"/>
      <c r="E2763" s="6"/>
      <c r="F2763" s="6"/>
      <c r="G2763" s="6"/>
      <c r="H2763" s="6"/>
      <c r="I2763" s="6"/>
      <c r="J2763" s="6"/>
      <c r="K2763" s="6"/>
      <c r="L2763" s="6"/>
      <c r="M2763" s="6"/>
    </row>
    <row r="2767" spans="2:13" x14ac:dyDescent="0.2">
      <c r="B2767" s="2"/>
      <c r="C2767" s="11"/>
      <c r="D2767" s="6"/>
      <c r="E2767" s="6"/>
      <c r="F2767" s="6"/>
      <c r="G2767" s="6"/>
      <c r="H2767" s="6"/>
      <c r="I2767" s="6"/>
      <c r="J2767" s="6"/>
      <c r="K2767" s="6"/>
      <c r="L2767" s="6"/>
      <c r="M2767" s="6"/>
    </row>
    <row r="2770" spans="2:13" x14ac:dyDescent="0.2">
      <c r="B2770" s="2"/>
      <c r="C2770" s="11"/>
      <c r="D2770" s="6"/>
      <c r="E2770" s="6"/>
      <c r="F2770" s="6"/>
      <c r="G2770" s="6"/>
      <c r="H2770" s="6"/>
      <c r="I2770" s="6"/>
      <c r="J2770" s="6"/>
      <c r="K2770" s="6"/>
      <c r="L2770" s="6"/>
      <c r="M2770" s="6"/>
    </row>
    <row r="2775" spans="2:13" x14ac:dyDescent="0.2">
      <c r="B2775" s="2"/>
      <c r="C2775" s="11"/>
      <c r="D2775" s="6"/>
      <c r="E2775" s="6"/>
      <c r="F2775" s="6"/>
      <c r="G2775" s="6"/>
      <c r="H2775" s="6"/>
      <c r="I2775" s="6"/>
      <c r="J2775" s="6"/>
      <c r="K2775" s="6"/>
      <c r="L2775" s="6"/>
      <c r="M2775" s="6"/>
    </row>
    <row r="2777" spans="2:13" x14ac:dyDescent="0.2">
      <c r="B2777" s="2"/>
      <c r="C2777" s="11"/>
      <c r="D2777" s="6"/>
      <c r="E2777" s="6"/>
      <c r="F2777" s="6"/>
      <c r="G2777" s="6"/>
      <c r="H2777" s="6"/>
      <c r="I2777" s="6"/>
      <c r="J2777" s="6"/>
      <c r="K2777" s="6"/>
      <c r="L2777" s="6"/>
      <c r="M2777" s="6"/>
    </row>
    <row r="2779" spans="2:13" x14ac:dyDescent="0.2">
      <c r="B2779" s="2"/>
      <c r="C2779" s="11"/>
      <c r="D2779" s="6"/>
      <c r="E2779" s="6"/>
      <c r="F2779" s="6"/>
      <c r="G2779" s="6"/>
      <c r="H2779" s="6"/>
      <c r="I2779" s="6"/>
      <c r="J2779" s="6"/>
      <c r="K2779" s="6"/>
      <c r="L2779" s="6"/>
      <c r="M2779" s="6"/>
    </row>
  </sheetData>
  <autoFilter ref="A1:S428" xr:uid="{9E39DB8D-58F6-42EF-9610-350FE7168230}">
    <filterColumn colId="4">
      <filters>
        <filter val="Y"/>
      </filters>
    </filterColumn>
  </autoFilter>
  <phoneticPr fontId="8" type="noConversion"/>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 operator="equal" id="{F12EDD32-1364-4062-97D6-BFD43D286FAE}">
            <xm:f>Sheet1!$A$1</xm:f>
            <x14:dxf>
              <font>
                <color theme="9" tint="-0.499984740745262"/>
              </font>
              <fill>
                <patternFill>
                  <bgColor theme="9" tint="0.39994506668294322"/>
                </patternFill>
              </fill>
            </x14:dxf>
          </x14:cfRule>
          <x14:cfRule type="cellIs" priority="2" operator="equal" id="{F7477306-C478-4942-9FAA-4E2EE989A507}">
            <xm:f>Sheet1!$A$2</xm:f>
            <x14:dxf>
              <font>
                <color rgb="FF006100"/>
              </font>
              <fill>
                <patternFill>
                  <bgColor rgb="FFC6EFCE"/>
                </patternFill>
              </fill>
            </x14:dxf>
          </x14:cfRule>
          <x14:cfRule type="cellIs" priority="3" operator="equal" id="{1ACA762D-762F-430A-86F8-A5B829F257F9}">
            <xm:f>Sheet1!$A$3</xm:f>
            <x14:dxf>
              <font>
                <color rgb="FF9C0006"/>
              </font>
              <fill>
                <patternFill>
                  <bgColor rgb="FFFFC7CE"/>
                </patternFill>
              </fill>
            </x14:dxf>
          </x14:cfRule>
          <xm:sqref>N2:N428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F2679163-B081-4F4F-B04E-7852C4A929A1}">
          <x14:formula1>
            <xm:f>Sheet1!$A$1:$A$3</xm:f>
          </x14:formula1>
          <xm:sqref>N2:N428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3"/>
  <sheetViews>
    <sheetView workbookViewId="0">
      <selection activeCell="E34" sqref="E34"/>
    </sheetView>
  </sheetViews>
  <sheetFormatPr baseColWidth="10" defaultColWidth="8.875" defaultRowHeight="12.9" x14ac:dyDescent="0.2"/>
  <sheetData>
    <row r="1" spans="1:1" x14ac:dyDescent="0.2">
      <c r="A1" t="s">
        <v>3712</v>
      </c>
    </row>
    <row r="2" spans="1:1" x14ac:dyDescent="0.2">
      <c r="A2" t="s">
        <v>18</v>
      </c>
    </row>
    <row r="3" spans="1:1" x14ac:dyDescent="0.2">
      <c r="A3" s="21" t="s">
        <v>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014f992-c3b8-416e-8a47-dfe8d79cb83a">
      <Terms xmlns="http://schemas.microsoft.com/office/infopath/2007/PartnerControls"/>
    </lcf76f155ced4ddcb4097134ff3c332f>
    <Use_x0020_Case_x0020_Title xmlns="0014f992-c3b8-416e-8a47-dfe8d79cb83a">a</Use_x0020_Case_x0020_Titl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DA95753826DA1478E4C64BF8FE58A83" ma:contentTypeVersion="13" ma:contentTypeDescription="Crear nuevo documento." ma:contentTypeScope="" ma:versionID="ba1e96fad2e2b1ca0858d416bf9b70d2">
  <xsd:schema xmlns:xsd="http://www.w3.org/2001/XMLSchema" xmlns:xs="http://www.w3.org/2001/XMLSchema" xmlns:p="http://schemas.microsoft.com/office/2006/metadata/properties" xmlns:ns2="0014f992-c3b8-416e-8a47-dfe8d79cb83a" targetNamespace="http://schemas.microsoft.com/office/2006/metadata/properties" ma:root="true" ma:fieldsID="c8a861a22d3b927b8cf726a9a4bac28b" ns2:_="">
    <xsd:import namespace="0014f992-c3b8-416e-8a47-dfe8d79cb8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Use_x0020_Case_x0020_Title"/>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14f992-c3b8-416e-8a47-dfe8d79cb8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38717ee0-2267-4aad-bdb1-d697e710bb43"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Use_x0020_Case_x0020_Title" ma:index="20" ma:displayName="Use Case Title" ma:internalName="Use_x0020_Case_x0020_Titl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12796C-C46D-41E1-AAFC-65380D4DA606}">
  <ds:schemaRefs>
    <ds:schemaRef ds:uri="http://schemas.microsoft.com/sharepoint/v3/contenttype/forms"/>
  </ds:schemaRefs>
</ds:datastoreItem>
</file>

<file path=customXml/itemProps2.xml><?xml version="1.0" encoding="utf-8"?>
<ds:datastoreItem xmlns:ds="http://schemas.openxmlformats.org/officeDocument/2006/customXml" ds:itemID="{AB4C8927-2D10-4949-BCA4-9B63E223B096}">
  <ds:schemaRefs>
    <ds:schemaRef ds:uri="http://schemas.openxmlformats.org/package/2006/metadata/core-properties"/>
    <ds:schemaRef ds:uri="http://purl.org/dc/elements/1.1/"/>
    <ds:schemaRef ds:uri="http://schemas.microsoft.com/office/2006/documentManagement/types"/>
    <ds:schemaRef ds:uri="http://purl.org/dc/terms/"/>
    <ds:schemaRef ds:uri="http://purl.org/dc/dcmitype/"/>
    <ds:schemaRef ds:uri="0014f992-c3b8-416e-8a47-dfe8d79cb83a"/>
    <ds:schemaRef ds:uri="http://schemas.microsoft.com/office/2006/metadata/properties"/>
    <ds:schemaRef ds:uri="http://www.w3.org/XML/1998/namespace"/>
    <ds:schemaRef ds:uri="http://schemas.microsoft.com/office/infopath/2007/PartnerControls"/>
  </ds:schemaRefs>
</ds:datastoreItem>
</file>

<file path=customXml/itemProps3.xml><?xml version="1.0" encoding="utf-8"?>
<ds:datastoreItem xmlns:ds="http://schemas.openxmlformats.org/officeDocument/2006/customXml" ds:itemID="{E4753831-EC6B-4851-8A7A-5AEBC1916D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14f992-c3b8-416e-8a47-dfe8d79cb8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f9646e7-a2b7-4055-b37c-fae88eceb046}" enabled="1" method="Privileged" siteId="{9bc3d1cd-55ca-4e13-b5a2-a9e9deaeba3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ATX Propasal S1000D 4.2 BRDP</vt:lpstr>
      <vt:lpstr>Hoja1</vt:lpstr>
      <vt:lpstr>ATX Propasal 1000BR 4.2 BRDP</vt:lpstr>
      <vt:lpstr>Dita BRDPs</vt:lpstr>
      <vt:lpstr>Sheet1</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dc:title>
  <dc:subject/>
  <dc:creator>Microsoft Corporation</dc:creator>
  <cp:keywords>a</cp:keywords>
  <dc:description/>
  <cp:lastModifiedBy>Juan Manuel GUTIERREZ ALEMANY</cp:lastModifiedBy>
  <cp:revision/>
  <dcterms:created xsi:type="dcterms:W3CDTF">1996-10-17T05:27:31Z</dcterms:created>
  <dcterms:modified xsi:type="dcterms:W3CDTF">2026-05-06T19:52:06Z</dcterms:modified>
  <cp:category>a</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0x0101009DA95753826DA1478E4C64BF8FE58A83</vt:lpwstr>
  </property>
  <property fmtid="{D5CDD505-2E9C-101B-9397-08002B2CF9AE}" pid="3" name="MediaServiceImageTags">
    <vt:lpwstr/>
  </property>
</Properties>
</file>